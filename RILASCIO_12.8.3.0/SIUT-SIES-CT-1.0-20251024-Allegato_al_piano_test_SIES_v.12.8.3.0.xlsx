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K4" i="209" l="1"/>
  <c r="C4" i="182" l="1"/>
  <c r="B4" i="182"/>
  <c r="G4" i="182"/>
  <c r="E4" i="182"/>
  <c r="A4" i="182" l="1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<sst xmlns="http://schemas.openxmlformats.org/spreadsheetml/2006/main" count="1167" uniqueCount="625">
  <si>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</si>
  <si>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</si>
  <si>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</si>
  <si>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</si>
  <si>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</si>
  <si>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</si>
  <si>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</si>
  <si>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</si>
  <si>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</si>
  <si>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</si>
  <si>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</si>
  <si>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</si>
  <si>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</si>
  <si>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</si>
  <si>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</si>
  <si>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</si>
  <si>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</si>
  <si>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</si>
  <si>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</si>
  <si>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</si>
  <si>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</si>
  <si>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</si>
  <si>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</si>
  <si>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</si>
  <si>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</si>
  <si>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</si>
  <si>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</si>
  <si>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</si>
  <si>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</si>
  <si>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</si>
  <si>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</si>
  <si>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</si>
  <si>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</si>
  <si>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</si>
  <si>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</si>
  <si>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</si>
  <si>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</si>
  <si>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</si>
  <si>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</si>
  <si>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</si>
  <si>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</si>
  <si>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</si>
  <si>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</si>
  <si>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</si>
  <si>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</si>
  <si>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</si>
  <si>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</si>
  <si>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</si>
  <si>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</si>
  <si>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</si>
  <si>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</si>
  <si>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</si>
  <si>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</si>
  <si>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</si>
  <si>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</si>
  <si>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</si>
  <si>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</si>
  <si>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</si>
  <si>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</si>
  <si>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</si>
  <si>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</si>
  <si>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</si>
  <si>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</si>
  <si>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</si>
  <si>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</si>
  <si>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</si>
  <si>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</si>
  <si>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</si>
  <si>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</si>
  <si>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</si>
  <si>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</si>
  <si>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</si>
  <si>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</si>
  <si>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</si>
  <si>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</si>
  <si>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</si>
  <si>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</si>
  <si>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</si>
  <si>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</si>
  <si>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</si>
  <si>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</si>
  <si>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</si>
  <si>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</si>
  <si>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</si>
  <si>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</si>
  <si>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</si>
  <si>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</si>
  <si>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</si>
  <si>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</si>
  <si>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</si>
  <si>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</si>
  <si>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</si>
  <si>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</si>
  <si>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</si>
  <si>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</si>
  <si>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</si>
  <si>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</si>
  <si>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</si>
  <si>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</si>
  <si>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</si>
  <si>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</si>
  <si>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</si>
  <si>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</si>
  <si>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</si>
  <si>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</si>
  <si>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</si>
  <si>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</si>
  <si>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</si>
  <si>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</si>
  <si>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</si>
  <si>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</si>
  <si>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</si>
  <si>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</si>
  <si>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</si>
  <si>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</si>
  <si>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</si>
  <si>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</si>
  <si>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</si>
  <si>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</si>
  <si>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</si>
  <si>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</si>
  <si>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</si>
  <si>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</si>
  <si>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</si>
  <si>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</si>
  <si>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</si>
  <si>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</si>
  <si>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</si>
  <si>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</si>
  <si>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</si>
  <si>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</si>
  <si>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</si>
  <si>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</si>
  <si>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</si>
  <si>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</si>
  <si>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</si>
  <si>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</si>
  <si>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</si>
  <si>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</si>
  <si>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</si>
  <si>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</si>
  <si>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</si>
  <si>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</si>
  <si>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</si>
  <si>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</si>
  <si>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</si>
  <si>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</si>
  <si>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</si>
  <si>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</si>
  <si>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</si>
  <si>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</si>
  <si>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</si>
  <si>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</si>
  <si>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</si>
  <si>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</si>
  <si>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</si>
  <si>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</si>
  <si>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</si>
  <si>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</si>
  <si>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</si>
  <si>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</si>
  <si>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</si>
  <si>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</si>
  <si>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</si>
  <si>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</si>
  <si>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</si>
  <si>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</si>
  <si>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</si>
  <si>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</si>
  <si>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</si>
  <si>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</si>
  <si>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</si>
  <si>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</si>
  <si>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</si>
  <si>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</si>
  <si>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</si>
  <si>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</si>
  <si>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</si>
  <si>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</si>
  <si>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</si>
  <si>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</si>
  <si>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</si>
  <si>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</si>
  <si>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</si>
  <si>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</si>
  <si>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</si>
  <si>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</si>
  <si>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</si>
  <si>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</si>
  <si>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</si>
  <si>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</si>
  <si>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</si>
  <si>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</si>
  <si>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</si>
  <si>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</si>
  <si>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</si>
  <si>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</si>
  <si>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</si>
  <si>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</si>
  <si>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</si>
  <si>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</si>
  <si>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</si>
  <si>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</si>
  <si>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</si>
  <si>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</si>
  <si>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</si>
  <si>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</si>
  <si>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</si>
  <si>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</si>
  <si>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</si>
  <si>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</si>
  <si>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</si>
  <si>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</si>
  <si>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</si>
  <si>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</si>
  <si>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</si>
  <si>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</si>
  <si>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</si>
  <si>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</si>
  <si>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</si>
  <si>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</si>
  <si>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</si>
  <si>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</si>
  <si>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</si>
  <si>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</si>
  <si>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</si>
  <si>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</si>
  <si>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</si>
  <si>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</si>
  <si>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</si>
  <si>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</si>
  <si>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</si>
  <si>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</si>
  <si>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</si>
  <si>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</si>
  <si>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</si>
  <si>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</si>
  <si>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</si>
  <si>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</si>
  <si>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</si>
  <si>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</si>
  <si>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</si>
  <si>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</si>
  <si>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</si>
  <si>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</si>
  <si>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</si>
  <si>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</si>
  <si>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</si>
  <si>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</si>
  <si>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</si>
  <si>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</si>
  <si>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</si>
  <si>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</si>
  <si>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</si>
  <si>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</si>
  <si>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</si>
  <si>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</si>
  <si>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</si>
  <si>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</si>
  <si>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</si>
  <si>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</si>
  <si>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</si>
  <si>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</si>
  <si>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</si>
  <si>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</si>
  <si>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</si>
  <si>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</si>
  <si>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</si>
  <si>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</si>
  <si>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</si>
  <si>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</si>
  <si>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</si>
  <si>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</si>
  <si>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</si>
  <si>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</si>
  <si>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</si>
  <si>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</si>
  <si>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</si>
  <si>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</si>
  <si>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</si>
  <si>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</si>
  <si>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</si>
  <si>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</si>
  <si>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</si>
  <si>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</si>
  <si>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</si>
  <si>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</si>
  <si>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</si>
  <si>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</si>
  <si>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</si>
  <si>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</si>
  <si>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</si>
  <si>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</si>
  <si>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</si>
  <si>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</si>
  <si>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</si>
  <si>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</si>
  <si>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</si>
  <si>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</si>
  <si>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</si>
  <si>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</si>
  <si>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</si>
  <si>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</si>
  <si>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</si>
  <si>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</si>
  <si>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</si>
  <si>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</si>
  <si>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</si>
  <si>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</si>
  <si>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</si>
  <si>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</si>
  <si>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</si>
  <si>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</si>
  <si>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</si>
  <si>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</si>
  <si>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</si>
  <si>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</si>
  <si>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</si>
  <si>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</si>
  <si>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</si>
  <si>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</si>
  <si>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</si>
  <si>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</si>
  <si>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</si>
  <si>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</si>
  <si>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</si>
  <si>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</si>
  <si>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</si>
  <si>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</si>
  <si>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</si>
  <si>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</si>
  <si>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</si>
  <si>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</si>
  <si>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</si>
  <si>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</si>
  <si>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</si>
  <si>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</si>
  <si>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</si>
  <si>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</si>
  <si>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</si>
  <si>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</si>
  <si>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</si>
  <si>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</si>
  <si>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</si>
  <si>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</si>
  <si>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</si>
  <si>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</si>
  <si>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</si>
  <si>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</si>
  <si>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</si>
  <si>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</si>
  <si>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</si>
  <si>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</si>
  <si>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</si>
  <si>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</si>
  <si>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</si>
  <si>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</si>
  <si>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</si>
  <si>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</si>
  <si>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</si>
  <si>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</si>
  <si>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</si>
  <si>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</si>
  <si>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</si>
  <si>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</si>
  <si>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</si>
  <si>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</si>
  <si>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</si>
  <si>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</si>
  <si>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</si>
  <si>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</si>
  <si>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</si>
  <si>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</si>
  <si>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</si>
  <si>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</si>
  <si>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</si>
  <si>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</si>
  <si>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</si>
  <si>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</si>
  <si>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</si>
  <si>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</si>
  <si>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</si>
  <si>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</si>
  <si>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</si>
  <si>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</si>
  <si>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</si>
  <si>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</si>
  <si>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</si>
  <si>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</si>
  <si>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</si>
  <si>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</si>
  <si>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</si>
  <si>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</si>
  <si>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</si>
  <si>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</si>
  <si>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</si>
  <si>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</si>
  <si>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</si>
  <si>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</si>
  <si>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</si>
  <si>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</si>
  <si>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</si>
  <si>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</si>
  <si>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</si>
  <si>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</si>
  <si>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</si>
  <si>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</si>
  <si>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</si>
  <si>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</si>
  <si>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</si>
  <si>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</si>
  <si>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</si>
  <si>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</si>
  <si>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</si>
  <si>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</si>
  <si>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</si>
  <si>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</si>
  <si>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</si>
  <si>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</si>
  <si>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</si>
  <si>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</si>
  <si>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</si>
  <si>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</si>
  <si>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</si>
  <si>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</si>
  <si>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</si>
  <si>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</si>
  <si>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</si>
  <si>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</si>
  <si>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</si>
  <si>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</si>
  <si>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</si>
  <si>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</si>
  <si>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</si>
  <si>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</si>
  <si>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</si>
  <si>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</si>
  <si>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</si>
  <si>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</si>
  <si>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</si>
  <si>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</si>
  <si>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</si>
  <si>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</si>
  <si>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</si>
  <si>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</si>
  <si>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</si>
  <si>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</si>
  <si>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</si>
  <si>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</si>
  <si>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</si>
  <si>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</si>
  <si>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</si>
  <si>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</si>
  <si>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</si>
  <si>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</si>
  <si>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</si>
  <si>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</si>
  <si>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</si>
  <si>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</si>
  <si>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</si>
  <si>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</si>
  <si>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</si>
  <si>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</si>
  <si>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</si>
  <si>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</si>
  <si>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</si>
  <si>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</si>
  <si>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</si>
  <si>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</si>
  <si>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</si>
  <si>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</si>
  <si>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</si>
  <si>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</si>
  <si>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</si>
  <si>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</si>
  <si>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</si>
  <si>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</si>
  <si>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</si>
  <si>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</si>
  <si>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</si>
  <si>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</si>
  <si>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</si>
  <si>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</si>
  <si>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</si>
  <si>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</si>
  <si>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</si>
  <si>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</si>
  <si>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</si>
  <si>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</si>
  <si>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</si>
  <si>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</si>
  <si>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</si>
  <si>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</si>
  <si>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</si>
  <si>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</si>
  <si>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</si>
  <si>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</si>
  <si>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</si>
  <si>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</si>
  <si>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</si>
  <si>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</si>
  <si>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</si>
  <si>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</si>
  <si>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</si>
  <si>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</si>
  <si>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</si>
  <si>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</si>
  <si>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</si>
  <si>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</si>
  <si>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</si>
  <si>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</si>
  <si>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</si>
  <si>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</si>
  <si>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</si>
  <si>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</si>
  <si>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</si>
  <si>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</si>
  <si>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</si>
  <si>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</si>
  <si>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</si>
  <si>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</si>
  <si>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</si>
  <si>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</si>
  <si>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</si>
  <si>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</si>
  <si>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</si>
  <si>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</si>
  <si>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</si>
  <si>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</si>
  <si>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</si>
  <si>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</si>
  <si>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</si>
  <si>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</si>
  <si>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</si>
  <si>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</si>
  <si>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</si>
  <si>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</si>
  <si>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</si>
  <si>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</si>
  <si>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</si>
  <si>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</si>
  <si>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</si>
  <si>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</si>
  <si>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</si>
  <si>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</si>
  <si>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</si>
  <si>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</si>
  <si>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</si>
  <si>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</si>
  <si>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</si>
  <si>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</si>
  <si>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</si>
  <si>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</si>
  <si>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</si>
  <si>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</si>
  <si>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</si>
  <si>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</si>
  <si>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</si>
  <si>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</si>
  <si>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</si>
  <si>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</si>
  <si>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</si>
  <si>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</si>
  <si>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</si>
  <si>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</si>
  <si>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</si>
  <si>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</si>
  <si>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</si>
  <si>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</si>
  <si>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</si>
  <si>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</si>
  <si>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</si>
  <si>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</si>
  <si>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</si>
  <si>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</si>
  <si>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</si>
  <si>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</si>
  <si>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</si>
  <si>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</si>
  <si>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</si>
  <si>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</si>
  <si>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</si>
  <si>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</si>
  <si>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</si>
  <si>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</si>
  <si>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</si>
  <si>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</si>
  <si>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</si>
  <si>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</si>
  <si>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</si>
  <si>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</si>
  <si>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</si>
  <si>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</si>
  <si>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</si>
  <si>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</si>
  <si>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</si>
  <si>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</si>
  <si>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</si>
  <si>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</si>
  <si>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</si>
  <si>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</si>
  <si>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</si>
  <si>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</si>
  <si>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</si>
  <si>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</si>
  <si>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</si>
  <si>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</si>
  <si>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t>SIEP</t>
  </si>
  <si>
    <t>SIUT-SIES-CT-1.0-20251024-Allegato_al_piano_test_SIES_v.12.8.3.0.xlsx</t>
  </si>
  <si>
    <t>SIUT-SIES-PT-1.0-20251024-Piano_dei_Test_SIES_v.12.8.3.0.docx</t>
  </si>
  <si>
    <t>SIES v.12.8.3.0</t>
  </si>
  <si>
    <t>Correzione template -SIEP_PP_PR_AVVPAGAM_PP</t>
  </si>
  <si>
    <t>Errore nell'impostazione di alcune frasi</t>
  </si>
  <si>
    <t>Verifica: Verificare che le frasi all'interno del template siano corrette</t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</si>
  <si>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 Ordinario</t>
    </r>
    <r>
      <rPr>
        <sz val="10"/>
        <rFont val="Arial"/>
        <family val="2"/>
      </rPr>
      <t>)</t>
    </r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</si>
  <si>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 Ordinario</t>
    </r>
    <r>
      <rPr>
        <sz val="10"/>
        <rFont val="Arial"/>
        <family val="2"/>
      </rPr>
      <t>"</t>
    </r>
  </si>
  <si>
    <t>Ricercare un fascicolo in cui sia presente un Ordine Esecuzione di Ingiunzione al Pagamento della Pena Pecuniaria "pagata"</t>
  </si>
  <si>
    <t>Gestione Altre Sanzioni &gt;&gt; Riscossione Pene Pecuniarie &gt;&gt; Ordine Ingiunzione / Altri Provvedimenti &gt;&gt; Provvedimento Avvenuto Pagamento</t>
  </si>
  <si>
    <r>
      <t>Visualizzazione pagina "</t>
    </r>
    <r>
      <rPr>
        <b/>
        <sz val="10"/>
        <rFont val="Arial"/>
        <family val="2"/>
      </rPr>
      <t>Gestione Provvedimento Avvenuto Pagamento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</si>
  <si>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Provvedimento Avvenuto Pagamento Pena Pecuniaria</t>
    </r>
    <r>
      <rPr>
        <sz val="10"/>
        <rFont val="Arial"/>
        <family val="2"/>
      </rPr>
      <t>"</t>
    </r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</si>
  <si>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</si>
  <si>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>L'utente preme il tasto "</t>
    </r>
    <r>
      <rPr>
        <b/>
        <sz val="10"/>
        <rFont val="Arial"/>
        <family val="2"/>
      </rPr>
      <t>Generazione Stampa</t>
    </r>
    <r>
      <rPr>
        <sz val="10"/>
        <rFont val="Arial"/>
        <family val="2"/>
      </rPr>
      <t>"</t>
    </r>
  </si>
  <si>
    <t>Il risultato atteso è che le modifiche al template richieste siano state apportate correttamente</t>
  </si>
  <si>
    <r>
      <t>Produzione del template "</t>
    </r>
    <r>
      <rPr>
        <b/>
        <sz val="10"/>
        <rFont val="Arial"/>
        <family val="2"/>
      </rPr>
      <t>SIEP_PP_PR_AVVPAGAM_PP.rtf</t>
    </r>
    <r>
      <rPr>
        <sz val="10"/>
        <rFont val="Arial"/>
        <family val="2"/>
      </rPr>
      <t>"</t>
    </r>
  </si>
  <si>
    <t>L'utente ha stampato il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</si>
</sst>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62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1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13" borderId="16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11" borderId="74" xfId="0" applyNumberFormat="1" applyFont="1" applyFill="1" applyBorder="1" applyAlignment="1">
      <alignment horizontal="center" vertical="center" wrapText="1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2" fillId="0" borderId="40" xfId="0" applyFont="1" applyBorder="1" applyAlignment="1">
      <alignment horizontal="left" vertical="center" wrapText="1"/>
    </xf>
    <xf numFmtId="0" fontId="65" fillId="0" borderId="12" xfId="0" applyFont="1" applyBorder="1" applyAlignment="1">
      <alignment horizontal="center" vertical="center" wrapText="1"/>
    </xf>
    <xf numFmtId="0" fontId="62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6" borderId="96" xfId="0" applyNumberFormat="1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3" fillId="0" borderId="0" xfId="0" applyFont="1" applyAlignment="1">
      <alignment horizontal="center" vertical="center" wrapText="1"/>
    </xf>
    <xf numFmtId="0" fontId="6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49" fontId="1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2.emf"/><Relationship Id="rId6" Type="http://schemas.openxmlformats.org/officeDocument/2006/relationships/image" Target="../media/image25.emf"/><Relationship Id="rId5" Type="http://schemas.openxmlformats.org/officeDocument/2006/relationships/image" Target="../media/image24.emf"/><Relationship Id="rId4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</xdr:colOff>
      <xdr:row>0</xdr:row>
      <xdr:rowOff>41564</xdr:rowOff>
    </xdr:from>
    <xdr:to>
      <xdr:col>16</xdr:col>
      <xdr:colOff>704850</xdr:colOff>
      <xdr:row>0</xdr:row>
      <xdr:rowOff>491837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0" y="41564"/>
          <a:ext cx="15423140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64" t="s">
        <v>560</v>
      </c>
      <c r="B3" s="364"/>
    </row>
    <row r="4" spans="1:2" ht="16.899999999999999" customHeight="1">
      <c r="A4" s="364" t="s">
        <v>460</v>
      </c>
      <c r="B4" s="365"/>
    </row>
    <row r="5" spans="1:2" ht="18.600000000000001" customHeight="1">
      <c r="A5" s="364" t="s">
        <v>461</v>
      </c>
      <c r="B5" s="365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63" t="s">
        <v>67</v>
      </c>
      <c r="B15" s="363"/>
    </row>
    <row r="16" spans="1:2" ht="19.899999999999999" customHeight="1">
      <c r="A16" s="363" t="s">
        <v>564</v>
      </c>
      <c r="B16" s="363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66" t="s">
        <v>50</v>
      </c>
      <c r="B4" s="367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66" t="s">
        <v>56</v>
      </c>
      <c r="B9" s="367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</row>
    <row r="2" spans="1:52" ht="75" customHeight="1">
      <c r="A2" s="306"/>
      <c r="B2" s="368" t="s">
        <v>594</v>
      </c>
      <c r="C2" s="368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</row>
    <row r="3" spans="1:52" ht="17.45" customHeight="1">
      <c r="A3" s="306"/>
      <c r="B3" s="308" t="s">
        <v>601</v>
      </c>
      <c r="C3" s="307" t="s">
        <v>608</v>
      </c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</row>
    <row r="4" spans="1:52" ht="16.149999999999999" customHeight="1">
      <c r="A4" s="306"/>
      <c r="B4" s="308" t="s">
        <v>574</v>
      </c>
      <c r="C4" s="307" t="s">
        <v>609</v>
      </c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0"/>
      <c r="AS4" s="370"/>
      <c r="AT4" s="370"/>
      <c r="AU4" s="370"/>
      <c r="AV4" s="370"/>
      <c r="AW4" s="370"/>
      <c r="AX4" s="370"/>
      <c r="AY4" s="370"/>
      <c r="AZ4" s="370"/>
    </row>
    <row r="5" spans="1:52" ht="16.149999999999999" customHeight="1">
      <c r="A5" s="306"/>
      <c r="B5" s="308" t="s">
        <v>174</v>
      </c>
      <c r="C5" s="307" t="s">
        <v>337</v>
      </c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  <c r="AN5" s="370"/>
      <c r="AO5" s="370"/>
      <c r="AP5" s="370"/>
      <c r="AQ5" s="370"/>
      <c r="AR5" s="370"/>
      <c r="AS5" s="370"/>
      <c r="AT5" s="370"/>
      <c r="AU5" s="370"/>
      <c r="AV5" s="370"/>
      <c r="AW5" s="370"/>
      <c r="AX5" s="370"/>
      <c r="AY5" s="370"/>
      <c r="AZ5" s="370"/>
    </row>
    <row r="6" spans="1:52" ht="16.149999999999999" customHeight="1">
      <c r="A6" s="306"/>
      <c r="B6" s="308" t="s">
        <v>602</v>
      </c>
      <c r="C6" s="309">
        <v>45954</v>
      </c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  <c r="AC6" s="370"/>
      <c r="AD6" s="370"/>
      <c r="AE6" s="370"/>
      <c r="AF6" s="370"/>
      <c r="AG6" s="370"/>
      <c r="AH6" s="370"/>
      <c r="AI6" s="370"/>
      <c r="AJ6" s="370"/>
      <c r="AK6" s="370"/>
      <c r="AL6" s="370"/>
      <c r="AM6" s="370"/>
      <c r="AN6" s="370"/>
      <c r="AO6" s="370"/>
      <c r="AP6" s="370"/>
      <c r="AQ6" s="370"/>
      <c r="AR6" s="370"/>
      <c r="AS6" s="370"/>
      <c r="AT6" s="370"/>
      <c r="AU6" s="370"/>
      <c r="AV6" s="370"/>
      <c r="AW6" s="370"/>
      <c r="AX6" s="370"/>
      <c r="AY6" s="370"/>
      <c r="AZ6" s="370"/>
    </row>
    <row r="7" spans="1:52" ht="16.149999999999999" customHeight="1">
      <c r="A7" s="306"/>
      <c r="B7" s="308" t="s">
        <v>603</v>
      </c>
      <c r="C7" s="307" t="s">
        <v>610</v>
      </c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0"/>
      <c r="AE7" s="370"/>
      <c r="AF7" s="370"/>
      <c r="AG7" s="370"/>
      <c r="AH7" s="370"/>
      <c r="AI7" s="370"/>
      <c r="AJ7" s="370"/>
      <c r="AK7" s="370"/>
      <c r="AL7" s="370"/>
      <c r="AM7" s="370"/>
      <c r="AN7" s="370"/>
      <c r="AO7" s="370"/>
      <c r="AP7" s="370"/>
      <c r="AQ7" s="370"/>
      <c r="AR7" s="370"/>
      <c r="AS7" s="370"/>
      <c r="AT7" s="370"/>
      <c r="AU7" s="370"/>
      <c r="AV7" s="370"/>
      <c r="AW7" s="370"/>
      <c r="AX7" s="370"/>
      <c r="AY7" s="370"/>
      <c r="AZ7" s="370"/>
    </row>
    <row r="8" spans="1:52" ht="16.149999999999999" customHeight="1">
      <c r="A8" s="306"/>
      <c r="B8" s="308" t="s">
        <v>604</v>
      </c>
      <c r="C8" s="307" t="s">
        <v>605</v>
      </c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370"/>
      <c r="AE8" s="370"/>
      <c r="AF8" s="370"/>
      <c r="AG8" s="370"/>
      <c r="AH8" s="370"/>
      <c r="AI8" s="370"/>
      <c r="AJ8" s="370"/>
      <c r="AK8" s="370"/>
      <c r="AL8" s="370"/>
      <c r="AM8" s="370"/>
      <c r="AN8" s="370"/>
      <c r="AO8" s="370"/>
      <c r="AP8" s="370"/>
      <c r="AQ8" s="370"/>
      <c r="AR8" s="370"/>
      <c r="AS8" s="370"/>
      <c r="AT8" s="370"/>
      <c r="AU8" s="370"/>
      <c r="AV8" s="370"/>
      <c r="AW8" s="370"/>
      <c r="AX8" s="370"/>
      <c r="AY8" s="370"/>
      <c r="AZ8" s="370"/>
    </row>
    <row r="9" spans="1:52" ht="111.75" customHeight="1">
      <c r="A9" s="306"/>
      <c r="B9" s="369" t="s">
        <v>575</v>
      </c>
      <c r="C9" s="369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70"/>
      <c r="AI9" s="370"/>
      <c r="AJ9" s="370"/>
      <c r="AK9" s="370"/>
      <c r="AL9" s="370"/>
      <c r="AM9" s="370"/>
      <c r="AN9" s="370"/>
      <c r="AO9" s="370"/>
      <c r="AP9" s="370"/>
      <c r="AQ9" s="370"/>
      <c r="AR9" s="370"/>
      <c r="AS9" s="370"/>
      <c r="AT9" s="370"/>
      <c r="AU9" s="370"/>
      <c r="AV9" s="370"/>
      <c r="AW9" s="370"/>
      <c r="AX9" s="370"/>
      <c r="AY9" s="370"/>
      <c r="AZ9" s="370"/>
    </row>
    <row r="10" spans="1:52" ht="16.149999999999999" customHeight="1"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  <c r="AB10" s="370"/>
      <c r="AC10" s="370"/>
      <c r="AD10" s="370"/>
      <c r="AE10" s="370"/>
      <c r="AF10" s="370"/>
      <c r="AG10" s="370"/>
      <c r="AH10" s="370"/>
      <c r="AI10" s="370"/>
      <c r="AJ10" s="370"/>
      <c r="AK10" s="370"/>
      <c r="AL10" s="370"/>
      <c r="AM10" s="370"/>
      <c r="AN10" s="370"/>
      <c r="AO10" s="370"/>
      <c r="AP10" s="370"/>
      <c r="AQ10" s="370"/>
      <c r="AR10" s="370"/>
      <c r="AS10" s="370"/>
      <c r="AT10" s="370"/>
      <c r="AU10" s="370"/>
      <c r="AV10" s="370"/>
      <c r="AW10" s="370"/>
      <c r="AX10" s="370"/>
      <c r="AY10" s="370"/>
      <c r="AZ10" s="370"/>
    </row>
    <row r="11" spans="1:52">
      <c r="B11" s="370"/>
      <c r="C11" s="370"/>
      <c r="D11" s="370"/>
      <c r="E11" s="370"/>
      <c r="F11" s="370"/>
      <c r="G11" s="370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  <c r="AA11" s="370"/>
      <c r="AB11" s="370"/>
      <c r="AC11" s="370"/>
      <c r="AD11" s="370"/>
      <c r="AE11" s="370"/>
      <c r="AF11" s="370"/>
      <c r="AG11" s="370"/>
      <c r="AH11" s="370"/>
      <c r="AI11" s="370"/>
      <c r="AJ11" s="370"/>
      <c r="AK11" s="370"/>
      <c r="AL11" s="370"/>
      <c r="AM11" s="370"/>
      <c r="AN11" s="370"/>
      <c r="AO11" s="370"/>
      <c r="AP11" s="370"/>
      <c r="AQ11" s="370"/>
      <c r="AR11" s="370"/>
      <c r="AS11" s="370"/>
      <c r="AT11" s="370"/>
      <c r="AU11" s="370"/>
      <c r="AV11" s="370"/>
      <c r="AW11" s="370"/>
      <c r="AX11" s="370"/>
      <c r="AY11" s="370"/>
      <c r="AZ11" s="370"/>
    </row>
    <row r="12" spans="1:52"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  <c r="AI12" s="370"/>
      <c r="AJ12" s="370"/>
      <c r="AK12" s="370"/>
      <c r="AL12" s="370"/>
      <c r="AM12" s="370"/>
      <c r="AN12" s="370"/>
      <c r="AO12" s="370"/>
      <c r="AP12" s="370"/>
      <c r="AQ12" s="370"/>
      <c r="AR12" s="370"/>
      <c r="AS12" s="370"/>
      <c r="AT12" s="370"/>
      <c r="AU12" s="370"/>
      <c r="AV12" s="370"/>
      <c r="AW12" s="370"/>
      <c r="AX12" s="370"/>
      <c r="AY12" s="370"/>
      <c r="AZ12" s="370"/>
    </row>
    <row r="13" spans="1:52"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  <c r="AG13" s="370"/>
      <c r="AH13" s="370"/>
      <c r="AI13" s="370"/>
      <c r="AJ13" s="370"/>
      <c r="AK13" s="370"/>
      <c r="AL13" s="370"/>
      <c r="AM13" s="370"/>
      <c r="AN13" s="370"/>
      <c r="AO13" s="370"/>
      <c r="AP13" s="370"/>
      <c r="AQ13" s="370"/>
      <c r="AR13" s="370"/>
      <c r="AS13" s="370"/>
      <c r="AT13" s="370"/>
      <c r="AU13" s="370"/>
      <c r="AV13" s="370"/>
      <c r="AW13" s="370"/>
      <c r="AX13" s="370"/>
      <c r="AY13" s="370"/>
      <c r="AZ13" s="370"/>
    </row>
    <row r="14" spans="1:52"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  <c r="AF14" s="370"/>
      <c r="AG14" s="370"/>
      <c r="AH14" s="370"/>
      <c r="AI14" s="370"/>
      <c r="AJ14" s="370"/>
      <c r="AK14" s="370"/>
      <c r="AL14" s="370"/>
      <c r="AM14" s="370"/>
      <c r="AN14" s="370"/>
      <c r="AO14" s="370"/>
      <c r="AP14" s="370"/>
      <c r="AQ14" s="370"/>
      <c r="AR14" s="370"/>
      <c r="AS14" s="370"/>
      <c r="AT14" s="370"/>
      <c r="AU14" s="370"/>
      <c r="AV14" s="370"/>
      <c r="AW14" s="370"/>
      <c r="AX14" s="370"/>
      <c r="AY14" s="370"/>
      <c r="AZ14" s="370"/>
    </row>
    <row r="15" spans="1:52">
      <c r="B15" s="370"/>
      <c r="C15" s="370"/>
      <c r="D15" s="370"/>
      <c r="E15" s="370"/>
      <c r="F15" s="370"/>
      <c r="G15" s="370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  <c r="AA15" s="370"/>
      <c r="AB15" s="370"/>
      <c r="AC15" s="370"/>
      <c r="AD15" s="370"/>
      <c r="AE15" s="370"/>
      <c r="AF15" s="370"/>
      <c r="AG15" s="370"/>
      <c r="AH15" s="370"/>
      <c r="AI15" s="370"/>
      <c r="AJ15" s="370"/>
      <c r="AK15" s="370"/>
      <c r="AL15" s="370"/>
      <c r="AM15" s="370"/>
      <c r="AN15" s="370"/>
      <c r="AO15" s="370"/>
      <c r="AP15" s="370"/>
      <c r="AQ15" s="370"/>
      <c r="AR15" s="370"/>
      <c r="AS15" s="370"/>
      <c r="AT15" s="370"/>
      <c r="AU15" s="370"/>
      <c r="AV15" s="370"/>
      <c r="AW15" s="370"/>
      <c r="AX15" s="370"/>
      <c r="AY15" s="370"/>
      <c r="AZ15" s="370"/>
    </row>
    <row r="16" spans="1:52"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0"/>
      <c r="AD16" s="370"/>
      <c r="AE16" s="370"/>
      <c r="AF16" s="370"/>
      <c r="AG16" s="370"/>
      <c r="AH16" s="370"/>
      <c r="AI16" s="370"/>
      <c r="AJ16" s="370"/>
      <c r="AK16" s="370"/>
      <c r="AL16" s="370"/>
      <c r="AM16" s="370"/>
      <c r="AN16" s="370"/>
      <c r="AO16" s="370"/>
      <c r="AP16" s="370"/>
      <c r="AQ16" s="370"/>
      <c r="AR16" s="370"/>
      <c r="AS16" s="370"/>
      <c r="AT16" s="370"/>
      <c r="AU16" s="370"/>
      <c r="AV16" s="370"/>
      <c r="AW16" s="370"/>
      <c r="AX16" s="370"/>
      <c r="AY16" s="370"/>
      <c r="AZ16" s="370"/>
    </row>
    <row r="17" spans="2:52"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  <c r="AA17" s="370"/>
      <c r="AB17" s="370"/>
      <c r="AC17" s="370"/>
      <c r="AD17" s="370"/>
      <c r="AE17" s="370"/>
      <c r="AF17" s="370"/>
      <c r="AG17" s="370"/>
      <c r="AH17" s="370"/>
      <c r="AI17" s="370"/>
      <c r="AJ17" s="370"/>
      <c r="AK17" s="370"/>
      <c r="AL17" s="370"/>
      <c r="AM17" s="370"/>
      <c r="AN17" s="370"/>
      <c r="AO17" s="370"/>
      <c r="AP17" s="370"/>
      <c r="AQ17" s="370"/>
      <c r="AR17" s="370"/>
      <c r="AS17" s="370"/>
      <c r="AT17" s="370"/>
      <c r="AU17" s="370"/>
      <c r="AV17" s="370"/>
      <c r="AW17" s="370"/>
      <c r="AX17" s="370"/>
      <c r="AY17" s="370"/>
      <c r="AZ17" s="370"/>
    </row>
    <row r="18" spans="2:52"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70"/>
      <c r="AE18" s="370"/>
      <c r="AF18" s="370"/>
      <c r="AG18" s="370"/>
      <c r="AH18" s="370"/>
      <c r="AI18" s="370"/>
      <c r="AJ18" s="370"/>
      <c r="AK18" s="370"/>
      <c r="AL18" s="370"/>
      <c r="AM18" s="370"/>
      <c r="AN18" s="370"/>
      <c r="AO18" s="370"/>
      <c r="AP18" s="370"/>
      <c r="AQ18" s="370"/>
      <c r="AR18" s="370"/>
      <c r="AS18" s="370"/>
      <c r="AT18" s="370"/>
      <c r="AU18" s="370"/>
      <c r="AV18" s="370"/>
      <c r="AW18" s="370"/>
      <c r="AX18" s="370"/>
      <c r="AY18" s="370"/>
      <c r="AZ18" s="370"/>
    </row>
    <row r="19" spans="2:52"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</row>
    <row r="20" spans="2:52"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/>
      <c r="AE20" s="370"/>
      <c r="AF20" s="370"/>
      <c r="AG20" s="370"/>
      <c r="AH20" s="370"/>
      <c r="AI20" s="370"/>
      <c r="AJ20" s="370"/>
      <c r="AK20" s="370"/>
      <c r="AL20" s="370"/>
      <c r="AM20" s="370"/>
      <c r="AN20" s="370"/>
      <c r="AO20" s="370"/>
      <c r="AP20" s="370"/>
      <c r="AQ20" s="370"/>
      <c r="AR20" s="370"/>
      <c r="AS20" s="370"/>
      <c r="AT20" s="370"/>
      <c r="AU20" s="370"/>
      <c r="AV20" s="370"/>
      <c r="AW20" s="370"/>
      <c r="AX20" s="370"/>
      <c r="AY20" s="370"/>
      <c r="AZ20" s="370"/>
    </row>
    <row r="21" spans="2:52"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0"/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</row>
    <row r="22" spans="2:52">
      <c r="B22" s="370"/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  <c r="AO22" s="370"/>
      <c r="AP22" s="370"/>
      <c r="AQ22" s="370"/>
      <c r="AR22" s="370"/>
      <c r="AS22" s="370"/>
      <c r="AT22" s="370"/>
      <c r="AU22" s="370"/>
      <c r="AV22" s="370"/>
      <c r="AW22" s="370"/>
      <c r="AX22" s="370"/>
      <c r="AY22" s="370"/>
      <c r="AZ22" s="370"/>
    </row>
    <row r="23" spans="2:52">
      <c r="B23" s="370"/>
      <c r="C23" s="370"/>
      <c r="D23" s="370"/>
      <c r="E23" s="370"/>
      <c r="F23" s="370"/>
      <c r="G23" s="370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  <c r="AB23" s="370"/>
      <c r="AC23" s="370"/>
      <c r="AD23" s="370"/>
      <c r="AE23" s="370"/>
      <c r="AF23" s="370"/>
      <c r="AG23" s="370"/>
      <c r="AH23" s="370"/>
      <c r="AI23" s="370"/>
      <c r="AJ23" s="370"/>
      <c r="AK23" s="370"/>
      <c r="AL23" s="370"/>
      <c r="AM23" s="370"/>
      <c r="AN23" s="370"/>
      <c r="AO23" s="370"/>
      <c r="AP23" s="370"/>
      <c r="AQ23" s="370"/>
      <c r="AR23" s="370"/>
      <c r="AS23" s="370"/>
      <c r="AT23" s="370"/>
      <c r="AU23" s="370"/>
      <c r="AV23" s="370"/>
      <c r="AW23" s="370"/>
      <c r="AX23" s="370"/>
      <c r="AY23" s="370"/>
      <c r="AZ23" s="370"/>
    </row>
    <row r="24" spans="2:52">
      <c r="B24" s="370"/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0"/>
      <c r="AI24" s="370"/>
      <c r="AJ24" s="370"/>
      <c r="AK24" s="370"/>
      <c r="AL24" s="370"/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0"/>
      <c r="AZ24" s="370"/>
    </row>
    <row r="25" spans="2:52">
      <c r="B25" s="370"/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  <c r="AB25" s="370"/>
      <c r="AC25" s="370"/>
      <c r="AD25" s="370"/>
      <c r="AE25" s="370"/>
      <c r="AF25" s="370"/>
      <c r="AG25" s="370"/>
      <c r="AH25" s="370"/>
      <c r="AI25" s="370"/>
      <c r="AJ25" s="370"/>
      <c r="AK25" s="370"/>
      <c r="AL25" s="370"/>
      <c r="AM25" s="370"/>
      <c r="AN25" s="370"/>
      <c r="AO25" s="370"/>
      <c r="AP25" s="370"/>
      <c r="AQ25" s="370"/>
      <c r="AR25" s="370"/>
      <c r="AS25" s="370"/>
      <c r="AT25" s="370"/>
      <c r="AU25" s="370"/>
      <c r="AV25" s="370"/>
      <c r="AW25" s="370"/>
      <c r="AX25" s="370"/>
      <c r="AY25" s="370"/>
      <c r="AZ25" s="370"/>
    </row>
    <row r="26" spans="2:52">
      <c r="B26" s="370"/>
      <c r="C26" s="370"/>
      <c r="D26" s="370"/>
      <c r="E26" s="370"/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0"/>
      <c r="AD26" s="370"/>
      <c r="AE26" s="370"/>
      <c r="AF26" s="370"/>
      <c r="AG26" s="370"/>
      <c r="AH26" s="370"/>
      <c r="AI26" s="370"/>
      <c r="AJ26" s="370"/>
      <c r="AK26" s="370"/>
      <c r="AL26" s="370"/>
      <c r="AM26" s="370"/>
      <c r="AN26" s="370"/>
      <c r="AO26" s="370"/>
      <c r="AP26" s="370"/>
      <c r="AQ26" s="370"/>
      <c r="AR26" s="370"/>
      <c r="AS26" s="370"/>
      <c r="AT26" s="370"/>
      <c r="AU26" s="370"/>
      <c r="AV26" s="370"/>
      <c r="AW26" s="370"/>
      <c r="AX26" s="370"/>
      <c r="AY26" s="370"/>
      <c r="AZ26" s="370"/>
    </row>
    <row r="27" spans="2:52"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70"/>
      <c r="AH27" s="370"/>
      <c r="AI27" s="370"/>
      <c r="AJ27" s="370"/>
      <c r="AK27" s="370"/>
      <c r="AL27" s="370"/>
      <c r="AM27" s="370"/>
      <c r="AN27" s="370"/>
      <c r="AO27" s="370"/>
      <c r="AP27" s="370"/>
      <c r="AQ27" s="370"/>
      <c r="AR27" s="370"/>
      <c r="AS27" s="370"/>
      <c r="AT27" s="370"/>
      <c r="AU27" s="370"/>
      <c r="AV27" s="370"/>
      <c r="AW27" s="370"/>
      <c r="AX27" s="370"/>
      <c r="AY27" s="370"/>
      <c r="AZ27" s="370"/>
    </row>
    <row r="28" spans="2:52">
      <c r="B28" s="370"/>
      <c r="C28" s="370"/>
      <c r="D28" s="370"/>
      <c r="E28" s="370"/>
      <c r="F28" s="370"/>
      <c r="G28" s="370"/>
      <c r="H28" s="370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  <c r="AA28" s="370"/>
      <c r="AB28" s="370"/>
      <c r="AC28" s="370"/>
      <c r="AD28" s="370"/>
      <c r="AE28" s="370"/>
      <c r="AF28" s="370"/>
      <c r="AG28" s="370"/>
      <c r="AH28" s="370"/>
      <c r="AI28" s="370"/>
      <c r="AJ28" s="370"/>
      <c r="AK28" s="370"/>
      <c r="AL28" s="370"/>
      <c r="AM28" s="370"/>
      <c r="AN28" s="370"/>
      <c r="AO28" s="370"/>
      <c r="AP28" s="370"/>
      <c r="AQ28" s="370"/>
      <c r="AR28" s="370"/>
      <c r="AS28" s="370"/>
      <c r="AT28" s="370"/>
      <c r="AU28" s="370"/>
      <c r="AV28" s="370"/>
      <c r="AW28" s="370"/>
      <c r="AX28" s="370"/>
      <c r="AY28" s="370"/>
      <c r="AZ28" s="370"/>
    </row>
    <row r="29" spans="2:52"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  <c r="AA29" s="370"/>
      <c r="AB29" s="370"/>
      <c r="AC29" s="370"/>
      <c r="AD29" s="370"/>
      <c r="AE29" s="370"/>
      <c r="AF29" s="370"/>
      <c r="AG29" s="370"/>
      <c r="AH29" s="370"/>
      <c r="AI29" s="370"/>
      <c r="AJ29" s="370"/>
      <c r="AK29" s="370"/>
      <c r="AL29" s="370"/>
      <c r="AM29" s="370"/>
      <c r="AN29" s="370"/>
      <c r="AO29" s="370"/>
      <c r="AP29" s="370"/>
      <c r="AQ29" s="370"/>
      <c r="AR29" s="370"/>
      <c r="AS29" s="370"/>
      <c r="AT29" s="370"/>
      <c r="AU29" s="370"/>
      <c r="AV29" s="370"/>
      <c r="AW29" s="370"/>
      <c r="AX29" s="370"/>
      <c r="AY29" s="370"/>
      <c r="AZ29" s="370"/>
    </row>
    <row r="30" spans="2:52"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  <c r="AC30" s="370"/>
      <c r="AD30" s="370"/>
      <c r="AE30" s="370"/>
      <c r="AF30" s="370"/>
      <c r="AG30" s="370"/>
      <c r="AH30" s="370"/>
      <c r="AI30" s="370"/>
      <c r="AJ30" s="370"/>
      <c r="AK30" s="370"/>
      <c r="AL30" s="370"/>
      <c r="AM30" s="370"/>
      <c r="AN30" s="370"/>
      <c r="AO30" s="370"/>
      <c r="AP30" s="370"/>
      <c r="AQ30" s="370"/>
      <c r="AR30" s="370"/>
      <c r="AS30" s="370"/>
      <c r="AT30" s="370"/>
      <c r="AU30" s="370"/>
      <c r="AV30" s="370"/>
      <c r="AW30" s="370"/>
      <c r="AX30" s="370"/>
      <c r="AY30" s="370"/>
      <c r="AZ30" s="370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5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71" t="s">
        <v>515</v>
      </c>
      <c r="B1" s="371"/>
      <c r="C1" s="371"/>
      <c r="D1" s="373" t="str">
        <f xml:space="preserve"> Copertina!C7</f>
        <v>SIES v.12.8.3.0</v>
      </c>
      <c r="E1" s="373"/>
      <c r="F1" s="373"/>
      <c r="G1" s="373"/>
      <c r="H1" s="371" t="s">
        <v>424</v>
      </c>
      <c r="I1" s="374"/>
      <c r="J1" s="317" t="str">
        <f>Copertina!C3</f>
        <v>SIUT-SIES-CT-1.0-20251024-Allegato_al_piano_test_SIES_v.12.8.3.0.xlsx</v>
      </c>
      <c r="K1" s="300" t="s">
        <v>174</v>
      </c>
      <c r="L1" s="318" t="str">
        <f>Copertina!C5</f>
        <v>1.0</v>
      </c>
      <c r="M1" s="301"/>
      <c r="N1" s="301"/>
      <c r="O1" s="372"/>
      <c r="P1" s="372"/>
      <c r="Q1" s="372"/>
      <c r="R1" s="372"/>
      <c r="S1" s="372"/>
      <c r="T1" s="372"/>
      <c r="U1" s="372"/>
    </row>
    <row r="2" spans="1:21" s="293" customFormat="1" ht="30" customHeight="1" thickTop="1" thickBot="1">
      <c r="A2" s="375" t="s">
        <v>175</v>
      </c>
      <c r="B2" s="376"/>
      <c r="C2" s="376"/>
      <c r="D2" s="371" t="s">
        <v>338</v>
      </c>
      <c r="E2" s="377"/>
      <c r="F2" s="377"/>
      <c r="G2" s="377"/>
      <c r="H2" s="377"/>
      <c r="I2" s="377"/>
      <c r="J2" s="377"/>
      <c r="K2" s="371" t="s">
        <v>8</v>
      </c>
      <c r="L2" s="371"/>
      <c r="M2" s="371"/>
      <c r="N2" s="371"/>
      <c r="O2" s="371"/>
      <c r="P2" s="371"/>
      <c r="Q2" s="371"/>
      <c r="R2" s="371"/>
      <c r="S2" s="371"/>
      <c r="T2" s="371"/>
      <c r="U2" s="371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28" t="s">
        <v>593</v>
      </c>
      <c r="B4" s="329" t="s">
        <v>595</v>
      </c>
      <c r="C4" s="330">
        <v>202510090125</v>
      </c>
      <c r="D4" s="330"/>
      <c r="E4" s="330"/>
      <c r="F4" s="330">
        <f t="shared" ref="F4" si="0">C4</f>
        <v>202510090125</v>
      </c>
      <c r="G4" s="331" t="s">
        <v>611</v>
      </c>
      <c r="H4" s="329"/>
      <c r="I4" s="332" t="s">
        <v>607</v>
      </c>
      <c r="J4" s="333" t="str">
        <f t="shared" ref="J4" si="1">CONCATENATE(I4," - ",G4)</f>
        <v>SIEP - Correzione template -SIEP_PP_PR_AVVPAGAM_PP</v>
      </c>
      <c r="K4" s="334" t="str">
        <f>CONCATENATE("TF001.",I4)</f>
        <v>TF001.SIEP</v>
      </c>
      <c r="L4" s="335" t="s">
        <v>612</v>
      </c>
      <c r="M4" s="335"/>
      <c r="N4" s="335"/>
      <c r="O4" s="335"/>
      <c r="P4" s="334" t="s">
        <v>613</v>
      </c>
      <c r="Q4" s="336" t="s">
        <v>337</v>
      </c>
      <c r="T4" s="294"/>
    </row>
    <row r="5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83" t="s">
        <v>212</v>
      </c>
      <c r="B1" s="384"/>
      <c r="C1" s="384"/>
      <c r="D1" s="385" t="s">
        <v>554</v>
      </c>
      <c r="E1" s="386"/>
      <c r="F1" s="386"/>
      <c r="G1" s="387"/>
      <c r="H1" s="383" t="s">
        <v>335</v>
      </c>
      <c r="I1" s="388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81"/>
      <c r="S1" s="381"/>
      <c r="T1" s="382"/>
    </row>
    <row r="2" spans="1:20" ht="21" customHeight="1" thickBot="1">
      <c r="A2" s="389" t="s">
        <v>175</v>
      </c>
      <c r="B2" s="390"/>
      <c r="C2" s="391"/>
      <c r="D2" s="392" t="s">
        <v>338</v>
      </c>
      <c r="E2" s="393"/>
      <c r="F2" s="393"/>
      <c r="G2" s="393"/>
      <c r="H2" s="393"/>
      <c r="I2" s="393"/>
      <c r="J2" s="394"/>
      <c r="K2" s="378" t="s">
        <v>8</v>
      </c>
      <c r="L2" s="379"/>
      <c r="M2" s="379"/>
      <c r="N2" s="379"/>
      <c r="O2" s="379"/>
      <c r="P2" s="379"/>
      <c r="Q2" s="379"/>
      <c r="R2" s="379"/>
      <c r="S2" s="379"/>
      <c r="T2" s="380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95" t="s">
        <v>565</v>
      </c>
      <c r="C2" s="395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96" t="s">
        <v>572</v>
      </c>
      <c r="C9" s="397"/>
      <c r="D9" s="398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11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413" t="s">
        <v>212</v>
      </c>
      <c r="B1" s="414"/>
      <c r="C1" s="415"/>
      <c r="D1" s="407" t="str">
        <f>Copertina!C7</f>
        <v>SIES v.12.8.3.0</v>
      </c>
      <c r="E1" s="408"/>
      <c r="F1" s="408"/>
      <c r="G1" s="408"/>
      <c r="H1" s="408"/>
      <c r="I1" s="408"/>
      <c r="J1" s="409"/>
    </row>
    <row r="2" spans="1:10" ht="30" customHeight="1" thickBot="1">
      <c r="A2" s="413" t="s">
        <v>74</v>
      </c>
      <c r="B2" s="414"/>
      <c r="C2" s="416"/>
      <c r="D2" s="410" t="str">
        <f>Copertina!C3</f>
        <v>SIUT-SIES-CT-1.0-20251024-Allegato_al_piano_test_SIES_v.12.8.3.0.xlsx</v>
      </c>
      <c r="E2" s="411"/>
      <c r="F2" s="411"/>
      <c r="G2" s="411"/>
      <c r="H2" s="411"/>
      <c r="I2" s="411"/>
      <c r="J2" s="412"/>
    </row>
    <row r="3" spans="1:10" ht="30" customHeight="1" thickBot="1">
      <c r="A3" s="302" t="s">
        <v>184</v>
      </c>
      <c r="B3" s="303" t="s">
        <v>588</v>
      </c>
      <c r="C3" s="417" t="s">
        <v>589</v>
      </c>
      <c r="D3" s="417"/>
      <c r="E3" s="417" t="s">
        <v>185</v>
      </c>
      <c r="F3" s="417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45" customFormat="1" ht="30" customHeight="1" thickBot="1">
      <c r="A4" s="319" t="str">
        <f>TabellaTest!K4</f>
        <v>TF001.SIEP</v>
      </c>
      <c r="B4" s="348" t="str">
        <f>TabellaTest!I4</f>
        <v>SIEP</v>
      </c>
      <c r="C4" s="403" t="str">
        <f>TabellaTest!L4</f>
        <v>Errore nell'impostazione di alcune frasi</v>
      </c>
      <c r="D4" s="404"/>
      <c r="E4" s="405" t="str">
        <f>TabellaTest!P4</f>
        <v>Verifica: Verificare che le frasi all'interno del template siano corrette</v>
      </c>
      <c r="F4" s="404"/>
      <c r="G4" s="319" t="str">
        <f>TabellaTest!Q4</f>
        <v>1.0</v>
      </c>
      <c r="H4" s="305"/>
      <c r="I4" s="305"/>
      <c r="J4" s="319" t="s">
        <v>600</v>
      </c>
    </row>
    <row r="5" spans="1:10" s="345" customFormat="1" ht="30" customHeight="1">
      <c r="A5" s="399"/>
      <c r="B5" s="320" t="s">
        <v>188</v>
      </c>
      <c r="C5" s="321" t="s">
        <v>189</v>
      </c>
      <c r="D5" s="321" t="s">
        <v>596</v>
      </c>
      <c r="E5" s="321" t="s">
        <v>597</v>
      </c>
      <c r="F5" s="340" t="s">
        <v>598</v>
      </c>
      <c r="G5" s="399"/>
      <c r="H5" s="324"/>
      <c r="I5" s="324"/>
      <c r="J5" s="401"/>
    </row>
    <row r="6" spans="1:10" s="345" customFormat="1" ht="45" customHeight="1">
      <c r="A6" s="400"/>
      <c r="B6" s="322" t="s">
        <v>164</v>
      </c>
      <c r="C6" s="325" t="s">
        <v>193</v>
      </c>
      <c r="D6" s="337" t="s">
        <v>615</v>
      </c>
      <c r="E6" s="337" t="s">
        <v>614</v>
      </c>
      <c r="F6" s="353"/>
      <c r="G6" s="400"/>
      <c r="H6" s="347"/>
      <c r="I6" s="347"/>
      <c r="J6" s="402"/>
    </row>
    <row r="7" spans="1:10" s="345" customFormat="1" ht="45" customHeight="1">
      <c r="A7" s="400"/>
      <c r="B7" s="322" t="s">
        <v>164</v>
      </c>
      <c r="C7" s="325" t="s">
        <v>194</v>
      </c>
      <c r="D7" s="337" t="s">
        <v>606</v>
      </c>
      <c r="E7" s="341" t="s">
        <v>616</v>
      </c>
      <c r="F7" s="351"/>
      <c r="G7" s="400"/>
      <c r="H7" s="347"/>
      <c r="I7" s="347"/>
      <c r="J7" s="402"/>
    </row>
    <row r="8" spans="1:10" s="345" customFormat="1" ht="60" customHeight="1">
      <c r="A8" s="400"/>
      <c r="B8" s="339">
        <v>1</v>
      </c>
      <c r="C8" s="326" t="s">
        <v>195</v>
      </c>
      <c r="D8" s="343" t="s">
        <v>617</v>
      </c>
      <c r="E8" s="341"/>
      <c r="F8" s="342" t="s">
        <v>618</v>
      </c>
      <c r="G8" s="400"/>
      <c r="H8" s="347"/>
      <c r="I8" s="347"/>
      <c r="J8" s="402"/>
    </row>
    <row r="9" spans="1:10" s="345" customFormat="1" ht="30" customHeight="1">
      <c r="A9" s="400"/>
      <c r="B9" s="349">
        <v>2</v>
      </c>
      <c r="C9" s="350" t="s">
        <v>196</v>
      </c>
      <c r="D9" s="337" t="s">
        <v>620</v>
      </c>
      <c r="E9" s="341"/>
      <c r="F9" s="342" t="s">
        <v>619</v>
      </c>
      <c r="G9" s="400"/>
      <c r="H9" s="347"/>
      <c r="I9" s="347"/>
      <c r="J9" s="402"/>
    </row>
    <row r="10" spans="1:10" s="354" customFormat="1" ht="30" customHeight="1">
      <c r="A10" s="400"/>
      <c r="B10" s="358">
        <v>3</v>
      </c>
      <c r="C10" s="359" t="s">
        <v>196</v>
      </c>
      <c r="D10" s="360" t="s">
        <v>621</v>
      </c>
      <c r="E10" s="361"/>
      <c r="F10" s="362" t="s">
        <v>623</v>
      </c>
      <c r="G10" s="355"/>
      <c r="H10" s="357"/>
      <c r="I10" s="357"/>
      <c r="J10" s="356"/>
    </row>
    <row r="11" spans="1:10" s="345" customFormat="1" ht="30" customHeight="1" thickBot="1">
      <c r="A11" s="406"/>
      <c r="B11" s="323" t="s">
        <v>199</v>
      </c>
      <c r="C11" s="327" t="s">
        <v>599</v>
      </c>
      <c r="D11" s="338" t="s">
        <v>624</v>
      </c>
      <c r="E11" s="338"/>
      <c r="F11" s="352" t="s">
        <v>622</v>
      </c>
      <c r="G11" s="346"/>
      <c r="J11" s="344"/>
    </row>
  </sheetData>
  <mergeCells count="11">
    <mergeCell ref="D1:J1"/>
    <mergeCell ref="D2:J2"/>
    <mergeCell ref="A1:C1"/>
    <mergeCell ref="A2:C2"/>
    <mergeCell ref="E3:F3"/>
    <mergeCell ref="C3:D3"/>
    <mergeCell ref="G5:G9"/>
    <mergeCell ref="J5:J9"/>
    <mergeCell ref="C4:D4"/>
    <mergeCell ref="E4:F4"/>
    <mergeCell ref="A5:A11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13" t="s">
        <v>212</v>
      </c>
      <c r="B1" s="418"/>
      <c r="C1" s="418"/>
      <c r="D1" s="419"/>
      <c r="E1" s="420" t="str">
        <f xml:space="preserve"> Copertina!B7</f>
        <v>Intervento</v>
      </c>
      <c r="F1" s="421"/>
      <c r="G1" s="422"/>
      <c r="H1" s="264"/>
      <c r="I1" s="265"/>
      <c r="J1" s="284"/>
      <c r="K1" s="285"/>
    </row>
    <row r="2" spans="1:11" s="88" customFormat="1" ht="20.25">
      <c r="A2" s="423" t="s">
        <v>74</v>
      </c>
      <c r="B2" s="424"/>
      <c r="C2" s="424"/>
      <c r="D2" s="425"/>
      <c r="E2" s="426" t="e">
        <f xml:space="preserve"> Copertina!#REF!</f>
        <v>#REF!</v>
      </c>
      <c r="F2" s="427"/>
      <c r="G2" s="428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13" t="s">
        <v>212</v>
      </c>
      <c r="B1" s="418"/>
      <c r="C1" s="418"/>
      <c r="D1" s="451" t="str">
        <f>VerificheConformità!E1</f>
        <v>Intervento</v>
      </c>
      <c r="E1" s="452"/>
    </row>
    <row r="2" spans="1:9" ht="21" customHeight="1" thickBot="1">
      <c r="A2" s="413" t="s">
        <v>74</v>
      </c>
      <c r="B2" s="418"/>
      <c r="C2" s="418"/>
      <c r="D2" s="451" t="e">
        <f>VerificheConformità!E2</f>
        <v>#REF!</v>
      </c>
      <c r="E2" s="452"/>
    </row>
    <row r="3" spans="1:9" s="88" customFormat="1" ht="27" customHeight="1" thickBot="1">
      <c r="A3" s="434" t="s">
        <v>583</v>
      </c>
      <c r="B3" s="435"/>
      <c r="C3" s="435"/>
      <c r="D3" s="436"/>
      <c r="E3" s="437"/>
      <c r="G3" s="438" t="s">
        <v>584</v>
      </c>
      <c r="H3" s="439"/>
      <c r="I3" s="440"/>
    </row>
    <row r="4" spans="1:9" ht="23.25" customHeight="1" thickBot="1">
      <c r="A4" s="447" t="s">
        <v>585</v>
      </c>
      <c r="B4" s="448" t="s">
        <v>586</v>
      </c>
      <c r="C4" s="449"/>
      <c r="D4" s="449"/>
      <c r="E4" s="450"/>
      <c r="G4" s="441"/>
      <c r="H4" s="442"/>
      <c r="I4" s="443"/>
    </row>
    <row r="5" spans="1:9" ht="26.25" customHeight="1" thickBot="1">
      <c r="A5" s="430"/>
      <c r="B5" s="269">
        <v>1</v>
      </c>
      <c r="C5" s="269">
        <v>2</v>
      </c>
      <c r="D5" s="269">
        <v>3</v>
      </c>
      <c r="E5" s="270">
        <v>4</v>
      </c>
      <c r="G5" s="441"/>
      <c r="H5" s="442"/>
      <c r="I5" s="443"/>
    </row>
    <row r="6" spans="1:9" ht="15.75" thickBot="1">
      <c r="A6" s="271" t="s">
        <v>152</v>
      </c>
      <c r="B6" s="272">
        <f>COUNTIFS(TabellaTest!M4:M270,1,TabellaTest!T4:T270,"A",TabellaTest!U4:U270,"KO")</f>
        <v>0</v>
      </c>
      <c r="C6" s="272">
        <f>COUNTIFS(TabellaTest!M4:M270,2,TabellaTest!T4:T270,"A",TabellaTest!U4:U270,"KO")</f>
        <v>0</v>
      </c>
      <c r="D6" s="272">
        <f>COUNTIFS(TabellaTest!M4:M270,3,TabellaTest!T4:T270,"A",TabellaTest!U4:U270,"KO")</f>
        <v>0</v>
      </c>
      <c r="E6" s="272">
        <f>COUNTIFS(TabellaTest!M4:M270,4,TabellaTest!T4:T270,"A",TabellaTest!U4:U270,"KO")</f>
        <v>0</v>
      </c>
      <c r="G6" s="441"/>
      <c r="H6" s="442"/>
      <c r="I6" s="443"/>
    </row>
    <row r="7" spans="1:9" ht="15.75" thickBot="1">
      <c r="A7" s="273" t="s">
        <v>153</v>
      </c>
      <c r="B7" s="272">
        <f>COUNTIFS(TabellaTest!M4:M270,1,TabellaTest!T4:T270,"B",TabellaTest!U4:U270,"KO")</f>
        <v>0</v>
      </c>
      <c r="C7" s="272">
        <f>COUNTIFS(TabellaTest!M4:M270,2,TabellaTest!T4:T270,"B",TabellaTest!U4:U270,"KO")</f>
        <v>0</v>
      </c>
      <c r="D7" s="272">
        <f>COUNTIFS(TabellaTest!M4:M270,3,TabellaTest!T4:T270,"B",TabellaTest!U4:U270,"KO")</f>
        <v>0</v>
      </c>
      <c r="E7" s="272">
        <f>COUNTIFS(TabellaTest!M4:M270,4,TabellaTest!T4:T270,"B",TabellaTest!U4:U270,"KO")</f>
        <v>0</v>
      </c>
      <c r="G7" s="441"/>
      <c r="H7" s="442"/>
      <c r="I7" s="443"/>
    </row>
    <row r="8" spans="1:9" ht="15.75" thickBot="1">
      <c r="A8" s="274" t="s">
        <v>154</v>
      </c>
      <c r="B8" s="272">
        <f>COUNTIFS(TabellaTest!M4:M270,1,TabellaTest!T4:T270,"C",TabellaTest!U4:U270,"KO")</f>
        <v>0</v>
      </c>
      <c r="C8" s="272">
        <f>COUNTIFS(TabellaTest!M4:M270,2,TabellaTest!T4:T270,"C",TabellaTest!U4:U270,"KO")</f>
        <v>0</v>
      </c>
      <c r="D8" s="272">
        <f>COUNTIFS(TabellaTest!M4:M270,3,TabellaTest!T4:T270,"C",TabellaTest!U4:U270,"KO")</f>
        <v>0</v>
      </c>
      <c r="E8" s="272">
        <f>COUNTIFS(TabellaTest!M4:M270,4,TabellaTest!T4:T270,"C",TabellaTest!U4:U270,"KO")</f>
        <v>0</v>
      </c>
      <c r="G8" s="444"/>
      <c r="H8" s="445"/>
      <c r="I8" s="446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53" t="s">
        <v>587</v>
      </c>
      <c r="B14" s="454"/>
      <c r="C14" s="454"/>
      <c r="D14" s="454"/>
      <c r="E14" s="455"/>
    </row>
    <row r="15" spans="1:9" ht="15.75" thickBot="1">
      <c r="A15" s="429" t="s">
        <v>585</v>
      </c>
      <c r="B15" s="431" t="s">
        <v>586</v>
      </c>
      <c r="C15" s="432"/>
      <c r="D15" s="432"/>
      <c r="E15" s="433"/>
    </row>
    <row r="16" spans="1:9" ht="15" thickBot="1">
      <c r="A16" s="430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COUNTIFS(TabellaTest!M4:M270,1,TabellaTest!T4:T270,"A")</f>
        <v>0</v>
      </c>
      <c r="C17" s="280">
        <f>COUNTIFS(TabellaTest!M4:M270,2,TabellaTest!T4:T270,"A")</f>
        <v>0</v>
      </c>
      <c r="D17" s="280">
        <f>COUNTIFS(TabellaTest!M4:M270,3,TabellaTest!T4:T270,"A")</f>
        <v>0</v>
      </c>
      <c r="E17" s="280">
        <f>COUNTIFS(TabellaTest!M4:M270,4,TabellaTest!T4:T270,"A")</f>
        <v>0</v>
      </c>
    </row>
    <row r="18" spans="1:5" ht="15" thickBot="1">
      <c r="A18" s="278" t="s">
        <v>153</v>
      </c>
      <c r="B18" s="280">
        <f>COUNTIFS(TabellaTest!M4:M270,1,TabellaTest!T4:T270,"B")</f>
        <v>0</v>
      </c>
      <c r="C18" s="280">
        <f>COUNTIFS(TabellaTest!M4:M270,2,TabellaTest!T4:T270,"B")</f>
        <v>0</v>
      </c>
      <c r="D18" s="280">
        <f>COUNTIFS(TabellaTest!M4:M270,3,TabellaTest!T4:T270,"B")</f>
        <v>0</v>
      </c>
      <c r="E18" s="280">
        <f>COUNTIFS(TabellaTest!M4:M270,4,TabellaTest!T4:T270,"B")</f>
        <v>0</v>
      </c>
    </row>
    <row r="19" spans="1:5" ht="15" thickBot="1">
      <c r="A19" s="279" t="s">
        <v>154</v>
      </c>
      <c r="B19" s="280">
        <f>COUNTIFS(TabellaTest!M4:M270,1,TabellaTest!T4:T270,"C")</f>
        <v>0</v>
      </c>
      <c r="C19" s="280">
        <f>COUNTIFS(TabellaTest!M4:M270,2,TabellaTest!T4:T270,"C")</f>
        <v>0</v>
      </c>
      <c r="D19" s="280">
        <f>COUNTIFS(TabellaTest!M4:M270,3,TabellaTest!T4:T270,"C")</f>
        <v>0</v>
      </c>
      <c r="E19" s="280">
        <f>COUNTIFS(TabellaTest!M4:M270,4,TabellaTest!T4:T270,"C")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56" t="s">
        <v>212</v>
      </c>
      <c r="B2" s="457"/>
      <c r="C2" s="458"/>
      <c r="D2" s="458"/>
      <c r="E2" s="458"/>
      <c r="F2" s="458"/>
      <c r="G2" s="458"/>
      <c r="H2" s="459"/>
    </row>
    <row r="3" spans="1:8" ht="13.5" thickBot="1">
      <c r="A3" s="460" t="s">
        <v>74</v>
      </c>
      <c r="B3" s="461"/>
      <c r="C3" s="462"/>
      <c r="D3" s="462"/>
      <c r="E3" s="462"/>
      <c r="F3" s="462"/>
      <c r="G3" s="463"/>
      <c r="H3" s="463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75" t="s">
        <v>212</v>
      </c>
      <c r="B1" s="476"/>
      <c r="C1" s="477"/>
      <c r="D1" s="471" t="s">
        <v>334</v>
      </c>
      <c r="E1" s="472"/>
      <c r="F1" s="472"/>
      <c r="G1" s="472"/>
      <c r="H1" s="473"/>
      <c r="I1" s="474"/>
    </row>
    <row r="2" spans="1:9" ht="22.5" customHeight="1" thickBot="1">
      <c r="A2" s="478" t="s">
        <v>74</v>
      </c>
      <c r="B2" s="479"/>
      <c r="C2" s="480"/>
      <c r="D2" s="484" t="s">
        <v>336</v>
      </c>
      <c r="E2" s="485"/>
      <c r="F2" s="486"/>
      <c r="G2" s="486"/>
      <c r="H2" s="486"/>
      <c r="I2" s="487"/>
    </row>
    <row r="3" spans="1:9" ht="52.5" customHeight="1">
      <c r="A3" s="72" t="s">
        <v>184</v>
      </c>
      <c r="B3" s="36" t="s">
        <v>62</v>
      </c>
      <c r="C3" s="481" t="s">
        <v>61</v>
      </c>
      <c r="D3" s="482"/>
      <c r="E3" s="481" t="s">
        <v>185</v>
      </c>
      <c r="F3" s="483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67" t="s">
        <v>497</v>
      </c>
      <c r="D4" s="468"/>
      <c r="E4" s="466" t="s">
        <v>498</v>
      </c>
      <c r="F4" s="465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69" t="s">
        <v>344</v>
      </c>
      <c r="D13" s="470"/>
      <c r="E13" s="469" t="s">
        <v>345</v>
      </c>
      <c r="F13" s="470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64" t="str">
        <f>Es.1!L6</f>
        <v>Inserimento dati duplicati</v>
      </c>
      <c r="D28" s="465"/>
      <c r="E28" s="466" t="s">
        <v>498</v>
      </c>
      <c r="F28" s="465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64" t="str">
        <f>Es.1!L7</f>
        <v>Inserimento dati non validi</v>
      </c>
      <c r="D29" s="465"/>
      <c r="E29" s="466" t="s">
        <v>498</v>
      </c>
      <c r="F29" s="465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64" t="str">
        <f>Es.1!L8</f>
        <v>Verifica Accessibilità</v>
      </c>
      <c r="D30" s="465"/>
      <c r="E30" s="466" t="s">
        <v>498</v>
      </c>
      <c r="F30" s="465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64" t="str">
        <f>Es.1!L9</f>
        <v>Verifica Usabilità</v>
      </c>
      <c r="D31" s="465"/>
      <c r="E31" s="466" t="s">
        <v>498</v>
      </c>
      <c r="F31" s="465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64" t="str">
        <f>Es.1!L10</f>
        <v>Ricerca - visualizzazione - modifica e cancellazione anagrafica</v>
      </c>
      <c r="D32" s="465"/>
      <c r="E32" s="466" t="s">
        <v>498</v>
      </c>
      <c r="F32" s="465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64" t="str">
        <f>Es.1!L11</f>
        <v>Creazione progetto, inserimento e modifica anagrafica, stampa resoconto.</v>
      </c>
      <c r="D33" s="465"/>
      <c r="E33" s="466" t="s">
        <v>498</v>
      </c>
      <c r="F33" s="465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64" t="str">
        <f>Es.1!L12</f>
        <v>Ricerca - visualizzazione elenco progetti</v>
      </c>
      <c r="D34" s="465"/>
      <c r="E34" s="466" t="s">
        <v>498</v>
      </c>
      <c r="F34" s="465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64" t="str">
        <f>Es.1!L13</f>
        <v xml:space="preserve">Ricerca - lista vuota - annulla </v>
      </c>
      <c r="D35" s="465"/>
      <c r="E35" s="466" t="s">
        <v>498</v>
      </c>
      <c r="F35" s="465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64" t="str">
        <f>Es.1!L14</f>
        <v>Checklist Accessibilità</v>
      </c>
      <c r="D36" s="465"/>
      <c r="E36" s="466" t="s">
        <v>498</v>
      </c>
      <c r="F36" s="465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64" t="str">
        <f>Es.1!L15</f>
        <v>Performance Test su ricerca dati progetto</v>
      </c>
      <c r="D37" s="465"/>
      <c r="E37" s="466" t="s">
        <v>498</v>
      </c>
      <c r="F37" s="465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69" t="s">
        <v>82</v>
      </c>
      <c r="D38" s="470"/>
      <c r="E38" s="488" t="s">
        <v>83</v>
      </c>
      <c r="F38" s="470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15"/>
      <c r="C1" s="515"/>
      <c r="D1" s="515"/>
      <c r="E1" s="516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17" t="s">
        <v>43</v>
      </c>
      <c r="B2" s="518"/>
      <c r="C2" s="518"/>
      <c r="D2" s="518"/>
      <c r="E2" s="518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19" t="s">
        <v>286</v>
      </c>
      <c r="C3" s="520"/>
      <c r="D3" s="520"/>
      <c r="E3" s="520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06" t="s">
        <v>12</v>
      </c>
      <c r="C4" s="507"/>
      <c r="D4" s="507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06"/>
      <c r="C5" s="507"/>
      <c r="D5" s="507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06"/>
      <c r="C6" s="507"/>
      <c r="D6" s="507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06" t="s">
        <v>12</v>
      </c>
      <c r="C7" s="507"/>
      <c r="D7" s="507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06">
        <v>1</v>
      </c>
      <c r="C8" s="507"/>
      <c r="D8" s="507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06" t="s">
        <v>362</v>
      </c>
      <c r="C9" s="507"/>
      <c r="D9" s="507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06" t="s">
        <v>289</v>
      </c>
      <c r="C10" s="507"/>
      <c r="D10" s="507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06">
        <v>10</v>
      </c>
      <c r="C11" s="507"/>
      <c r="D11" s="507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06"/>
      <c r="C12" s="507"/>
      <c r="D12" s="507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06">
        <v>4</v>
      </c>
      <c r="C13" s="507"/>
      <c r="D13" s="507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06">
        <v>4</v>
      </c>
      <c r="C14" s="507"/>
      <c r="D14" s="507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22"/>
      <c r="C15" s="507"/>
      <c r="D15" s="507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21"/>
      <c r="B16" s="521"/>
      <c r="C16" s="521"/>
      <c r="D16" s="521"/>
      <c r="E16" s="521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99"/>
      <c r="B17" s="499"/>
      <c r="C17" s="499"/>
      <c r="D17" s="499"/>
      <c r="E17" s="499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98" t="s">
        <v>293</v>
      </c>
      <c r="B18" s="498"/>
      <c r="C18" s="498"/>
      <c r="D18" s="499"/>
      <c r="E18" s="499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09" t="s">
        <v>294</v>
      </c>
      <c r="B19" s="510"/>
      <c r="C19" s="510"/>
      <c r="D19" s="499"/>
      <c r="E19" s="499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1">
        <v>4</v>
      </c>
      <c r="C20" s="502"/>
      <c r="D20" s="502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8">
        <v>0</v>
      </c>
      <c r="C21" s="502"/>
      <c r="D21" s="502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1">
        <v>1</v>
      </c>
      <c r="C22" s="512"/>
      <c r="D22" s="512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13" t="s">
        <v>540</v>
      </c>
      <c r="C23" s="514"/>
      <c r="D23" s="514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23"/>
      <c r="B24" s="523"/>
      <c r="C24" s="523"/>
      <c r="D24" s="524"/>
      <c r="E24" s="525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503" t="s">
        <v>405</v>
      </c>
      <c r="B25" s="504"/>
      <c r="C25" s="504"/>
      <c r="D25" s="505"/>
      <c r="E25" s="505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29"/>
      <c r="B32" s="529"/>
      <c r="C32" s="529"/>
      <c r="D32" s="521"/>
      <c r="E32" s="521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503" t="s">
        <v>406</v>
      </c>
      <c r="B33" s="504"/>
      <c r="C33" s="504"/>
      <c r="D33" s="505"/>
      <c r="E33" s="505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23"/>
      <c r="B40" s="523"/>
      <c r="C40" s="523"/>
      <c r="D40" s="524"/>
      <c r="E40" s="525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503" t="s">
        <v>407</v>
      </c>
      <c r="B41" s="504"/>
      <c r="C41" s="504"/>
      <c r="D41" s="505"/>
      <c r="E41" s="505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23"/>
      <c r="B48" s="523"/>
      <c r="C48" s="523"/>
      <c r="D48" s="524"/>
      <c r="E48" s="525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503" t="s">
        <v>285</v>
      </c>
      <c r="B49" s="504"/>
      <c r="C49" s="504"/>
      <c r="D49" s="505"/>
      <c r="E49" s="505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21"/>
      <c r="B56" s="521"/>
      <c r="C56" s="521"/>
      <c r="D56" s="521"/>
      <c r="E56" s="521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99"/>
      <c r="B57" s="499"/>
      <c r="C57" s="499"/>
      <c r="D57" s="499"/>
      <c r="E57" s="499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99"/>
      <c r="B58" s="499"/>
      <c r="C58" s="499"/>
      <c r="D58" s="499"/>
      <c r="E58" s="499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98" t="s">
        <v>149</v>
      </c>
      <c r="B59" s="498"/>
      <c r="C59" s="498"/>
      <c r="D59" s="499"/>
      <c r="E59" s="499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26" t="s">
        <v>301</v>
      </c>
      <c r="D60" s="527"/>
      <c r="E60" s="528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92" t="s">
        <v>258</v>
      </c>
      <c r="D61" s="493"/>
      <c r="E61" s="500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92" t="s">
        <v>258</v>
      </c>
      <c r="D62" s="493"/>
      <c r="E62" s="500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92" t="s">
        <v>258</v>
      </c>
      <c r="D63" s="493"/>
      <c r="E63" s="500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92" t="s">
        <v>258</v>
      </c>
      <c r="D64" s="493"/>
      <c r="E64" s="500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92" t="s">
        <v>258</v>
      </c>
      <c r="D65" s="493"/>
      <c r="E65" s="500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92" t="s">
        <v>258</v>
      </c>
      <c r="D66" s="493"/>
      <c r="E66" s="500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92" t="s">
        <v>258</v>
      </c>
      <c r="D67" s="493"/>
      <c r="E67" s="500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92" t="s">
        <v>258</v>
      </c>
      <c r="D68" s="493"/>
      <c r="E68" s="500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92" t="s">
        <v>258</v>
      </c>
      <c r="D69" s="493"/>
      <c r="E69" s="500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92" t="s">
        <v>258</v>
      </c>
      <c r="D70" s="493"/>
      <c r="E70" s="500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92" t="s">
        <v>258</v>
      </c>
      <c r="D71" s="493"/>
      <c r="E71" s="500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92" t="s">
        <v>258</v>
      </c>
      <c r="D72" s="493"/>
      <c r="E72" s="500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92" t="s">
        <v>258</v>
      </c>
      <c r="D73" s="493"/>
      <c r="E73" s="500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92" t="s">
        <v>258</v>
      </c>
      <c r="D74" s="493" t="s">
        <v>258</v>
      </c>
      <c r="E74" s="500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92" t="s">
        <v>258</v>
      </c>
      <c r="D75" s="493"/>
      <c r="E75" s="500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92" t="s">
        <v>258</v>
      </c>
      <c r="D76" s="493"/>
      <c r="E76" s="500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92" t="s">
        <v>258</v>
      </c>
      <c r="D77" s="493"/>
      <c r="E77" s="500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92" t="s">
        <v>258</v>
      </c>
      <c r="D78" s="493"/>
      <c r="E78" s="500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92" t="s">
        <v>258</v>
      </c>
      <c r="D79" s="493"/>
      <c r="E79" s="500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92" t="s">
        <v>258</v>
      </c>
      <c r="D80" s="493"/>
      <c r="E80" s="500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92" t="s">
        <v>365</v>
      </c>
      <c r="D81" s="493"/>
      <c r="E81" s="500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92"/>
      <c r="D82" s="493"/>
      <c r="E82" s="500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92"/>
      <c r="D83" s="493"/>
      <c r="E83" s="500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92"/>
      <c r="D84" s="493"/>
      <c r="E84" s="500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92" t="s">
        <v>169</v>
      </c>
      <c r="D85" s="493"/>
      <c r="E85" s="500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92" t="s">
        <v>169</v>
      </c>
      <c r="D86" s="493"/>
      <c r="E86" s="500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92" t="s">
        <v>169</v>
      </c>
      <c r="D87" s="493"/>
      <c r="E87" s="500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92" t="s">
        <v>169</v>
      </c>
      <c r="D88" s="493"/>
      <c r="E88" s="500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92" t="s">
        <v>169</v>
      </c>
      <c r="D89" s="493"/>
      <c r="E89" s="500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98" t="s">
        <v>181</v>
      </c>
      <c r="B94" s="498"/>
      <c r="C94" s="498"/>
      <c r="D94" s="499"/>
      <c r="E94" s="499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92" t="s">
        <v>183</v>
      </c>
      <c r="D95" s="493"/>
      <c r="E95" s="493"/>
      <c r="G95" s="22"/>
      <c r="H95" s="22" t="s">
        <v>65</v>
      </c>
      <c r="I95" s="489" t="s">
        <v>455</v>
      </c>
      <c r="J95" s="490"/>
      <c r="K95" s="490"/>
      <c r="L95" s="490"/>
      <c r="M95" s="49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92" t="s">
        <v>210</v>
      </c>
      <c r="D96" s="493"/>
      <c r="E96" s="493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92" t="s">
        <v>211</v>
      </c>
      <c r="D97" s="493"/>
      <c r="E97" s="493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92" t="s">
        <v>402</v>
      </c>
      <c r="D98" s="493"/>
      <c r="E98" s="493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92"/>
      <c r="D99" s="493"/>
      <c r="E99" s="493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494" t="s">
        <v>431</v>
      </c>
      <c r="B100" s="495"/>
      <c r="C100" s="495"/>
      <c r="D100" s="495"/>
      <c r="E100" s="495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92" t="s">
        <v>401</v>
      </c>
      <c r="D101" s="493"/>
      <c r="E101" s="493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92" t="s">
        <v>401</v>
      </c>
      <c r="D102" s="493"/>
      <c r="E102" s="493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92" t="s">
        <v>401</v>
      </c>
      <c r="D103" s="493"/>
      <c r="E103" s="493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92" t="s">
        <v>401</v>
      </c>
      <c r="D104" s="493"/>
      <c r="E104" s="493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92" t="s">
        <v>401</v>
      </c>
      <c r="D105" s="493"/>
      <c r="E105" s="493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92" t="s">
        <v>401</v>
      </c>
      <c r="D106" s="493"/>
      <c r="E106" s="493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92" t="s">
        <v>401</v>
      </c>
      <c r="D107" s="493"/>
      <c r="E107" s="493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92" t="s">
        <v>47</v>
      </c>
      <c r="D108" s="493"/>
      <c r="E108" s="493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494" t="s">
        <v>432</v>
      </c>
      <c r="B109" s="495"/>
      <c r="C109" s="495"/>
      <c r="D109" s="495"/>
      <c r="E109" s="495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92" t="s">
        <v>401</v>
      </c>
      <c r="D110" s="493"/>
      <c r="E110" s="493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92" t="s">
        <v>401</v>
      </c>
      <c r="D111" s="493"/>
      <c r="E111" s="49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92" t="s">
        <v>401</v>
      </c>
      <c r="D112" s="493"/>
      <c r="E112" s="493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92" t="s">
        <v>401</v>
      </c>
      <c r="D113" s="493"/>
      <c r="E113" s="49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92" t="s">
        <v>401</v>
      </c>
      <c r="D114" s="493"/>
      <c r="E114" s="49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494" t="s">
        <v>397</v>
      </c>
      <c r="B115" s="495"/>
      <c r="C115" s="495"/>
      <c r="D115" s="495"/>
      <c r="E115" s="495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92" t="s">
        <v>399</v>
      </c>
      <c r="D116" s="493"/>
      <c r="E116" s="49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92" t="s">
        <v>399</v>
      </c>
      <c r="D117" s="493"/>
      <c r="E117" s="49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92" t="s">
        <v>403</v>
      </c>
      <c r="D118" s="493"/>
      <c r="E118" s="49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92" t="s">
        <v>402</v>
      </c>
      <c r="D119" s="493"/>
      <c r="E119" s="49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92"/>
      <c r="D121" s="493"/>
      <c r="E121" s="49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92" t="s">
        <v>382</v>
      </c>
      <c r="D122" s="493"/>
      <c r="E122" s="49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98" t="s">
        <v>459</v>
      </c>
      <c r="B124" s="498"/>
      <c r="C124" s="498"/>
      <c r="D124" s="499"/>
      <c r="E124" s="499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496"/>
      <c r="D125" s="497"/>
      <c r="E125" s="497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496"/>
      <c r="D126" s="497"/>
      <c r="E126" s="497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496"/>
      <c r="D127" s="497"/>
      <c r="E127" s="497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496"/>
      <c r="D128" s="497"/>
      <c r="E128" s="497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64" t="s">
        <v>187</v>
      </c>
      <c r="D4" s="530"/>
      <c r="E4" s="531" t="s">
        <v>185</v>
      </c>
      <c r="F4" s="532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37" t="s">
        <v>201</v>
      </c>
      <c r="D16" s="538"/>
      <c r="E16" s="539"/>
      <c r="F16" s="540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37" t="s">
        <v>425</v>
      </c>
      <c r="D27" s="538"/>
      <c r="E27" s="539"/>
      <c r="F27" s="540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1" t="s">
        <v>61</v>
      </c>
      <c r="D40" s="542"/>
      <c r="E40" s="543" t="s">
        <v>185</v>
      </c>
      <c r="F40" s="544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33" t="s">
        <v>187</v>
      </c>
      <c r="D41" s="534"/>
      <c r="E41" s="535"/>
      <c r="F41" s="536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45" t="s">
        <v>212</v>
      </c>
      <c r="B53" s="546"/>
      <c r="C53" s="547"/>
      <c r="D53" s="548"/>
      <c r="E53" s="549"/>
      <c r="F53" s="549"/>
      <c r="G53" s="549"/>
      <c r="H53" s="476"/>
      <c r="I53" s="550"/>
    </row>
    <row r="54" spans="1:9" ht="30" customHeight="1" thickBot="1">
      <c r="A54" s="551" t="s">
        <v>42</v>
      </c>
      <c r="B54" s="552"/>
      <c r="C54" s="553"/>
      <c r="D54" s="554"/>
      <c r="E54" s="555"/>
      <c r="F54" s="555"/>
      <c r="G54" s="555"/>
      <c r="H54" s="556"/>
      <c r="I54" s="557"/>
    </row>
    <row r="55" spans="1:9" ht="31.5">
      <c r="A55" s="126" t="s">
        <v>184</v>
      </c>
      <c r="B55" s="121" t="s">
        <v>62</v>
      </c>
      <c r="C55" s="558" t="s">
        <v>61</v>
      </c>
      <c r="D55" s="559"/>
      <c r="E55" s="560" t="s">
        <v>185</v>
      </c>
      <c r="F55" s="561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64"/>
      <c r="D56" s="530"/>
      <c r="E56" s="531"/>
      <c r="F56" s="532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purl.org/dc/terms/"/>
    <ds:schemaRef ds:uri="http://schemas.microsoft.com/office/2006/documentManagement/types"/>
    <ds:schemaRef ds:uri="9345d9e0-45ad-4592-a016-571b7fc0fa4f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2025-10-21T07:37:08Z</dcterms:modified>
  <cp:category>Test</cp:category>
</cp:coreProperties>
</file>