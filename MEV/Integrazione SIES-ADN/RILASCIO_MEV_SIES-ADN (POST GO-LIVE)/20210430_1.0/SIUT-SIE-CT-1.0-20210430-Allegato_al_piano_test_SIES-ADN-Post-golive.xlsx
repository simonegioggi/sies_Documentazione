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ORGANIZZAZIONE - SIUT\DOCUMENTAZIONE\Integrazione SIES-ADN\RILASCIO_MEV_SIES-ADN (POST GO-LIVE)\"/>
    </mc:Choice>
  </mc:AlternateContent>
  <xr:revisionPtr revIDLastSave="0" documentId="13_ncr:1_{A256D118-2C16-49AD-A5A9-38F0D66DC1A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5" i="3" l="1"/>
  <c r="D15" i="3"/>
  <c r="B15" i="3"/>
  <c r="A15" i="3"/>
  <c r="F4" i="3"/>
  <c r="D4" i="3"/>
  <c r="B4" i="3"/>
  <c r="A4" i="3"/>
  <c r="D1" i="3" l="1"/>
  <c r="B17" i="5" l="1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Salvaggio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<sst xmlns="http://schemas.openxmlformats.org/spreadsheetml/2006/main" count="205" uniqueCount="125">
  <si>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</si>
  <si>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</si>
  <si>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</si>
  <si>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</si>
  <si>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</si>
  <si>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</si>
  <si>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</si>
  <si>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</si>
  <si>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</si>
  <si>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</si>
  <si>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</si>
  <si>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</si>
  <si>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</si>
  <si>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</si>
  <si>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</si>
  <si>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</si>
  <si>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</si>
  <si>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</si>
  <si>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</si>
  <si>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</si>
  <si>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</si>
  <si>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</si>
  <si>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</si>
  <si>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</si>
  <si>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</si>
  <si>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</si>
  <si>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</si>
  <si>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</si>
  <si>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</si>
  <si>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</si>
  <si>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</si>
  <si>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</si>
  <si>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</si>
  <si>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</si>
  <si>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</si>
  <si>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</si>
  <si>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</si>
  <si>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</si>
  <si>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</si>
  <si>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</si>
  <si>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</si>
  <si>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</si>
  <si>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</si>
  <si>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</si>
  <si>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</si>
  <si>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</si>
  <si>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</si>
  <si>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</si>
  <si>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</si>
  <si>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</si>
  <si>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</si>
  <si>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</si>
  <si>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</si>
  <si>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</si>
  <si>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</si>
  <si>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</si>
  <si>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</si>
  <si>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</si>
  <si>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</si>
  <si>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</si>
  <si>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</si>
  <si>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</si>
  <si>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</si>
  <si>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</si>
  <si>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</si>
  <si>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</si>
  <si>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</si>
  <si>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</si>
  <si>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</si>
  <si>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</si>
  <si>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</si>
  <si>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</si>
  <si>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</si>
  <si>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</si>
  <si>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</si>
  <si>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</si>
  <si>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</si>
  <si>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</si>
  <si>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</si>
  <si>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</si>
  <si>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</si>
  <si>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</si>
  <si>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TF001.UC02</t>
  </si>
  <si>
    <t>Penale</t>
  </si>
  <si>
    <t>SIES</t>
  </si>
  <si>
    <t>REQ-SIC-003</t>
  </si>
  <si>
    <t>L'utente inserisce le proprie credenziali ADN</t>
  </si>
  <si>
    <t>il sistema effettua un controllo sulla ‘autenticità’ delle informazioni inserite effettuando una chiamata LDAP sul server ADN di giustizia.</t>
  </si>
  <si>
    <t>Il sistema ridirige l’utente sulla stessa pagina, mostrando una funzione di gestione profilazione delle utenze SIES.</t>
  </si>
  <si>
    <t>1</t>
  </si>
  <si>
    <t>2</t>
  </si>
  <si>
    <t>3</t>
  </si>
  <si>
    <t>V</t>
  </si>
  <si>
    <t>Verifica</t>
  </si>
  <si>
    <t>L'utente effettua l'accesso al sistema SIES</t>
  </si>
  <si>
    <t>L'utente ha già un'utenza SIEP associata ad utenza ADN</t>
  </si>
  <si>
    <t>L'utente si trova nella pagina principale dell'applicazione SIEP.</t>
  </si>
  <si>
    <t>5</t>
  </si>
  <si>
    <t>6</t>
  </si>
  <si>
    <t>L'utente ha già un'utenza SIUS associata ad utenza ADN</t>
  </si>
  <si>
    <t>L'utente si trova nella pagina principale dell'applicazione SIUS.</t>
  </si>
  <si>
    <t xml:space="preserve">Ricerche e Visualizzazioni » Procedimento per n° SIUS </t>
  </si>
  <si>
    <t>7</t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</si>
  <si>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</si>
  <si>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Ricerca Procedimento</t>
    </r>
  </si>
  <si>
    <t>SIUT-SIE-CT-1.0-20210430-Allegato-al-piano-test_SIES-ADN-Post-golive.xls</t>
  </si>
  <si>
    <t>SIUT-SIE-PT-1.0-20210430-Piano_dei_Test_SIES-ADN-Post-golive.doc</t>
  </si>
  <si>
    <t>1.0</t>
  </si>
  <si>
    <t>Integrazione SIES-ADN-Post-golive</t>
  </si>
  <si>
    <t xml:space="preserve">Istruttorie/Richieste  » Richiesta Certificato Penale </t>
  </si>
  <si>
    <t xml:space="preserve">L'utente ricerca un procedimento  </t>
  </si>
  <si>
    <r>
      <t>Viene visualizzata la pagina</t>
    </r>
    <r>
      <rPr>
        <b/>
        <sz val="10"/>
        <rFont val="Calibri"/>
        <family val="2"/>
        <scheme val="minor"/>
      </rPr>
      <t xml:space="preserve">  Richiesta Certificato Penale </t>
    </r>
  </si>
  <si>
    <r>
      <t xml:space="preserve">L'utente clicca sul pulsante </t>
    </r>
    <r>
      <rPr>
        <b/>
        <sz val="10"/>
        <rFont val="Calibri"/>
        <family val="2"/>
        <scheme val="minor"/>
      </rPr>
      <t>Richiesta Certificato</t>
    </r>
  </si>
  <si>
    <t>Verificare che venga prodotto il certificato penale</t>
  </si>
  <si>
    <r>
      <t>Visualizzazione pagina</t>
    </r>
    <r>
      <rPr>
        <b/>
        <sz val="10"/>
        <rFont val="Calibri"/>
        <family val="2"/>
        <scheme val="minor"/>
      </rPr>
      <t xml:space="preserve">  Ricerca Procedimento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</si>
  <si>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Dettaglio Procedimento SIUS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</si>
  <si>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Richiesta Certificato Penale </t>
    </r>
  </si>
  <si>
    <r>
      <t>Dalla combo posta nella parte superiore della videata e contenente le varie funzionalità l'utente seleziona</t>
    </r>
    <r>
      <rPr>
        <b/>
        <sz val="10"/>
        <rFont val="Calibri"/>
        <family val="2"/>
        <scheme val="minor"/>
      </rPr>
      <t xml:space="preserve"> Richiesta Certificato Penale</t>
    </r>
  </si>
  <si>
    <t>In fase di ‘invocazione’ del servizio dal ‘client’ SIES viene passato lo username ADN</t>
  </si>
  <si>
    <t>Verifica: verificare che in ambito SIEP la richiesta del certificato penale avvenga correttamente.</t>
  </si>
  <si>
    <t>Verifica: verificare che in ambito SIUS la richiesta del certificato penale avvenga correttamente.</t>
  </si>
  <si>
    <t>Richiesta certificato penale su SIEP</t>
  </si>
  <si>
    <t>Richiesta certificato penale su SIUS</t>
  </si>
  <si>
    <r>
      <t xml:space="preserve">Viene visualizzata la pagina con l'utenza SIEP associata con il pulsante </t>
    </r>
    <r>
      <rPr>
        <b/>
        <sz val="10"/>
        <rFont val="Calibri"/>
        <family val="2"/>
        <scheme val="minor"/>
      </rPr>
      <t>Entra</t>
    </r>
  </si>
  <si>
    <r>
      <t xml:space="preserve">Viene visualizzata la pagina con l'utenza SIUS associata con il pulsante </t>
    </r>
    <r>
      <rPr>
        <b/>
        <sz val="10"/>
        <rFont val="Calibri"/>
        <family val="2"/>
        <scheme val="minor"/>
      </rPr>
      <t>Entra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</si>
</sst>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50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6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22" fillId="12" borderId="43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0" fillId="13" borderId="49" xfId="0" applyFont="1" applyFill="1" applyBorder="1" applyAlignment="1">
      <alignment vertical="center" wrapText="1"/>
    </xf>
    <xf numFmtId="0" fontId="18" fillId="14" borderId="54" xfId="0" applyFont="1" applyFill="1" applyBorder="1" applyAlignment="1">
      <alignment horizontal="center" vertical="center" wrapText="1"/>
    </xf>
    <xf numFmtId="0" fontId="18" fillId="14" borderId="55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1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1" fontId="20" fillId="0" borderId="4" xfId="0" applyNumberFormat="1" applyFont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6" borderId="48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8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11" fillId="0" borderId="44" xfId="0" applyFont="1" applyBorder="1" applyAlignment="1">
      <alignment vertical="center" wrapText="1"/>
    </xf>
    <xf numFmtId="0" fontId="22" fillId="12" borderId="58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4" xfId="0" applyFont="1" applyFill="1" applyBorder="1" applyAlignment="1" applyProtection="1">
      <alignment horizontal="center" vertical="center" wrapText="1"/>
      <protection locked="0"/>
    </xf>
    <xf numFmtId="49" fontId="27" fillId="0" borderId="44" xfId="0" applyNumberFormat="1" applyFont="1" applyBorder="1" applyAlignment="1">
      <alignment vertical="center" wrapText="1"/>
    </xf>
    <xf numFmtId="0" fontId="27" fillId="0" borderId="44" xfId="0" applyFont="1" applyBorder="1" applyAlignment="1">
      <alignment vertical="center" wrapText="1"/>
    </xf>
    <xf numFmtId="0" fontId="6" fillId="15" borderId="56" xfId="0" applyFont="1" applyFill="1" applyBorder="1" applyAlignment="1">
      <alignment horizontal="center" vertical="center" wrapText="1"/>
    </xf>
    <xf numFmtId="0" fontId="6" fillId="15" borderId="57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18" fillId="12" borderId="45" xfId="0" applyFont="1" applyFill="1" applyBorder="1" applyAlignment="1">
      <alignment horizontal="center" vertical="center" wrapText="1"/>
    </xf>
    <xf numFmtId="1" fontId="20" fillId="13" borderId="50" xfId="0" applyNumberFormat="1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left" vertical="center" wrapText="1"/>
    </xf>
    <xf numFmtId="0" fontId="20" fillId="0" borderId="52" xfId="0" applyFont="1" applyBorder="1" applyAlignment="1">
      <alignment horizontal="left" vertical="center" wrapText="1"/>
    </xf>
    <xf numFmtId="0" fontId="20" fillId="0" borderId="53" xfId="0" applyFont="1" applyBorder="1" applyAlignment="1">
      <alignment horizontal="left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Normale 4" xfId="3" xr:uid="{00000000-0005-0000-0000-000003000000}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7" sqref="D7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86" t="s">
        <v>44</v>
      </c>
      <c r="C2" s="87"/>
    </row>
    <row r="3" spans="1:4" ht="16.5" customHeight="1" x14ac:dyDescent="0.45">
      <c r="A3" s="8"/>
      <c r="B3" s="42" t="s">
        <v>0</v>
      </c>
      <c r="C3" s="49" t="s">
        <v>105</v>
      </c>
    </row>
    <row r="4" spans="1:4" ht="16.5" customHeight="1" x14ac:dyDescent="0.45">
      <c r="A4" s="8"/>
      <c r="B4" s="42" t="s">
        <v>1</v>
      </c>
      <c r="C4" s="49" t="s">
        <v>106</v>
      </c>
    </row>
    <row r="5" spans="1:4" ht="18.75" customHeight="1" x14ac:dyDescent="0.45">
      <c r="A5" s="8"/>
      <c r="B5" s="42" t="s">
        <v>2</v>
      </c>
      <c r="C5" s="49" t="s">
        <v>107</v>
      </c>
    </row>
    <row r="6" spans="1:4" ht="15" customHeight="1" x14ac:dyDescent="0.45">
      <c r="A6" s="8"/>
      <c r="B6" s="42" t="s">
        <v>3</v>
      </c>
      <c r="C6" s="50">
        <v>44316</v>
      </c>
    </row>
    <row r="7" spans="1:4" ht="16.5" customHeight="1" x14ac:dyDescent="0.45">
      <c r="A7" s="8"/>
      <c r="B7" s="42" t="s">
        <v>4</v>
      </c>
      <c r="C7" s="49" t="s">
        <v>108</v>
      </c>
    </row>
    <row r="8" spans="1:4" ht="16.5" customHeight="1" x14ac:dyDescent="0.45">
      <c r="A8" s="8"/>
      <c r="B8" s="42" t="s">
        <v>5</v>
      </c>
      <c r="C8" s="49" t="s">
        <v>83</v>
      </c>
    </row>
    <row r="9" spans="1:4" ht="120.75" customHeight="1" x14ac:dyDescent="0.45">
      <c r="A9" s="8"/>
      <c r="B9" s="85" t="s">
        <v>6</v>
      </c>
      <c r="C9" s="85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"/>
  <sheetViews>
    <sheetView zoomScale="77" zoomScaleNormal="77" workbookViewId="0">
      <selection activeCell="G13" sqref="G13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34.71093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0" ht="32.25" customHeight="1" x14ac:dyDescent="0.25">
      <c r="A1" s="89" t="s">
        <v>4</v>
      </c>
      <c r="B1" s="90"/>
      <c r="C1" s="88" t="str">
        <f>Copertina!C7</f>
        <v>Integrazione SIES-ADN-Post-golive</v>
      </c>
      <c r="D1" s="88"/>
      <c r="E1" s="88"/>
      <c r="F1" s="88"/>
      <c r="G1" s="88"/>
      <c r="H1" s="88"/>
      <c r="I1" s="88"/>
      <c r="J1" s="88"/>
    </row>
    <row r="2" spans="1:10" ht="32.25" customHeight="1" x14ac:dyDescent="0.25">
      <c r="A2" s="89" t="s">
        <v>12</v>
      </c>
      <c r="B2" s="90"/>
      <c r="C2" s="88" t="str">
        <f>Copertina!C3</f>
        <v>SIUT-SIE-CT-1.0-20210430-Allegato-al-piano-test_SIES-ADN-Post-golive.xls</v>
      </c>
      <c r="D2" s="88"/>
      <c r="E2" s="88"/>
      <c r="F2" s="88"/>
      <c r="G2" s="88"/>
      <c r="H2" s="88"/>
      <c r="I2" s="88"/>
      <c r="J2" s="88"/>
    </row>
    <row r="3" spans="1:10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0" ht="38.25" x14ac:dyDescent="0.25">
      <c r="A4" s="66" t="s">
        <v>84</v>
      </c>
      <c r="B4" s="64" t="s">
        <v>85</v>
      </c>
      <c r="C4" s="64" t="s">
        <v>85</v>
      </c>
      <c r="D4" s="66" t="s">
        <v>79</v>
      </c>
      <c r="E4" s="51" t="s">
        <v>121</v>
      </c>
      <c r="F4" s="66" t="s">
        <v>80</v>
      </c>
      <c r="G4" s="51" t="s">
        <v>119</v>
      </c>
      <c r="H4" s="65">
        <v>2</v>
      </c>
      <c r="I4" s="65" t="s">
        <v>25</v>
      </c>
      <c r="J4" s="63"/>
    </row>
    <row r="5" spans="1:10" ht="38.25" x14ac:dyDescent="0.25">
      <c r="A5" s="66" t="s">
        <v>84</v>
      </c>
      <c r="B5" s="64" t="s">
        <v>85</v>
      </c>
      <c r="C5" s="64" t="s">
        <v>85</v>
      </c>
      <c r="D5" s="66" t="s">
        <v>81</v>
      </c>
      <c r="E5" s="51" t="s">
        <v>122</v>
      </c>
      <c r="F5" s="66" t="s">
        <v>82</v>
      </c>
      <c r="G5" s="51" t="s">
        <v>120</v>
      </c>
      <c r="H5" s="65">
        <v>2</v>
      </c>
      <c r="I5" s="65" t="s">
        <v>25</v>
      </c>
      <c r="J5" s="63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zoomScale="71" zoomScaleNormal="71" workbookViewId="0">
      <selection activeCell="L26" sqref="L26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16384" width="9.140625" style="1"/>
  </cols>
  <sheetData>
    <row r="1" spans="1:7" ht="27.75" customHeight="1" x14ac:dyDescent="0.25">
      <c r="A1" s="91" t="s">
        <v>4</v>
      </c>
      <c r="B1" s="92"/>
      <c r="C1" s="93"/>
      <c r="D1" s="94" t="str">
        <f>Copertina!C7</f>
        <v>Integrazione SIES-ADN-Post-golive</v>
      </c>
      <c r="E1" s="94"/>
      <c r="F1" s="94"/>
      <c r="G1" s="94"/>
    </row>
    <row r="2" spans="1:7" ht="32.25" customHeight="1" thickBot="1" x14ac:dyDescent="0.3">
      <c r="A2" s="95" t="s">
        <v>12</v>
      </c>
      <c r="B2" s="96"/>
      <c r="C2" s="97"/>
      <c r="D2" s="94" t="str">
        <f>Copertina!C3</f>
        <v>SIUT-SIE-CT-1.0-20210430-Allegato-al-piano-test_SIES-ADN-Post-golive.xls</v>
      </c>
      <c r="E2" s="94"/>
      <c r="F2" s="94"/>
      <c r="G2" s="94"/>
    </row>
    <row r="3" spans="1:7" s="56" customFormat="1" ht="30.75" customHeight="1" thickBot="1" x14ac:dyDescent="0.3">
      <c r="A3" s="67" t="s">
        <v>13</v>
      </c>
      <c r="B3" s="98" t="s">
        <v>28</v>
      </c>
      <c r="C3" s="99"/>
      <c r="D3" s="98" t="s">
        <v>30</v>
      </c>
      <c r="E3" s="99"/>
      <c r="F3" s="98" t="s">
        <v>29</v>
      </c>
      <c r="G3" s="99"/>
    </row>
    <row r="4" spans="1:7" s="41" customFormat="1" ht="40.5" customHeight="1" thickBot="1" x14ac:dyDescent="0.3">
      <c r="A4" s="57" t="str">
        <f>TabellaTest!F4</f>
        <v>TF001.UC01</v>
      </c>
      <c r="B4" s="102" t="str">
        <f>TabellaTest!C4</f>
        <v>REQ-SIC-003</v>
      </c>
      <c r="C4" s="103"/>
      <c r="D4" s="104" t="str">
        <f>TabellaTest!E4</f>
        <v>Richiesta certificato penale su SIEP</v>
      </c>
      <c r="E4" s="105"/>
      <c r="F4" s="104" t="str">
        <f>TabellaTest!G4</f>
        <v>Verifica: verificare che in ambito SIEP la richiesta del certificato penale avvenga correttamente.</v>
      </c>
      <c r="G4" s="106"/>
    </row>
    <row r="5" spans="1:7" ht="30" x14ac:dyDescent="0.25">
      <c r="A5" s="107"/>
      <c r="B5" s="60" t="s">
        <v>34</v>
      </c>
      <c r="C5" s="61" t="s">
        <v>35</v>
      </c>
      <c r="D5" s="61" t="s">
        <v>36</v>
      </c>
      <c r="E5" s="61" t="s">
        <v>37</v>
      </c>
      <c r="F5" s="61" t="s">
        <v>38</v>
      </c>
      <c r="G5" s="62" t="s">
        <v>11</v>
      </c>
    </row>
    <row r="6" spans="1:7" ht="44.25" customHeight="1" x14ac:dyDescent="0.25">
      <c r="A6" s="108"/>
      <c r="B6" s="68" t="s">
        <v>39</v>
      </c>
      <c r="C6" s="69" t="s">
        <v>40</v>
      </c>
      <c r="D6" s="70" t="s">
        <v>94</v>
      </c>
      <c r="E6" s="70" t="s">
        <v>86</v>
      </c>
      <c r="F6" s="70" t="s">
        <v>87</v>
      </c>
      <c r="G6" s="54"/>
    </row>
    <row r="7" spans="1:7" ht="48.75" customHeight="1" x14ac:dyDescent="0.25">
      <c r="A7" s="108"/>
      <c r="B7" s="68" t="s">
        <v>39</v>
      </c>
      <c r="C7" s="69" t="s">
        <v>41</v>
      </c>
      <c r="D7" s="70" t="s">
        <v>88</v>
      </c>
      <c r="E7" s="70"/>
      <c r="F7" s="48"/>
      <c r="G7" s="54"/>
    </row>
    <row r="8" spans="1:7" ht="49.5" customHeight="1" x14ac:dyDescent="0.25">
      <c r="A8" s="108"/>
      <c r="B8" s="71" t="s">
        <v>89</v>
      </c>
      <c r="C8" s="72" t="s">
        <v>43</v>
      </c>
      <c r="D8" s="70" t="s">
        <v>95</v>
      </c>
      <c r="E8" s="73"/>
      <c r="F8" s="70" t="s">
        <v>123</v>
      </c>
      <c r="G8" s="54" t="s">
        <v>50</v>
      </c>
    </row>
    <row r="9" spans="1:7" ht="36" customHeight="1" x14ac:dyDescent="0.25">
      <c r="A9" s="108"/>
      <c r="B9" s="71" t="s">
        <v>90</v>
      </c>
      <c r="C9" s="72" t="s">
        <v>43</v>
      </c>
      <c r="D9" s="70" t="s">
        <v>103</v>
      </c>
      <c r="E9" s="73"/>
      <c r="F9" s="70"/>
      <c r="G9" s="54"/>
    </row>
    <row r="10" spans="1:7" ht="51" customHeight="1" x14ac:dyDescent="0.25">
      <c r="A10" s="108"/>
      <c r="B10" s="71" t="s">
        <v>91</v>
      </c>
      <c r="C10" s="72" t="s">
        <v>43</v>
      </c>
      <c r="D10" s="70" t="s">
        <v>96</v>
      </c>
      <c r="E10" s="70"/>
      <c r="F10" s="48"/>
      <c r="G10" s="54"/>
    </row>
    <row r="11" spans="1:7" ht="43.5" customHeight="1" x14ac:dyDescent="0.25">
      <c r="A11" s="108"/>
      <c r="B11" s="78">
        <v>4</v>
      </c>
      <c r="C11" s="79" t="s">
        <v>42</v>
      </c>
      <c r="D11" s="80" t="s">
        <v>109</v>
      </c>
      <c r="E11" s="73"/>
      <c r="F11" s="70" t="s">
        <v>104</v>
      </c>
      <c r="G11" s="54"/>
    </row>
    <row r="12" spans="1:7" ht="38.25" customHeight="1" x14ac:dyDescent="0.25">
      <c r="A12" s="108"/>
      <c r="B12" s="71" t="s">
        <v>97</v>
      </c>
      <c r="C12" s="72" t="s">
        <v>43</v>
      </c>
      <c r="D12" s="70" t="s">
        <v>110</v>
      </c>
      <c r="E12" s="73"/>
      <c r="F12" s="70" t="s">
        <v>111</v>
      </c>
      <c r="G12" s="54"/>
    </row>
    <row r="13" spans="1:7" ht="54" customHeight="1" x14ac:dyDescent="0.25">
      <c r="A13" s="108"/>
      <c r="B13" s="71" t="s">
        <v>98</v>
      </c>
      <c r="C13" s="72" t="s">
        <v>43</v>
      </c>
      <c r="D13" s="70" t="s">
        <v>112</v>
      </c>
      <c r="E13" s="73"/>
      <c r="F13" s="84" t="s">
        <v>118</v>
      </c>
      <c r="G13" s="54" t="s">
        <v>50</v>
      </c>
    </row>
    <row r="14" spans="1:7" ht="63" customHeight="1" thickBot="1" x14ac:dyDescent="0.3">
      <c r="A14" s="109"/>
      <c r="B14" s="74" t="s">
        <v>92</v>
      </c>
      <c r="C14" s="75" t="s">
        <v>93</v>
      </c>
      <c r="D14" s="76" t="s">
        <v>113</v>
      </c>
      <c r="E14" s="77"/>
      <c r="F14" s="76"/>
      <c r="G14" s="55" t="s">
        <v>50</v>
      </c>
    </row>
    <row r="15" spans="1:7" s="41" customFormat="1" ht="40.5" customHeight="1" thickBot="1" x14ac:dyDescent="0.3">
      <c r="A15" s="57" t="str">
        <f>TabellaTest!F5</f>
        <v>TF001.UC02</v>
      </c>
      <c r="B15" s="102" t="str">
        <f>TabellaTest!C5</f>
        <v>REQ-SIC-003</v>
      </c>
      <c r="C15" s="103"/>
      <c r="D15" s="104" t="str">
        <f>TabellaTest!E5</f>
        <v>Richiesta certificato penale su SIUS</v>
      </c>
      <c r="E15" s="105"/>
      <c r="F15" s="104" t="str">
        <f>TabellaTest!G5</f>
        <v>Verifica: verificare che in ambito SIUS la richiesta del certificato penale avvenga correttamente.</v>
      </c>
      <c r="G15" s="106"/>
    </row>
    <row r="16" spans="1:7" ht="30" x14ac:dyDescent="0.25">
      <c r="A16" s="100"/>
      <c r="B16" s="58" t="s">
        <v>34</v>
      </c>
      <c r="C16" s="59" t="s">
        <v>35</v>
      </c>
      <c r="D16" s="52" t="s">
        <v>36</v>
      </c>
      <c r="E16" s="52" t="s">
        <v>37</v>
      </c>
      <c r="F16" s="52" t="s">
        <v>38</v>
      </c>
      <c r="G16" s="53" t="s">
        <v>11</v>
      </c>
    </row>
    <row r="17" spans="1:7" ht="49.5" customHeight="1" x14ac:dyDescent="0.25">
      <c r="A17" s="100"/>
      <c r="B17" s="68" t="s">
        <v>39</v>
      </c>
      <c r="C17" s="69" t="s">
        <v>40</v>
      </c>
      <c r="D17" s="70" t="s">
        <v>94</v>
      </c>
      <c r="E17" s="70" t="s">
        <v>86</v>
      </c>
      <c r="F17" s="70" t="s">
        <v>87</v>
      </c>
      <c r="G17" s="54"/>
    </row>
    <row r="18" spans="1:7" ht="42.75" customHeight="1" x14ac:dyDescent="0.25">
      <c r="A18" s="100"/>
      <c r="B18" s="68" t="s">
        <v>39</v>
      </c>
      <c r="C18" s="69" t="s">
        <v>41</v>
      </c>
      <c r="D18" s="70" t="s">
        <v>88</v>
      </c>
      <c r="E18" s="70"/>
      <c r="F18" s="48"/>
      <c r="G18" s="54"/>
    </row>
    <row r="19" spans="1:7" ht="45.75" customHeight="1" x14ac:dyDescent="0.25">
      <c r="A19" s="100"/>
      <c r="B19" s="71" t="s">
        <v>89</v>
      </c>
      <c r="C19" s="72" t="s">
        <v>43</v>
      </c>
      <c r="D19" s="70" t="s">
        <v>99</v>
      </c>
      <c r="E19" s="73"/>
      <c r="F19" s="70" t="s">
        <v>124</v>
      </c>
      <c r="G19" s="54" t="s">
        <v>50</v>
      </c>
    </row>
    <row r="20" spans="1:7" ht="33.75" customHeight="1" x14ac:dyDescent="0.25">
      <c r="A20" s="100"/>
      <c r="B20" s="71" t="s">
        <v>90</v>
      </c>
      <c r="C20" s="72" t="s">
        <v>43</v>
      </c>
      <c r="D20" s="70" t="s">
        <v>103</v>
      </c>
      <c r="E20" s="73"/>
      <c r="F20" s="70"/>
      <c r="G20" s="54"/>
    </row>
    <row r="21" spans="1:7" ht="36.75" customHeight="1" x14ac:dyDescent="0.25">
      <c r="A21" s="100"/>
      <c r="B21" s="71" t="s">
        <v>91</v>
      </c>
      <c r="C21" s="72" t="s">
        <v>43</v>
      </c>
      <c r="D21" s="70" t="s">
        <v>100</v>
      </c>
      <c r="E21" s="70"/>
      <c r="F21" s="48"/>
      <c r="G21" s="54"/>
    </row>
    <row r="22" spans="1:7" ht="37.5" customHeight="1" x14ac:dyDescent="0.25">
      <c r="A22" s="100"/>
      <c r="B22" s="78">
        <v>4</v>
      </c>
      <c r="C22" s="79" t="s">
        <v>42</v>
      </c>
      <c r="D22" s="80" t="s">
        <v>101</v>
      </c>
      <c r="E22" s="73"/>
      <c r="F22" s="70" t="s">
        <v>114</v>
      </c>
      <c r="G22" s="54"/>
    </row>
    <row r="23" spans="1:7" ht="36" customHeight="1" x14ac:dyDescent="0.25">
      <c r="A23" s="100"/>
      <c r="B23" s="71" t="s">
        <v>97</v>
      </c>
      <c r="C23" s="72" t="s">
        <v>43</v>
      </c>
      <c r="D23" s="70" t="s">
        <v>110</v>
      </c>
      <c r="E23" s="73"/>
      <c r="F23" s="70" t="s">
        <v>115</v>
      </c>
      <c r="G23" s="54"/>
    </row>
    <row r="24" spans="1:7" ht="45.75" customHeight="1" x14ac:dyDescent="0.25">
      <c r="A24" s="100"/>
      <c r="B24" s="71" t="s">
        <v>98</v>
      </c>
      <c r="C24" s="72" t="s">
        <v>43</v>
      </c>
      <c r="D24" s="81" t="s">
        <v>117</v>
      </c>
      <c r="E24" s="82"/>
      <c r="F24" s="81" t="s">
        <v>116</v>
      </c>
      <c r="G24" s="83"/>
    </row>
    <row r="25" spans="1:7" ht="36" customHeight="1" x14ac:dyDescent="0.25">
      <c r="A25" s="100"/>
      <c r="B25" s="71" t="s">
        <v>102</v>
      </c>
      <c r="C25" s="72" t="s">
        <v>43</v>
      </c>
      <c r="D25" s="70" t="s">
        <v>112</v>
      </c>
      <c r="E25" s="82"/>
      <c r="F25" s="84" t="s">
        <v>118</v>
      </c>
      <c r="G25" s="83" t="s">
        <v>50</v>
      </c>
    </row>
    <row r="26" spans="1:7" ht="45" customHeight="1" thickBot="1" x14ac:dyDescent="0.3">
      <c r="A26" s="101"/>
      <c r="B26" s="74" t="s">
        <v>92</v>
      </c>
      <c r="C26" s="75" t="s">
        <v>93</v>
      </c>
      <c r="D26" s="76" t="s">
        <v>113</v>
      </c>
      <c r="E26" s="77"/>
      <c r="F26" s="76"/>
      <c r="G26" s="55" t="s">
        <v>50</v>
      </c>
    </row>
  </sheetData>
  <autoFilter ref="A3:G3" xr:uid="{00000000-0009-0000-0000-000002000000}">
    <filterColumn colId="1" showButton="0"/>
    <filterColumn colId="3" showButton="0"/>
    <filterColumn colId="5" showButton="0"/>
  </autoFilter>
  <mergeCells count="15">
    <mergeCell ref="A16:A26"/>
    <mergeCell ref="B4:C4"/>
    <mergeCell ref="D4:E4"/>
    <mergeCell ref="F4:G4"/>
    <mergeCell ref="A5:A14"/>
    <mergeCell ref="B15:C15"/>
    <mergeCell ref="D15:E15"/>
    <mergeCell ref="F15:G15"/>
    <mergeCell ref="A1:C1"/>
    <mergeCell ref="D1:G1"/>
    <mergeCell ref="A2:C2"/>
    <mergeCell ref="D2:G2"/>
    <mergeCell ref="B3:C3"/>
    <mergeCell ref="D3:E3"/>
    <mergeCell ref="F3:G3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10" t="s">
        <v>4</v>
      </c>
      <c r="B1" s="111"/>
      <c r="C1" s="112"/>
      <c r="D1" s="116" t="str">
        <f>Copertina!C7</f>
        <v>Integrazione SIES-ADN-Post-golive</v>
      </c>
      <c r="E1" s="117"/>
      <c r="F1" s="117"/>
      <c r="G1" s="118"/>
      <c r="H1" s="11"/>
    </row>
    <row r="2" spans="1:8" s="12" customFormat="1" ht="20.25" customHeight="1" thickBot="1" x14ac:dyDescent="0.3">
      <c r="A2" s="113" t="s">
        <v>12</v>
      </c>
      <c r="B2" s="114"/>
      <c r="C2" s="115"/>
      <c r="D2" s="119" t="str">
        <f>Copertina!C3</f>
        <v>SIUT-SIE-CT-1.0-20210430-Allegato-al-piano-test_SIES-ADN-Post-golive.xls</v>
      </c>
      <c r="E2" s="120"/>
      <c r="F2" s="120"/>
      <c r="G2" s="121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45</v>
      </c>
      <c r="B4" s="44" t="s">
        <v>46</v>
      </c>
      <c r="C4" s="44" t="s">
        <v>47</v>
      </c>
      <c r="D4" s="44" t="s">
        <v>48</v>
      </c>
      <c r="E4" s="45" t="s">
        <v>49</v>
      </c>
      <c r="F4" s="46" t="s">
        <v>50</v>
      </c>
      <c r="G4" s="45"/>
    </row>
    <row r="5" spans="1:8" ht="30" x14ac:dyDescent="0.25">
      <c r="A5" s="43" t="s">
        <v>51</v>
      </c>
      <c r="B5" s="44" t="s">
        <v>46</v>
      </c>
      <c r="C5" s="44" t="s">
        <v>52</v>
      </c>
      <c r="D5" s="44" t="s">
        <v>53</v>
      </c>
      <c r="E5" s="44" t="s">
        <v>54</v>
      </c>
      <c r="F5" s="47" t="s">
        <v>50</v>
      </c>
      <c r="G5" s="44"/>
    </row>
    <row r="6" spans="1:8" ht="30" x14ac:dyDescent="0.25">
      <c r="A6" s="43" t="s">
        <v>55</v>
      </c>
      <c r="B6" s="44" t="s">
        <v>46</v>
      </c>
      <c r="C6" s="44" t="s">
        <v>56</v>
      </c>
      <c r="D6" s="44" t="s">
        <v>57</v>
      </c>
      <c r="E6" s="44" t="s">
        <v>58</v>
      </c>
      <c r="F6" s="47" t="s">
        <v>50</v>
      </c>
      <c r="G6" s="44"/>
    </row>
    <row r="7" spans="1:8" ht="30" x14ac:dyDescent="0.25">
      <c r="A7" s="43" t="s">
        <v>59</v>
      </c>
      <c r="B7" s="44" t="s">
        <v>60</v>
      </c>
      <c r="C7" s="44" t="s">
        <v>61</v>
      </c>
      <c r="D7" s="44" t="s">
        <v>62</v>
      </c>
      <c r="E7" s="44" t="s">
        <v>63</v>
      </c>
      <c r="F7" s="47" t="s">
        <v>50</v>
      </c>
      <c r="G7" s="44"/>
    </row>
    <row r="8" spans="1:8" ht="60" x14ac:dyDescent="0.25">
      <c r="A8" s="43" t="s">
        <v>64</v>
      </c>
      <c r="B8" s="44" t="s">
        <v>65</v>
      </c>
      <c r="C8" s="44" t="s">
        <v>66</v>
      </c>
      <c r="D8" s="44" t="s">
        <v>67</v>
      </c>
      <c r="E8" s="44" t="s">
        <v>68</v>
      </c>
      <c r="F8" s="47" t="s">
        <v>50</v>
      </c>
      <c r="G8" s="44"/>
    </row>
    <row r="9" spans="1:8" ht="30" x14ac:dyDescent="0.25">
      <c r="A9" s="43" t="s">
        <v>69</v>
      </c>
      <c r="B9" s="44" t="s">
        <v>65</v>
      </c>
      <c r="C9" s="44" t="s">
        <v>66</v>
      </c>
      <c r="D9" s="44" t="s">
        <v>70</v>
      </c>
      <c r="E9" s="44" t="s">
        <v>71</v>
      </c>
      <c r="F9" s="47" t="s">
        <v>50</v>
      </c>
      <c r="G9" s="44"/>
    </row>
    <row r="10" spans="1:8" ht="30" x14ac:dyDescent="0.25">
      <c r="A10" s="43" t="s">
        <v>72</v>
      </c>
      <c r="B10" s="44" t="s">
        <v>65</v>
      </c>
      <c r="C10" s="44" t="s">
        <v>66</v>
      </c>
      <c r="D10" s="44" t="s">
        <v>73</v>
      </c>
      <c r="E10" s="44" t="s">
        <v>74</v>
      </c>
      <c r="F10" s="47" t="s">
        <v>50</v>
      </c>
      <c r="G10" s="44"/>
    </row>
    <row r="11" spans="1:8" ht="60" x14ac:dyDescent="0.25">
      <c r="A11" s="43" t="s">
        <v>75</v>
      </c>
      <c r="B11" s="44" t="s">
        <v>65</v>
      </c>
      <c r="C11" s="44" t="s">
        <v>76</v>
      </c>
      <c r="D11" s="44" t="s">
        <v>77</v>
      </c>
      <c r="E11" s="44" t="s">
        <v>78</v>
      </c>
      <c r="F11" s="47" t="s">
        <v>50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143" t="s">
        <v>4</v>
      </c>
      <c r="B1" s="143"/>
      <c r="C1" s="145" t="str">
        <f>Copertina!C7</f>
        <v>Integrazione SIES-ADN-Post-golive</v>
      </c>
      <c r="D1" s="145"/>
      <c r="E1" s="145"/>
      <c r="F1" s="19"/>
      <c r="G1" s="20"/>
      <c r="H1" s="11"/>
    </row>
    <row r="2" spans="1:9" s="12" customFormat="1" ht="20.25" customHeight="1" thickBot="1" x14ac:dyDescent="0.3">
      <c r="A2" s="144" t="s">
        <v>12</v>
      </c>
      <c r="B2" s="144"/>
      <c r="C2" s="146" t="str">
        <f>Copertina!C3</f>
        <v>SIUT-SIE-CT-1.0-20210430-Allegato-al-piano-test_SIES-ADN-Post-golive.xls</v>
      </c>
      <c r="D2" s="146"/>
      <c r="E2" s="146"/>
      <c r="F2" s="21"/>
      <c r="G2" s="22"/>
      <c r="H2" s="13"/>
    </row>
    <row r="3" spans="1:9" s="23" customFormat="1" ht="27" customHeight="1" thickBot="1" x14ac:dyDescent="0.3">
      <c r="A3" s="127" t="s">
        <v>20</v>
      </c>
      <c r="B3" s="128"/>
      <c r="C3" s="128"/>
      <c r="D3" s="128"/>
      <c r="E3" s="129"/>
      <c r="G3" s="130" t="s">
        <v>21</v>
      </c>
      <c r="H3" s="131"/>
      <c r="I3" s="132"/>
    </row>
    <row r="4" spans="1:9" ht="23.25" customHeight="1" thickBot="1" x14ac:dyDescent="0.25">
      <c r="A4" s="139" t="s">
        <v>22</v>
      </c>
      <c r="B4" s="140" t="s">
        <v>23</v>
      </c>
      <c r="C4" s="141"/>
      <c r="D4" s="141"/>
      <c r="E4" s="142"/>
      <c r="G4" s="133"/>
      <c r="H4" s="134"/>
      <c r="I4" s="135"/>
    </row>
    <row r="5" spans="1:9" ht="26.25" customHeight="1" thickBot="1" x14ac:dyDescent="0.25">
      <c r="A5" s="123"/>
      <c r="B5" s="25">
        <v>1</v>
      </c>
      <c r="C5" s="25">
        <v>2</v>
      </c>
      <c r="D5" s="25">
        <v>3</v>
      </c>
      <c r="E5" s="26">
        <v>4</v>
      </c>
      <c r="G5" s="133"/>
      <c r="H5" s="134"/>
      <c r="I5" s="135"/>
    </row>
    <row r="6" spans="1:9" ht="15.75" thickBot="1" x14ac:dyDescent="0.25">
      <c r="A6" s="27" t="s">
        <v>24</v>
      </c>
      <c r="B6" s="28">
        <f>COUNTIFS(TabellaTest!$H$4:$H$325,1,TabellaTest!$I$4:$I$325,"A",TabellaTest!$J$4:$J$325,"KO")</f>
        <v>0</v>
      </c>
      <c r="C6" s="28">
        <f>COUNTIFS(TabellaTest!$H$4:$H$325,2,TabellaTest!$I$4:$I$325,"A",TabellaTest!$J$4:$J$325,"KO")</f>
        <v>0</v>
      </c>
      <c r="D6" s="28">
        <f>COUNTIFS(TabellaTest!$H$4:$H$325,3,TabellaTest!$I$4:$I$325,"A",TabellaTest!$J$4:$J$325,"KO")</f>
        <v>0</v>
      </c>
      <c r="E6" s="28">
        <f>COUNTIFS(TabellaTest!$H$4:$H$325,4,TabellaTest!$I$4:$I$325,"A",TabellaTest!$J$4:$J$325,"KO")</f>
        <v>0</v>
      </c>
      <c r="G6" s="133"/>
      <c r="H6" s="134"/>
      <c r="I6" s="135"/>
    </row>
    <row r="7" spans="1:9" ht="15.75" thickBot="1" x14ac:dyDescent="0.25">
      <c r="A7" s="29" t="s">
        <v>25</v>
      </c>
      <c r="B7" s="28">
        <f>COUNTIFS(TabellaTest!$H$4:$H$325,1,TabellaTest!$I$4:$I$325,"B",TabellaTest!$J$4:$J$325,"KO")</f>
        <v>0</v>
      </c>
      <c r="C7" s="28">
        <f>COUNTIFS(TabellaTest!$H$4:$H$325,2,TabellaTest!$I$4:$I$325,"B",TabellaTest!$J$4:$J$325,"KO")</f>
        <v>0</v>
      </c>
      <c r="D7" s="28">
        <f>COUNTIFS(TabellaTest!$H$4:$H$325,3,TabellaTest!$I$4:$I$325,"B",TabellaTest!$J$4:$J$325,"KO")</f>
        <v>0</v>
      </c>
      <c r="E7" s="28">
        <f>COUNTIFS(TabellaTest!$H$4:$H$325,4,TabellaTest!$I$4:$I$325,"B",TabellaTest!$J$4:$J$325,"KO")</f>
        <v>0</v>
      </c>
      <c r="G7" s="133"/>
      <c r="H7" s="134"/>
      <c r="I7" s="135"/>
    </row>
    <row r="8" spans="1:9" ht="15.75" thickBot="1" x14ac:dyDescent="0.25">
      <c r="A8" s="30" t="s">
        <v>26</v>
      </c>
      <c r="B8" s="28">
        <f>COUNTIFS(TabellaTest!$H$4:$H$325,1,TabellaTest!$I$4:$I$325,"C",TabellaTest!$J$4:$J$325,"KO")</f>
        <v>0</v>
      </c>
      <c r="C8" s="28">
        <f>COUNTIFS(TabellaTest!$H$4:$H$325,2,TabellaTest!$I$4:$I$325,"C",TabellaTest!$J$4:$J$325,"KO")</f>
        <v>0</v>
      </c>
      <c r="D8" s="28">
        <f>COUNTIFS(TabellaTest!$H$4:$H$325,3,TabellaTest!$I$4:$I$325,"C",TabellaTest!$J$4:$J$325,"KO")</f>
        <v>0</v>
      </c>
      <c r="E8" s="28">
        <f>COUNTIFS(TabellaTest!$H$4:$H$325,4,TabellaTest!$I$4:$I$325,"C",TabellaTest!$J$4:$J$325,"KO")</f>
        <v>0</v>
      </c>
      <c r="G8" s="136"/>
      <c r="H8" s="137"/>
      <c r="I8" s="138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147" t="s">
        <v>27</v>
      </c>
      <c r="B14" s="148"/>
      <c r="C14" s="148"/>
      <c r="D14" s="148"/>
      <c r="E14" s="149"/>
      <c r="G14" s="34"/>
    </row>
    <row r="15" spans="1:9" ht="15.75" thickBot="1" x14ac:dyDescent="0.25">
      <c r="A15" s="122" t="s">
        <v>22</v>
      </c>
      <c r="B15" s="124" t="s">
        <v>23</v>
      </c>
      <c r="C15" s="125"/>
      <c r="D15" s="125"/>
      <c r="E15" s="126"/>
    </row>
    <row r="16" spans="1:9" ht="15.75" thickBot="1" x14ac:dyDescent="0.25">
      <c r="A16" s="123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COUNTIFS(TabellaTest!$H$4:$H$325,1,TabellaTest!$I$4:$I$325,"A")</f>
        <v>0</v>
      </c>
      <c r="C17" s="38">
        <f>COUNTIFS(TabellaTest!$H$4:$H$325,2,TabellaTest!$I$4:$I$325,"A")</f>
        <v>0</v>
      </c>
      <c r="D17" s="38">
        <f>COUNTIFS(TabellaTest!$H$4:$H$325,3,TabellaTest!$I$4:$I$325,"A")</f>
        <v>0</v>
      </c>
      <c r="E17" s="38">
        <f>COUNTIFS(TabellaTest!$H$4:$H$325,4,TabellaTest!$I$4:$I$325,"A")</f>
        <v>0</v>
      </c>
    </row>
    <row r="18" spans="1:5" ht="15.75" thickBot="1" x14ac:dyDescent="0.25">
      <c r="A18" s="39" t="s">
        <v>25</v>
      </c>
      <c r="B18" s="38">
        <f>COUNTIFS(TabellaTest!$H$4:$H$325,1,TabellaTest!$I$4:$I$325,"B")</f>
        <v>0</v>
      </c>
      <c r="C18" s="38">
        <f>COUNTIFS(TabellaTest!$H$4:$H$325,2,TabellaTest!$I$4:$I$325,"B")</f>
        <v>2</v>
      </c>
      <c r="D18" s="38">
        <f>COUNTIFS(TabellaTest!$H$4:$H$325,3,TabellaTest!$I$4:$I$325,"B")</f>
        <v>0</v>
      </c>
      <c r="E18" s="38">
        <f>COUNTIFS(TabellaTest!$H$4:$H$325,4,TabellaTest!$I$4:$I$325,"B")</f>
        <v>0</v>
      </c>
    </row>
    <row r="19" spans="1:5" ht="15.75" thickBot="1" x14ac:dyDescent="0.25">
      <c r="A19" s="40" t="s">
        <v>26</v>
      </c>
      <c r="B19" s="38">
        <f>COUNTIFS(TabellaTest!$H$4:$H$325,1,TabellaTest!$I$4:$I$325,"C")</f>
        <v>0</v>
      </c>
      <c r="C19" s="38">
        <f>COUNTIFS(TabellaTest!$H$4:$H$325,2,TabellaTest!$I$4:$I$325,"C")</f>
        <v>0</v>
      </c>
      <c r="D19" s="38">
        <f>COUNTIFS(TabellaTest!$H$4:$H$325,3,TabellaTest!$I$4:$I$325,"C")</f>
        <v>0</v>
      </c>
      <c r="E19" s="38">
        <f>COUNTIFS(TabellaTest!$H$4:$H$325,4,TabellaTest!$I$4:$I$325,"C")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A223A0-14F8-4CF7-B03D-5B8241C56AE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Salvaggio</dc:creator>
  <cp:lastModifiedBy>Domenico Nania</cp:lastModifiedBy>
  <cp:lastPrinted>2019-11-08T14:17:06Z</cp:lastPrinted>
  <dcterms:created xsi:type="dcterms:W3CDTF">2019-11-07T09:38:15Z</dcterms:created>
  <dcterms:modified xsi:type="dcterms:W3CDTF">2021-04-22T09:27:07Z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0x0101009B637F1D28401F4E9309B338650987D9</vt:lpwstr>
  </property>
</Properties>
</file>