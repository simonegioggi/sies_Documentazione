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ORGANIZZAZIONE - SIUT\DOCUMENTAZIONE\Integrazione SIES-ADN\"/>
    </mc:Choice>
  </mc:AlternateContent>
  <xr:revisionPtr revIDLastSave="0" documentId="13_ncr:1_{09CE0F12-4BDC-43D2-9FA6-677014DC1B49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5" i="3" l="1"/>
  <c r="D45" i="3"/>
  <c r="B45" i="3"/>
  <c r="A45" i="3"/>
  <c r="F32" i="3"/>
  <c r="D32" i="3"/>
  <c r="B32" i="3"/>
  <c r="A32" i="3"/>
  <c r="F21" i="3"/>
  <c r="D21" i="3"/>
  <c r="B21" i="3"/>
  <c r="A21" i="3"/>
  <c r="B12" i="3"/>
  <c r="F12" i="3"/>
  <c r="D12" i="3"/>
  <c r="A12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Salvaggio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<sst xmlns="http://schemas.openxmlformats.org/spreadsheetml/2006/main" count="339" uniqueCount="156">
  <si>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</si>
  <si>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</si>
  <si>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</si>
  <si>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</si>
  <si>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</si>
  <si>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</si>
  <si>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</si>
  <si>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</si>
  <si>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</si>
  <si>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</si>
  <si>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</si>
  <si>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</si>
  <si>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</si>
  <si>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</si>
  <si>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</si>
  <si>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</si>
  <si>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</si>
  <si>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</si>
  <si>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</si>
  <si>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</si>
  <si>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</si>
  <si>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</si>
  <si>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</si>
  <si>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</si>
  <si>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</si>
  <si>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</si>
  <si>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</si>
  <si>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</si>
  <si>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</si>
  <si>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</si>
  <si>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</si>
  <si>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</si>
  <si>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</si>
  <si>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</si>
  <si>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</si>
  <si>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</si>
  <si>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</si>
  <si>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</si>
  <si>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</si>
  <si>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</si>
  <si>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</si>
  <si>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</si>
  <si>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</si>
  <si>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</si>
  <si>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</si>
  <si>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1.0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</si>
  <si>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</si>
  <si>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</si>
  <si>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</si>
  <si>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</si>
  <si>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</si>
  <si>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</si>
  <si>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</si>
  <si>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</si>
  <si>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</si>
  <si>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</si>
  <si>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</si>
  <si>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</si>
  <si>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</si>
  <si>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</si>
  <si>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</si>
  <si>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</si>
  <si>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</si>
  <si>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</si>
  <si>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</si>
  <si>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</si>
  <si>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</si>
  <si>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</si>
  <si>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</si>
  <si>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</si>
  <si>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</si>
  <si>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</si>
  <si>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</si>
  <si>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</si>
  <si>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</si>
  <si>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</si>
  <si>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</si>
  <si>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</si>
  <si>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</si>
  <si>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</si>
  <si>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</si>
  <si>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</si>
  <si>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</si>
  <si>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</si>
  <si>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</si>
  <si>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</si>
  <si>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UC04</t>
  </si>
  <si>
    <t>Integrazione SIES-ADN</t>
  </si>
  <si>
    <t>Penale</t>
  </si>
  <si>
    <t>SIES</t>
  </si>
  <si>
    <t>REQ-SIC-003</t>
  </si>
  <si>
    <t>Verifica configurazione utenza ADN e SIES</t>
  </si>
  <si>
    <t>Verifica di avvenuto trasferimento di un foglio complementare da SIES a NSC</t>
  </si>
  <si>
    <t>Verifica accesso al modulo web di interconnessione SIES-NSC</t>
  </si>
  <si>
    <t>UC05</t>
  </si>
  <si>
    <t>TF001.UC04</t>
  </si>
  <si>
    <t>TF002.UC05</t>
  </si>
  <si>
    <t>Verifica: verificare che venga trasferito correttamente un foglio complementare dal sistema SIES al sistema NSC</t>
  </si>
  <si>
    <t>Verifica: verificare che l'accesso al modulo web di interconnessione SIES-NSC avvenga correttamente</t>
  </si>
  <si>
    <t>L’utente si trova sulla pagina di Login del SIES. Il sistema propone la pagina di accesso in cui l’utente sarà tenuto ad inserire le proprie credenziali ADN.</t>
  </si>
  <si>
    <t>L'utente inserisce le proprie credenziali ADN</t>
  </si>
  <si>
    <t>il sistema effettua un controllo sulla ‘autenticità’ delle informazioni inserite effettuando una chiamata LDAP sul server ADN di giustizia.</t>
  </si>
  <si>
    <t>Il sistema ridirige l’utente sulla stessa pagina, mostrando una funzione di gestione profilazione delle utenze SIES.</t>
  </si>
  <si>
    <t>1</t>
  </si>
  <si>
    <t>Viene visualizzata la pagina per l’inserimento delle credenziali del SIES.</t>
  </si>
  <si>
    <t>2</t>
  </si>
  <si>
    <t>3</t>
  </si>
  <si>
    <t>V</t>
  </si>
  <si>
    <t>Verifica</t>
  </si>
  <si>
    <t>Verificare che Il sistema visualizzi la welcome page dell’applicazione SIES</t>
  </si>
  <si>
    <t>4</t>
  </si>
  <si>
    <t>L'utente effettua l'accesso al sistema SIES</t>
  </si>
  <si>
    <t>L'utente ha già un'utenza SIEP associata ad utenza ADN</t>
  </si>
  <si>
    <t>L'utente si trova nella pagina principale dell'applicazione SIEP.</t>
  </si>
  <si>
    <t>5</t>
  </si>
  <si>
    <t>Viene visualizzato un messaggio di Conferma di trasferimento del provvedimento verso il casellario</t>
  </si>
  <si>
    <t>6</t>
  </si>
  <si>
    <t>Verificare che il sistema restituisca un messaggio di trasferimento avvenuto con successo</t>
  </si>
  <si>
    <t>L'utente ha già un'utenza SIUS associata ad utenza ADN</t>
  </si>
  <si>
    <t>L'utente si trova nella pagina principale dell'applicazione SIUS.</t>
  </si>
  <si>
    <t xml:space="preserve">Ricerche e Visualizzazioni » Procedimento per n° SIUS </t>
  </si>
  <si>
    <t>7</t>
  </si>
  <si>
    <t>L'utente seleziona nella colonna Azioni l'icona Dettagli</t>
  </si>
  <si>
    <t>8</t>
  </si>
  <si>
    <t>Verificare che il RISULTATO DELLA TRASMISSIONE DAL SIEP AL SISTEMA INFORMATIVO DEL CASELLARIO (SIC) sia avvenuto correttamente</t>
  </si>
  <si>
    <t xml:space="preserve">Interoperabilità con NSC </t>
  </si>
  <si>
    <t>Verificare che il collegamento web con il sistema NSC avvenga correttamente</t>
  </si>
  <si>
    <r>
      <t xml:space="preserve">L'utente inserisce le proprie credenziali SIES e clicca su </t>
    </r>
    <r>
      <rPr>
        <b/>
        <sz val="10"/>
        <rFont val="Calibri"/>
        <family val="2"/>
        <scheme val="minor"/>
      </rPr>
      <t>Login</t>
    </r>
  </si>
  <si>
    <r>
      <t xml:space="preserve">L'utente clicca su </t>
    </r>
    <r>
      <rPr>
        <b/>
        <sz val="10"/>
        <rFont val="Calibri"/>
        <family val="2"/>
        <scheme val="minor"/>
      </rPr>
      <t>Entra</t>
    </r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</si>
  <si>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</si>
  <si>
    <r>
      <t>Viene visualizzata la pagina</t>
    </r>
    <r>
      <rPr>
        <b/>
        <sz val="10"/>
        <rFont val="Calibri"/>
        <family val="2"/>
        <scheme val="minor"/>
      </rPr>
      <t xml:space="preserve"> Dettaglio procedimento</t>
    </r>
  </si>
  <si>
    <r>
      <t xml:space="preserve">L'utente </t>
    </r>
    <r>
      <rPr>
        <b/>
        <sz val="10"/>
        <rFont val="Calibri"/>
        <family val="2"/>
        <scheme val="minor"/>
      </rPr>
      <t>Conferma</t>
    </r>
    <r>
      <rPr>
        <sz val="10"/>
        <rFont val="Calibri"/>
        <family val="2"/>
        <scheme val="minor"/>
      </rPr>
      <t xml:space="preserve"> il trasferimento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</si>
  <si>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Ricerca Procedimento</t>
    </r>
  </si>
  <si>
    <r>
      <t xml:space="preserve">Dalla combo delle Funzioni l'utente seleziona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e clicca sulla lentina</t>
    </r>
  </si>
  <si>
    <r>
      <t xml:space="preserve">Visualizzazione pagina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</si>
  <si>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Foglio Complementare</t>
    </r>
  </si>
  <si>
    <r>
      <t xml:space="preserve">L'utente clicca sull'icona posta in alto </t>
    </r>
    <r>
      <rPr>
        <b/>
        <sz val="10"/>
        <rFont val="Calibri"/>
        <family val="2"/>
        <scheme val="minor"/>
      </rPr>
      <t>Trasmissione Foglio Complementare al SIC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</si>
  <si>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Interoperabilita con NSC   </t>
    </r>
  </si>
  <si>
    <t>SIUT-SIE-CT-1.0-20210312-Allegato-al-piano-test_SIES-ADN.xls</t>
  </si>
  <si>
    <t>SIUT-SIE-PT-1.0-20210312-Piano_dei_Test_SIES-ADN.doc</t>
  </si>
  <si>
    <t>Verifica accesso al sistema SIES dopo associazione utenza ADN e SIES</t>
  </si>
  <si>
    <t>L’utente ha eseguito in precedenza delle associazioni. Si ritroverà, già configurate, le utenze che utilizza solitamente per l’accesso al SIES.</t>
  </si>
  <si>
    <t>L'utente ha già un'utenza SIEP associata alla sua utenza ADN</t>
  </si>
  <si>
    <t>L'utente ricerca e seleziona un procedimento  validato</t>
  </si>
  <si>
    <r>
      <t xml:space="preserve">L'utente clicca sull'icona posta in alto </t>
    </r>
    <r>
      <rPr>
        <b/>
        <sz val="10"/>
        <rFont val="Calibri"/>
        <family val="2"/>
        <scheme val="minor"/>
      </rPr>
      <t>Trasferimento Provvedimento da SIES a NSC</t>
    </r>
  </si>
  <si>
    <t xml:space="preserve">L'utente ricerca e seleziona un procedimento  </t>
  </si>
  <si>
    <r>
      <t xml:space="preserve">L'utente clicca sull'icona </t>
    </r>
    <r>
      <rPr>
        <b/>
        <sz val="10"/>
        <rFont val="Calibri"/>
        <family val="2"/>
        <scheme val="minor"/>
      </rPr>
      <t>Modulo Web NSC-SIES</t>
    </r>
  </si>
  <si>
    <t xml:space="preserve">Verifica: verificare che accedendo all'applicativo SIES tramite utenza ADN è possibile configurare più utenze SIES associate alla stessa utenza ADN </t>
  </si>
  <si>
    <t>Verifica: verificare che l'utenza ADN venga associata all' utenza SIES e si acceda correttamente all'applicativo.</t>
  </si>
  <si>
    <r>
      <t>L'utente seleziona la procedura di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</si>
  <si>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IL sistema dopo aver fatto delle verifiche ed associato l'utenza SIC con quella ADN prospetta un messaggio in cui è presente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 la voce di '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'</t>
    </r>
  </si>
  <si>
    <r>
      <t xml:space="preserve">Viene visualizzata la pagina con le utenze associate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</si>
  <si>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SIEP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</si>
  <si>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SIUS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</si>
  <si>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t>Verifica di avvenuto trasferimento di un titolo di classe 1 da SIES a NSC</t>
  </si>
  <si>
    <t>Verifica: verificare che venga trasferito correttamente un titolo di classe 1 dal sistema SIES al sistema 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</si>
</sst>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59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1" fontId="20" fillId="0" borderId="4" xfId="0" applyNumberFormat="1" applyFont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49" fontId="8" fillId="16" borderId="49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9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20" fillId="13" borderId="5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0" borderId="54" xfId="0" applyFont="1" applyBorder="1" applyAlignment="1">
      <alignment horizontal="left" vertical="center" wrapText="1"/>
    </xf>
    <xf numFmtId="0" fontId="20" fillId="13" borderId="56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5" xfId="0" applyFont="1" applyFill="1" applyBorder="1" applyAlignment="1" applyProtection="1">
      <alignment horizontal="center" vertical="center" wrapText="1"/>
      <protection locked="0"/>
    </xf>
    <xf numFmtId="49" fontId="27" fillId="0" borderId="45" xfId="0" applyNumberFormat="1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6" fillId="15" borderId="62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Normale 4" xfId="3" xr:uid="{00000000-0005-0000-0000-000003000000}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opLeftCell="A2" workbookViewId="0">
      <selection activeCell="D4" sqref="D4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89" t="s">
        <v>44</v>
      </c>
      <c r="C2" s="90"/>
    </row>
    <row r="3" spans="1:4" ht="16.5" customHeight="1" x14ac:dyDescent="0.45">
      <c r="A3" s="8"/>
      <c r="B3" s="42" t="s">
        <v>0</v>
      </c>
      <c r="C3" s="50" t="s">
        <v>138</v>
      </c>
    </row>
    <row r="4" spans="1:4" ht="16.5" customHeight="1" x14ac:dyDescent="0.45">
      <c r="A4" s="8"/>
      <c r="B4" s="42" t="s">
        <v>1</v>
      </c>
      <c r="C4" s="50" t="s">
        <v>139</v>
      </c>
    </row>
    <row r="5" spans="1:4" ht="18.75" customHeight="1" x14ac:dyDescent="0.45">
      <c r="A5" s="8"/>
      <c r="B5" s="42" t="s">
        <v>2</v>
      </c>
      <c r="C5" s="50" t="s">
        <v>45</v>
      </c>
    </row>
    <row r="6" spans="1:4" ht="15" customHeight="1" x14ac:dyDescent="0.45">
      <c r="A6" s="8"/>
      <c r="B6" s="42" t="s">
        <v>3</v>
      </c>
      <c r="C6" s="51">
        <v>44267</v>
      </c>
    </row>
    <row r="7" spans="1:4" ht="16.5" customHeight="1" x14ac:dyDescent="0.45">
      <c r="A7" s="8"/>
      <c r="B7" s="42" t="s">
        <v>4</v>
      </c>
      <c r="C7" s="50" t="s">
        <v>87</v>
      </c>
    </row>
    <row r="8" spans="1:4" ht="16.5" customHeight="1" x14ac:dyDescent="0.45">
      <c r="A8" s="8"/>
      <c r="B8" s="42" t="s">
        <v>5</v>
      </c>
      <c r="C8" s="50" t="s">
        <v>88</v>
      </c>
    </row>
    <row r="9" spans="1:4" ht="120.75" customHeight="1" x14ac:dyDescent="0.45">
      <c r="A9" s="8"/>
      <c r="B9" s="88" t="s">
        <v>6</v>
      </c>
      <c r="C9" s="88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"/>
  <sheetViews>
    <sheetView zoomScale="77" zoomScaleNormal="77" workbookViewId="0">
      <selection activeCell="C18" sqref="C18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34.71093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92" t="s">
        <v>4</v>
      </c>
      <c r="B1" s="93"/>
      <c r="C1" s="91" t="str">
        <f>Copertina!C7</f>
        <v>Integrazione SIES-ADN</v>
      </c>
      <c r="D1" s="91"/>
      <c r="E1" s="91"/>
      <c r="F1" s="91"/>
      <c r="G1" s="91"/>
      <c r="H1" s="91"/>
      <c r="I1" s="91"/>
      <c r="J1" s="91"/>
    </row>
    <row r="2" spans="1:11" ht="32.25" customHeight="1" x14ac:dyDescent="0.25">
      <c r="A2" s="92" t="s">
        <v>12</v>
      </c>
      <c r="B2" s="93"/>
      <c r="C2" s="91" t="str">
        <f>Copertina!C3</f>
        <v>SIUT-SIE-CT-1.0-20210312-Allegato-al-piano-test_SIES-ADN.xls</v>
      </c>
      <c r="D2" s="91"/>
      <c r="E2" s="91"/>
      <c r="F2" s="91"/>
      <c r="G2" s="91"/>
      <c r="H2" s="91"/>
      <c r="I2" s="91"/>
      <c r="J2" s="91"/>
    </row>
    <row r="3" spans="1:11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1" ht="60.75" customHeight="1" x14ac:dyDescent="0.25">
      <c r="A4" s="71" t="s">
        <v>89</v>
      </c>
      <c r="B4" s="69" t="s">
        <v>90</v>
      </c>
      <c r="C4" s="69" t="s">
        <v>90</v>
      </c>
      <c r="D4" s="71" t="s">
        <v>80</v>
      </c>
      <c r="E4" s="52" t="s">
        <v>140</v>
      </c>
      <c r="F4" s="71" t="s">
        <v>81</v>
      </c>
      <c r="G4" s="52" t="s">
        <v>148</v>
      </c>
      <c r="H4" s="70">
        <v>1</v>
      </c>
      <c r="I4" s="70" t="s">
        <v>24</v>
      </c>
      <c r="J4" s="68"/>
      <c r="K4" s="48"/>
    </row>
    <row r="5" spans="1:11" ht="63.75" customHeight="1" x14ac:dyDescent="0.25">
      <c r="A5" s="71" t="s">
        <v>89</v>
      </c>
      <c r="B5" s="69" t="s">
        <v>90</v>
      </c>
      <c r="C5" s="69" t="s">
        <v>90</v>
      </c>
      <c r="D5" s="71" t="s">
        <v>82</v>
      </c>
      <c r="E5" s="52" t="s">
        <v>91</v>
      </c>
      <c r="F5" s="71" t="s">
        <v>85</v>
      </c>
      <c r="G5" s="52" t="s">
        <v>147</v>
      </c>
      <c r="H5" s="70">
        <v>2</v>
      </c>
      <c r="I5" s="70" t="s">
        <v>25</v>
      </c>
      <c r="J5" s="68"/>
      <c r="K5" s="48"/>
    </row>
    <row r="6" spans="1:11" ht="65.25" customHeight="1" x14ac:dyDescent="0.25">
      <c r="A6" s="71" t="s">
        <v>89</v>
      </c>
      <c r="B6" s="69" t="s">
        <v>90</v>
      </c>
      <c r="C6" s="69" t="s">
        <v>90</v>
      </c>
      <c r="D6" s="71" t="s">
        <v>83</v>
      </c>
      <c r="E6" s="52" t="s">
        <v>154</v>
      </c>
      <c r="F6" s="71" t="s">
        <v>84</v>
      </c>
      <c r="G6" s="52" t="s">
        <v>155</v>
      </c>
      <c r="H6" s="70">
        <v>3</v>
      </c>
      <c r="I6" s="70" t="s">
        <v>26</v>
      </c>
      <c r="J6" s="68"/>
      <c r="K6" s="48"/>
    </row>
    <row r="7" spans="1:11" ht="63.75" customHeight="1" x14ac:dyDescent="0.25">
      <c r="A7" s="71" t="s">
        <v>89</v>
      </c>
      <c r="B7" s="69" t="s">
        <v>90</v>
      </c>
      <c r="C7" s="69" t="s">
        <v>90</v>
      </c>
      <c r="D7" s="71" t="s">
        <v>86</v>
      </c>
      <c r="E7" s="52" t="s">
        <v>92</v>
      </c>
      <c r="F7" s="71" t="s">
        <v>95</v>
      </c>
      <c r="G7" s="52" t="s">
        <v>97</v>
      </c>
      <c r="H7" s="70">
        <v>3</v>
      </c>
      <c r="I7" s="70" t="s">
        <v>26</v>
      </c>
      <c r="J7" s="68"/>
      <c r="K7" s="48"/>
    </row>
    <row r="8" spans="1:11" ht="57" customHeight="1" x14ac:dyDescent="0.25">
      <c r="A8" s="71" t="s">
        <v>89</v>
      </c>
      <c r="B8" s="69" t="s">
        <v>90</v>
      </c>
      <c r="C8" s="69" t="s">
        <v>90</v>
      </c>
      <c r="D8" s="71" t="s">
        <v>94</v>
      </c>
      <c r="E8" s="52" t="s">
        <v>93</v>
      </c>
      <c r="F8" s="71" t="s">
        <v>96</v>
      </c>
      <c r="G8" s="52" t="s">
        <v>98</v>
      </c>
      <c r="H8" s="70">
        <v>3</v>
      </c>
      <c r="I8" s="70" t="s">
        <v>26</v>
      </c>
      <c r="J8" s="68"/>
      <c r="K8" s="48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4"/>
  <sheetViews>
    <sheetView tabSelected="1" zoomScale="71" zoomScaleNormal="71" workbookViewId="0">
      <selection activeCell="D65" sqref="D65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16384" width="9.140625" style="1"/>
  </cols>
  <sheetData>
    <row r="1" spans="1:7" ht="27.75" customHeight="1" x14ac:dyDescent="0.25">
      <c r="A1" s="110" t="s">
        <v>4</v>
      </c>
      <c r="B1" s="111"/>
      <c r="C1" s="112"/>
      <c r="D1" s="113" t="str">
        <f>Copertina!C7</f>
        <v>Integrazione SIES-ADN</v>
      </c>
      <c r="E1" s="113"/>
      <c r="F1" s="113"/>
      <c r="G1" s="113"/>
    </row>
    <row r="2" spans="1:7" ht="32.25" customHeight="1" thickBot="1" x14ac:dyDescent="0.3">
      <c r="A2" s="114" t="s">
        <v>12</v>
      </c>
      <c r="B2" s="115"/>
      <c r="C2" s="116"/>
      <c r="D2" s="113" t="str">
        <f>Copertina!C3</f>
        <v>SIUT-SIE-CT-1.0-20210312-Allegato-al-piano-test_SIES-ADN.xls</v>
      </c>
      <c r="E2" s="113"/>
      <c r="F2" s="113"/>
      <c r="G2" s="113"/>
    </row>
    <row r="3" spans="1:7" s="58" customFormat="1" ht="30.75" customHeight="1" x14ac:dyDescent="0.25">
      <c r="A3" s="72" t="s">
        <v>13</v>
      </c>
      <c r="B3" s="117" t="s">
        <v>28</v>
      </c>
      <c r="C3" s="118"/>
      <c r="D3" s="117" t="s">
        <v>30</v>
      </c>
      <c r="E3" s="118"/>
      <c r="F3" s="117" t="s">
        <v>29</v>
      </c>
      <c r="G3" s="118"/>
    </row>
    <row r="4" spans="1:7" s="41" customFormat="1" ht="47.25" customHeight="1" thickBot="1" x14ac:dyDescent="0.3">
      <c r="A4" s="57" t="str">
        <f>TabellaTest!F4</f>
        <v>TF001.UC01</v>
      </c>
      <c r="B4" s="104" t="str">
        <f>TabellaTest!C4</f>
        <v>REQ-SIC-003</v>
      </c>
      <c r="C4" s="105"/>
      <c r="D4" s="106" t="str">
        <f>TabellaTest!E4</f>
        <v>Verifica accesso al sistema SIES dopo associazione utenza ADN e SIES</v>
      </c>
      <c r="E4" s="107"/>
      <c r="F4" s="106" t="str">
        <f>TabellaTest!G4</f>
        <v>Verifica: verificare che l'utenza ADN venga associata all' utenza SIES e si acceda correttamente all'applicativo.</v>
      </c>
      <c r="G4" s="108"/>
    </row>
    <row r="5" spans="1:7" ht="30" x14ac:dyDescent="0.25">
      <c r="A5" s="100"/>
      <c r="B5" s="73" t="s">
        <v>34</v>
      </c>
      <c r="C5" s="74" t="s">
        <v>35</v>
      </c>
      <c r="D5" s="53" t="s">
        <v>36</v>
      </c>
      <c r="E5" s="53" t="s">
        <v>37</v>
      </c>
      <c r="F5" s="53" t="s">
        <v>38</v>
      </c>
      <c r="G5" s="54" t="s">
        <v>11</v>
      </c>
    </row>
    <row r="6" spans="1:7" ht="69.75" customHeight="1" x14ac:dyDescent="0.25">
      <c r="A6" s="98"/>
      <c r="B6" s="75" t="s">
        <v>39</v>
      </c>
      <c r="C6" s="76" t="s">
        <v>40</v>
      </c>
      <c r="D6" s="77" t="s">
        <v>99</v>
      </c>
      <c r="E6" s="77" t="s">
        <v>100</v>
      </c>
      <c r="F6" s="77" t="s">
        <v>101</v>
      </c>
      <c r="G6" s="55"/>
    </row>
    <row r="7" spans="1:7" ht="56.25" customHeight="1" x14ac:dyDescent="0.25">
      <c r="A7" s="98"/>
      <c r="B7" s="75" t="s">
        <v>39</v>
      </c>
      <c r="C7" s="76" t="s">
        <v>41</v>
      </c>
      <c r="D7" s="77" t="s">
        <v>102</v>
      </c>
      <c r="E7" s="77"/>
      <c r="F7" s="49"/>
      <c r="G7" s="55"/>
    </row>
    <row r="8" spans="1:7" ht="48" customHeight="1" x14ac:dyDescent="0.25">
      <c r="A8" s="98"/>
      <c r="B8" s="78" t="s">
        <v>103</v>
      </c>
      <c r="C8" s="79" t="s">
        <v>43</v>
      </c>
      <c r="D8" s="77" t="s">
        <v>149</v>
      </c>
      <c r="E8" s="80"/>
      <c r="F8" s="77" t="s">
        <v>104</v>
      </c>
      <c r="G8" s="55" t="s">
        <v>51</v>
      </c>
    </row>
    <row r="9" spans="1:7" ht="57" customHeight="1" x14ac:dyDescent="0.25">
      <c r="A9" s="98"/>
      <c r="B9" s="78" t="s">
        <v>105</v>
      </c>
      <c r="C9" s="79" t="s">
        <v>43</v>
      </c>
      <c r="D9" s="77" t="s">
        <v>127</v>
      </c>
      <c r="E9" s="49"/>
      <c r="F9" s="77" t="s">
        <v>150</v>
      </c>
      <c r="G9" s="55" t="s">
        <v>51</v>
      </c>
    </row>
    <row r="10" spans="1:7" ht="30.75" customHeight="1" x14ac:dyDescent="0.25">
      <c r="A10" s="98"/>
      <c r="B10" s="78" t="s">
        <v>106</v>
      </c>
      <c r="C10" s="79" t="s">
        <v>43</v>
      </c>
      <c r="D10" s="77" t="s">
        <v>128</v>
      </c>
      <c r="E10" s="77"/>
      <c r="F10" s="77"/>
      <c r="G10" s="55"/>
    </row>
    <row r="11" spans="1:7" ht="46.5" customHeight="1" thickBot="1" x14ac:dyDescent="0.3">
      <c r="A11" s="99"/>
      <c r="B11" s="81" t="s">
        <v>107</v>
      </c>
      <c r="C11" s="82" t="s">
        <v>108</v>
      </c>
      <c r="D11" s="83" t="s">
        <v>109</v>
      </c>
      <c r="E11" s="83"/>
      <c r="F11" s="83"/>
      <c r="G11" s="56" t="s">
        <v>51</v>
      </c>
    </row>
    <row r="12" spans="1:7" s="41" customFormat="1" ht="51.75" customHeight="1" thickBot="1" x14ac:dyDescent="0.3">
      <c r="A12" s="62" t="str">
        <f>TabellaTest!F5</f>
        <v>TF001.UC02</v>
      </c>
      <c r="B12" s="109" t="str">
        <f>TabellaTest!C5</f>
        <v>REQ-SIC-003</v>
      </c>
      <c r="C12" s="94"/>
      <c r="D12" s="95" t="str">
        <f>TabellaTest!E5</f>
        <v>Verifica configurazione utenza ADN e SIES</v>
      </c>
      <c r="E12" s="96"/>
      <c r="F12" s="95" t="str">
        <f>TabellaTest!G5</f>
        <v xml:space="preserve">Verifica: verificare che accedendo all'applicativo SIES tramite utenza ADN è possibile configurare più utenze SIES associate alla stessa utenza ADN </v>
      </c>
      <c r="G12" s="97"/>
    </row>
    <row r="13" spans="1:7" ht="30" x14ac:dyDescent="0.25">
      <c r="A13" s="60"/>
      <c r="B13" s="63" t="s">
        <v>34</v>
      </c>
      <c r="C13" s="64" t="s">
        <v>35</v>
      </c>
      <c r="D13" s="53" t="s">
        <v>36</v>
      </c>
      <c r="E13" s="53" t="s">
        <v>37</v>
      </c>
      <c r="F13" s="53" t="s">
        <v>38</v>
      </c>
      <c r="G13" s="54" t="s">
        <v>11</v>
      </c>
    </row>
    <row r="14" spans="1:7" ht="70.5" customHeight="1" x14ac:dyDescent="0.25">
      <c r="A14" s="60"/>
      <c r="B14" s="75" t="s">
        <v>39</v>
      </c>
      <c r="C14" s="76" t="s">
        <v>40</v>
      </c>
      <c r="D14" s="77" t="s">
        <v>99</v>
      </c>
      <c r="E14" s="77" t="s">
        <v>100</v>
      </c>
      <c r="F14" s="77" t="s">
        <v>101</v>
      </c>
      <c r="G14" s="55"/>
    </row>
    <row r="15" spans="1:7" ht="38.25" x14ac:dyDescent="0.25">
      <c r="A15" s="60"/>
      <c r="B15" s="75" t="s">
        <v>39</v>
      </c>
      <c r="C15" s="76" t="s">
        <v>41</v>
      </c>
      <c r="D15" s="77" t="s">
        <v>102</v>
      </c>
      <c r="E15" s="77"/>
      <c r="F15" s="49"/>
      <c r="G15" s="55"/>
    </row>
    <row r="16" spans="1:7" ht="55.5" customHeight="1" x14ac:dyDescent="0.25">
      <c r="A16" s="60"/>
      <c r="B16" s="78" t="s">
        <v>103</v>
      </c>
      <c r="C16" s="79" t="s">
        <v>43</v>
      </c>
      <c r="D16" s="77" t="s">
        <v>141</v>
      </c>
      <c r="E16" s="80"/>
      <c r="F16" s="77" t="s">
        <v>151</v>
      </c>
      <c r="G16" s="55" t="s">
        <v>51</v>
      </c>
    </row>
    <row r="17" spans="1:7" ht="45.75" customHeight="1" x14ac:dyDescent="0.25">
      <c r="A17" s="60"/>
      <c r="B17" s="78" t="s">
        <v>105</v>
      </c>
      <c r="C17" s="79" t="s">
        <v>43</v>
      </c>
      <c r="D17" s="77" t="s">
        <v>149</v>
      </c>
      <c r="E17" s="80"/>
      <c r="F17" s="77" t="s">
        <v>104</v>
      </c>
      <c r="G17" s="55" t="s">
        <v>51</v>
      </c>
    </row>
    <row r="18" spans="1:7" ht="69" customHeight="1" x14ac:dyDescent="0.25">
      <c r="A18" s="60"/>
      <c r="B18" s="78" t="s">
        <v>106</v>
      </c>
      <c r="C18" s="79" t="s">
        <v>43</v>
      </c>
      <c r="D18" s="77" t="s">
        <v>127</v>
      </c>
      <c r="E18" s="49"/>
      <c r="F18" s="77" t="s">
        <v>150</v>
      </c>
      <c r="G18" s="55" t="s">
        <v>51</v>
      </c>
    </row>
    <row r="19" spans="1:7" ht="43.5" customHeight="1" x14ac:dyDescent="0.25">
      <c r="A19" s="60"/>
      <c r="B19" s="78" t="s">
        <v>110</v>
      </c>
      <c r="C19" s="79" t="s">
        <v>43</v>
      </c>
      <c r="D19" s="77" t="s">
        <v>128</v>
      </c>
      <c r="E19" s="77"/>
      <c r="F19" s="77"/>
      <c r="G19" s="55"/>
    </row>
    <row r="20" spans="1:7" ht="48.75" customHeight="1" thickBot="1" x14ac:dyDescent="0.3">
      <c r="A20" s="61"/>
      <c r="B20" s="81" t="s">
        <v>107</v>
      </c>
      <c r="C20" s="82" t="s">
        <v>108</v>
      </c>
      <c r="D20" s="83" t="s">
        <v>109</v>
      </c>
      <c r="E20" s="83"/>
      <c r="F20" s="83"/>
      <c r="G20" s="56" t="s">
        <v>51</v>
      </c>
    </row>
    <row r="21" spans="1:7" s="41" customFormat="1" ht="41.25" customHeight="1" thickBot="1" x14ac:dyDescent="0.3">
      <c r="A21" s="62" t="str">
        <f>TabellaTest!F6</f>
        <v>TF002.UC03</v>
      </c>
      <c r="B21" s="109" t="str">
        <f>TabellaTest!C6</f>
        <v>REQ-SIC-003</v>
      </c>
      <c r="C21" s="94"/>
      <c r="D21" s="95" t="str">
        <f>TabellaTest!E6</f>
        <v>Verifica di avvenuto trasferimento di un titolo di classe 1 da SIES a NSC</v>
      </c>
      <c r="E21" s="96"/>
      <c r="F21" s="95" t="str">
        <f>TabellaTest!G6</f>
        <v>Verifica: verificare che venga trasferito correttamente un titolo di classe 1 dal sistema SIES al sistema NSC</v>
      </c>
      <c r="G21" s="97"/>
    </row>
    <row r="22" spans="1:7" ht="41.25" customHeight="1" x14ac:dyDescent="0.25">
      <c r="A22" s="59"/>
      <c r="B22" s="63" t="s">
        <v>34</v>
      </c>
      <c r="C22" s="64" t="s">
        <v>35</v>
      </c>
      <c r="D22" s="53" t="s">
        <v>36</v>
      </c>
      <c r="E22" s="53" t="s">
        <v>37</v>
      </c>
      <c r="F22" s="53" t="s">
        <v>38</v>
      </c>
      <c r="G22" s="54" t="s">
        <v>11</v>
      </c>
    </row>
    <row r="23" spans="1:7" ht="45.75" customHeight="1" x14ac:dyDescent="0.25">
      <c r="A23" s="60"/>
      <c r="B23" s="75" t="s">
        <v>39</v>
      </c>
      <c r="C23" s="76" t="s">
        <v>40</v>
      </c>
      <c r="D23" s="77" t="s">
        <v>111</v>
      </c>
      <c r="E23" s="77" t="s">
        <v>100</v>
      </c>
      <c r="F23" s="77" t="s">
        <v>101</v>
      </c>
      <c r="G23" s="55"/>
    </row>
    <row r="24" spans="1:7" ht="47.25" customHeight="1" x14ac:dyDescent="0.25">
      <c r="A24" s="60"/>
      <c r="B24" s="75" t="s">
        <v>39</v>
      </c>
      <c r="C24" s="76" t="s">
        <v>41</v>
      </c>
      <c r="D24" s="77" t="s">
        <v>102</v>
      </c>
      <c r="E24" s="77"/>
      <c r="F24" s="49"/>
      <c r="G24" s="55"/>
    </row>
    <row r="25" spans="1:7" ht="40.5" customHeight="1" x14ac:dyDescent="0.25">
      <c r="A25" s="60"/>
      <c r="B25" s="78" t="s">
        <v>103</v>
      </c>
      <c r="C25" s="79" t="s">
        <v>43</v>
      </c>
      <c r="D25" s="77" t="s">
        <v>142</v>
      </c>
      <c r="E25" s="80"/>
      <c r="F25" s="77" t="s">
        <v>152</v>
      </c>
      <c r="G25" s="55" t="s">
        <v>51</v>
      </c>
    </row>
    <row r="26" spans="1:7" ht="44.25" customHeight="1" x14ac:dyDescent="0.25">
      <c r="A26" s="60"/>
      <c r="B26" s="78" t="s">
        <v>105</v>
      </c>
      <c r="C26" s="79" t="s">
        <v>43</v>
      </c>
      <c r="D26" s="77" t="s">
        <v>129</v>
      </c>
      <c r="E26" s="80"/>
      <c r="F26" s="77"/>
      <c r="G26" s="55"/>
    </row>
    <row r="27" spans="1:7" ht="42.75" customHeight="1" x14ac:dyDescent="0.25">
      <c r="A27" s="60"/>
      <c r="B27" s="78" t="s">
        <v>106</v>
      </c>
      <c r="C27" s="79" t="s">
        <v>43</v>
      </c>
      <c r="D27" s="77" t="s">
        <v>113</v>
      </c>
      <c r="E27" s="77"/>
      <c r="F27" s="49"/>
      <c r="G27" s="55"/>
    </row>
    <row r="28" spans="1:7" ht="27.75" customHeight="1" x14ac:dyDescent="0.25">
      <c r="A28" s="60"/>
      <c r="B28" s="78" t="s">
        <v>110</v>
      </c>
      <c r="C28" s="79" t="s">
        <v>43</v>
      </c>
      <c r="D28" s="77" t="s">
        <v>143</v>
      </c>
      <c r="E28" s="80"/>
      <c r="F28" s="77" t="s">
        <v>130</v>
      </c>
      <c r="G28" s="55" t="s">
        <v>51</v>
      </c>
    </row>
    <row r="29" spans="1:7" ht="45.75" customHeight="1" x14ac:dyDescent="0.25">
      <c r="A29" s="60"/>
      <c r="B29" s="78" t="s">
        <v>114</v>
      </c>
      <c r="C29" s="79" t="s">
        <v>43</v>
      </c>
      <c r="D29" s="77" t="s">
        <v>144</v>
      </c>
      <c r="E29" s="80"/>
      <c r="F29" s="77" t="s">
        <v>115</v>
      </c>
      <c r="G29" s="55" t="s">
        <v>51</v>
      </c>
    </row>
    <row r="30" spans="1:7" ht="46.5" customHeight="1" x14ac:dyDescent="0.25">
      <c r="A30" s="60"/>
      <c r="B30" s="78" t="s">
        <v>116</v>
      </c>
      <c r="C30" s="79" t="s">
        <v>43</v>
      </c>
      <c r="D30" s="77" t="s">
        <v>131</v>
      </c>
      <c r="E30" s="80"/>
      <c r="F30" s="77"/>
      <c r="G30" s="55"/>
    </row>
    <row r="31" spans="1:7" ht="51.75" customHeight="1" thickBot="1" x14ac:dyDescent="0.3">
      <c r="A31" s="61"/>
      <c r="B31" s="81" t="s">
        <v>107</v>
      </c>
      <c r="C31" s="82" t="s">
        <v>108</v>
      </c>
      <c r="D31" s="83" t="s">
        <v>117</v>
      </c>
      <c r="E31" s="84"/>
      <c r="F31" s="83"/>
      <c r="G31" s="56" t="s">
        <v>51</v>
      </c>
    </row>
    <row r="32" spans="1:7" s="41" customFormat="1" ht="40.5" customHeight="1" thickBot="1" x14ac:dyDescent="0.3">
      <c r="A32" s="62" t="str">
        <f>TabellaTest!F7</f>
        <v>TF001.UC04</v>
      </c>
      <c r="B32" s="109" t="str">
        <f>TabellaTest!C7</f>
        <v>REQ-SIC-003</v>
      </c>
      <c r="C32" s="94"/>
      <c r="D32" s="95" t="str">
        <f>TabellaTest!E7</f>
        <v>Verifica di avvenuto trasferimento di un foglio complementare da SIES a NSC</v>
      </c>
      <c r="E32" s="96"/>
      <c r="F32" s="95" t="str">
        <f>TabellaTest!G7</f>
        <v>Verifica: verificare che venga trasferito correttamente un foglio complementare dal sistema SIES al sistema NSC</v>
      </c>
      <c r="G32" s="97"/>
    </row>
    <row r="33" spans="1:7" ht="30" x14ac:dyDescent="0.25">
      <c r="A33" s="101"/>
      <c r="B33" s="65" t="s">
        <v>34</v>
      </c>
      <c r="C33" s="66" t="s">
        <v>35</v>
      </c>
      <c r="D33" s="66" t="s">
        <v>36</v>
      </c>
      <c r="E33" s="66" t="s">
        <v>37</v>
      </c>
      <c r="F33" s="66" t="s">
        <v>38</v>
      </c>
      <c r="G33" s="67" t="s">
        <v>11</v>
      </c>
    </row>
    <row r="34" spans="1:7" ht="44.25" customHeight="1" x14ac:dyDescent="0.25">
      <c r="A34" s="102"/>
      <c r="B34" s="75" t="s">
        <v>39</v>
      </c>
      <c r="C34" s="76" t="s">
        <v>40</v>
      </c>
      <c r="D34" s="77" t="s">
        <v>111</v>
      </c>
      <c r="E34" s="77" t="s">
        <v>100</v>
      </c>
      <c r="F34" s="77" t="s">
        <v>101</v>
      </c>
      <c r="G34" s="55"/>
    </row>
    <row r="35" spans="1:7" ht="48.75" customHeight="1" x14ac:dyDescent="0.25">
      <c r="A35" s="102"/>
      <c r="B35" s="75" t="s">
        <v>39</v>
      </c>
      <c r="C35" s="76" t="s">
        <v>41</v>
      </c>
      <c r="D35" s="77" t="s">
        <v>102</v>
      </c>
      <c r="E35" s="77"/>
      <c r="F35" s="49"/>
      <c r="G35" s="55"/>
    </row>
    <row r="36" spans="1:7" ht="49.5" customHeight="1" x14ac:dyDescent="0.25">
      <c r="A36" s="102"/>
      <c r="B36" s="78" t="s">
        <v>103</v>
      </c>
      <c r="C36" s="79" t="s">
        <v>43</v>
      </c>
      <c r="D36" s="77" t="s">
        <v>118</v>
      </c>
      <c r="E36" s="80"/>
      <c r="F36" s="77" t="s">
        <v>153</v>
      </c>
      <c r="G36" s="55" t="s">
        <v>51</v>
      </c>
    </row>
    <row r="37" spans="1:7" ht="36" customHeight="1" x14ac:dyDescent="0.25">
      <c r="A37" s="102"/>
      <c r="B37" s="78" t="s">
        <v>105</v>
      </c>
      <c r="C37" s="79" t="s">
        <v>43</v>
      </c>
      <c r="D37" s="77" t="s">
        <v>129</v>
      </c>
      <c r="E37" s="80"/>
      <c r="F37" s="77"/>
      <c r="G37" s="55"/>
    </row>
    <row r="38" spans="1:7" ht="51" customHeight="1" x14ac:dyDescent="0.25">
      <c r="A38" s="102"/>
      <c r="B38" s="78" t="s">
        <v>106</v>
      </c>
      <c r="C38" s="79" t="s">
        <v>43</v>
      </c>
      <c r="D38" s="77" t="s">
        <v>119</v>
      </c>
      <c r="E38" s="77"/>
      <c r="F38" s="49"/>
      <c r="G38" s="55"/>
    </row>
    <row r="39" spans="1:7" ht="43.5" customHeight="1" x14ac:dyDescent="0.25">
      <c r="A39" s="102"/>
      <c r="B39" s="85">
        <v>4</v>
      </c>
      <c r="C39" s="86" t="s">
        <v>42</v>
      </c>
      <c r="D39" s="87" t="s">
        <v>120</v>
      </c>
      <c r="E39" s="80"/>
      <c r="F39" s="77" t="s">
        <v>132</v>
      </c>
      <c r="G39" s="55" t="s">
        <v>51</v>
      </c>
    </row>
    <row r="40" spans="1:7" ht="38.25" customHeight="1" x14ac:dyDescent="0.25">
      <c r="A40" s="102"/>
      <c r="B40" s="78" t="s">
        <v>114</v>
      </c>
      <c r="C40" s="79" t="s">
        <v>43</v>
      </c>
      <c r="D40" s="77" t="s">
        <v>145</v>
      </c>
      <c r="E40" s="80"/>
      <c r="F40" s="77" t="s">
        <v>130</v>
      </c>
      <c r="G40" s="55" t="s">
        <v>51</v>
      </c>
    </row>
    <row r="41" spans="1:7" ht="54" customHeight="1" x14ac:dyDescent="0.25">
      <c r="A41" s="102"/>
      <c r="B41" s="78" t="s">
        <v>116</v>
      </c>
      <c r="C41" s="79" t="s">
        <v>43</v>
      </c>
      <c r="D41" s="77" t="s">
        <v>133</v>
      </c>
      <c r="E41" s="80"/>
      <c r="F41" s="77" t="s">
        <v>134</v>
      </c>
      <c r="G41" s="55" t="s">
        <v>51</v>
      </c>
    </row>
    <row r="42" spans="1:7" ht="40.5" customHeight="1" x14ac:dyDescent="0.25">
      <c r="A42" s="102"/>
      <c r="B42" s="78" t="s">
        <v>121</v>
      </c>
      <c r="C42" s="79" t="s">
        <v>43</v>
      </c>
      <c r="D42" s="77" t="s">
        <v>122</v>
      </c>
      <c r="E42" s="80"/>
      <c r="F42" s="77" t="s">
        <v>135</v>
      </c>
      <c r="G42" s="55" t="s">
        <v>51</v>
      </c>
    </row>
    <row r="43" spans="1:7" ht="41.25" customHeight="1" x14ac:dyDescent="0.25">
      <c r="A43" s="102"/>
      <c r="B43" s="78" t="s">
        <v>123</v>
      </c>
      <c r="C43" s="79" t="s">
        <v>43</v>
      </c>
      <c r="D43" s="77" t="s">
        <v>136</v>
      </c>
      <c r="E43" s="80"/>
      <c r="F43" s="77"/>
      <c r="G43" s="55"/>
    </row>
    <row r="44" spans="1:7" ht="63" customHeight="1" thickBot="1" x14ac:dyDescent="0.3">
      <c r="A44" s="103"/>
      <c r="B44" s="81" t="s">
        <v>107</v>
      </c>
      <c r="C44" s="82" t="s">
        <v>108</v>
      </c>
      <c r="D44" s="83" t="s">
        <v>124</v>
      </c>
      <c r="E44" s="84"/>
      <c r="F44" s="83"/>
      <c r="G44" s="56" t="s">
        <v>51</v>
      </c>
    </row>
    <row r="45" spans="1:7" s="41" customFormat="1" ht="40.5" customHeight="1" thickBot="1" x14ac:dyDescent="0.3">
      <c r="A45" s="62" t="str">
        <f>TabellaTest!F8</f>
        <v>TF002.UC05</v>
      </c>
      <c r="B45" s="109" t="str">
        <f>TabellaTest!C8</f>
        <v>REQ-SIC-003</v>
      </c>
      <c r="C45" s="94"/>
      <c r="D45" s="95" t="str">
        <f>TabellaTest!E8</f>
        <v>Verifica accesso al modulo web di interconnessione SIES-NSC</v>
      </c>
      <c r="E45" s="96"/>
      <c r="F45" s="95" t="str">
        <f>TabellaTest!G8</f>
        <v>Verifica: verificare che l'accesso al modulo web di interconnessione SIES-NSC avvenga correttamente</v>
      </c>
      <c r="G45" s="97"/>
    </row>
    <row r="46" spans="1:7" ht="30" x14ac:dyDescent="0.25">
      <c r="A46" s="98"/>
      <c r="B46" s="63" t="s">
        <v>34</v>
      </c>
      <c r="C46" s="64" t="s">
        <v>35</v>
      </c>
      <c r="D46" s="53" t="s">
        <v>36</v>
      </c>
      <c r="E46" s="53" t="s">
        <v>37</v>
      </c>
      <c r="F46" s="53" t="s">
        <v>38</v>
      </c>
      <c r="G46" s="54" t="s">
        <v>11</v>
      </c>
    </row>
    <row r="47" spans="1:7" ht="49.5" customHeight="1" x14ac:dyDescent="0.25">
      <c r="A47" s="98"/>
      <c r="B47" s="75" t="s">
        <v>39</v>
      </c>
      <c r="C47" s="76" t="s">
        <v>40</v>
      </c>
      <c r="D47" s="77" t="s">
        <v>111</v>
      </c>
      <c r="E47" s="77" t="s">
        <v>100</v>
      </c>
      <c r="F47" s="77" t="s">
        <v>101</v>
      </c>
      <c r="G47" s="55"/>
    </row>
    <row r="48" spans="1:7" ht="42.75" customHeight="1" x14ac:dyDescent="0.25">
      <c r="A48" s="98"/>
      <c r="B48" s="75" t="s">
        <v>39</v>
      </c>
      <c r="C48" s="76" t="s">
        <v>41</v>
      </c>
      <c r="D48" s="77" t="s">
        <v>102</v>
      </c>
      <c r="E48" s="77"/>
      <c r="F48" s="49"/>
      <c r="G48" s="55"/>
    </row>
    <row r="49" spans="1:7" ht="45.75" customHeight="1" x14ac:dyDescent="0.25">
      <c r="A49" s="98"/>
      <c r="B49" s="78" t="s">
        <v>103</v>
      </c>
      <c r="C49" s="79" t="s">
        <v>43</v>
      </c>
      <c r="D49" s="77" t="s">
        <v>112</v>
      </c>
      <c r="E49" s="80"/>
      <c r="F49" s="77" t="s">
        <v>152</v>
      </c>
      <c r="G49" s="55" t="s">
        <v>51</v>
      </c>
    </row>
    <row r="50" spans="1:7" ht="33.75" customHeight="1" x14ac:dyDescent="0.25">
      <c r="A50" s="98"/>
      <c r="B50" s="78" t="s">
        <v>105</v>
      </c>
      <c r="C50" s="79" t="s">
        <v>43</v>
      </c>
      <c r="D50" s="77" t="s">
        <v>129</v>
      </c>
      <c r="E50" s="80"/>
      <c r="F50" s="77"/>
      <c r="G50" s="55"/>
    </row>
    <row r="51" spans="1:7" ht="36.75" customHeight="1" x14ac:dyDescent="0.25">
      <c r="A51" s="98"/>
      <c r="B51" s="78" t="s">
        <v>106</v>
      </c>
      <c r="C51" s="79" t="s">
        <v>43</v>
      </c>
      <c r="D51" s="77" t="s">
        <v>113</v>
      </c>
      <c r="E51" s="77"/>
      <c r="F51" s="49"/>
      <c r="G51" s="55"/>
    </row>
    <row r="52" spans="1:7" ht="37.5" customHeight="1" x14ac:dyDescent="0.25">
      <c r="A52" s="98"/>
      <c r="B52" s="85">
        <v>4</v>
      </c>
      <c r="C52" s="86" t="s">
        <v>42</v>
      </c>
      <c r="D52" s="87" t="s">
        <v>125</v>
      </c>
      <c r="E52" s="80"/>
      <c r="F52" s="77" t="s">
        <v>137</v>
      </c>
      <c r="G52" s="55" t="s">
        <v>51</v>
      </c>
    </row>
    <row r="53" spans="1:7" ht="36" customHeight="1" x14ac:dyDescent="0.25">
      <c r="A53" s="98"/>
      <c r="B53" s="78" t="s">
        <v>114</v>
      </c>
      <c r="C53" s="79" t="s">
        <v>43</v>
      </c>
      <c r="D53" s="77" t="s">
        <v>146</v>
      </c>
      <c r="E53" s="80"/>
      <c r="F53" s="77"/>
      <c r="G53" s="55"/>
    </row>
    <row r="54" spans="1:7" ht="45" customHeight="1" thickBot="1" x14ac:dyDescent="0.3">
      <c r="A54" s="99"/>
      <c r="B54" s="81" t="s">
        <v>107</v>
      </c>
      <c r="C54" s="82" t="s">
        <v>108</v>
      </c>
      <c r="D54" s="83" t="s">
        <v>126</v>
      </c>
      <c r="E54" s="84"/>
      <c r="F54" s="83"/>
      <c r="G54" s="56" t="s">
        <v>51</v>
      </c>
    </row>
  </sheetData>
  <autoFilter ref="A3:G3" xr:uid="{00000000-0009-0000-0000-000002000000}">
    <filterColumn colId="1" showButton="0"/>
    <filterColumn colId="3" showButton="0"/>
    <filterColumn colId="5" showButton="0"/>
  </autoFilter>
  <mergeCells count="25">
    <mergeCell ref="A1:C1"/>
    <mergeCell ref="D1:G1"/>
    <mergeCell ref="A2:C2"/>
    <mergeCell ref="D2:G2"/>
    <mergeCell ref="B3:C3"/>
    <mergeCell ref="D3:E3"/>
    <mergeCell ref="F3:G3"/>
    <mergeCell ref="F4:G4"/>
    <mergeCell ref="B32:C32"/>
    <mergeCell ref="D32:E32"/>
    <mergeCell ref="F32:G32"/>
    <mergeCell ref="B45:C45"/>
    <mergeCell ref="D45:E45"/>
    <mergeCell ref="F45:G45"/>
    <mergeCell ref="B12:C12"/>
    <mergeCell ref="D12:E12"/>
    <mergeCell ref="F12:G12"/>
    <mergeCell ref="B21:C21"/>
    <mergeCell ref="D21:E21"/>
    <mergeCell ref="F21:G21"/>
    <mergeCell ref="A46:A54"/>
    <mergeCell ref="A5:A11"/>
    <mergeCell ref="A33:A44"/>
    <mergeCell ref="B4:C4"/>
    <mergeCell ref="D4:E4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19" t="s">
        <v>4</v>
      </c>
      <c r="B1" s="120"/>
      <c r="C1" s="121"/>
      <c r="D1" s="125" t="str">
        <f>Copertina!C7</f>
        <v>Integrazione SIES-ADN</v>
      </c>
      <c r="E1" s="126"/>
      <c r="F1" s="126"/>
      <c r="G1" s="127"/>
      <c r="H1" s="11"/>
    </row>
    <row r="2" spans="1:8" s="12" customFormat="1" ht="20.25" customHeight="1" thickBot="1" x14ac:dyDescent="0.3">
      <c r="A2" s="122" t="s">
        <v>12</v>
      </c>
      <c r="B2" s="123"/>
      <c r="C2" s="124"/>
      <c r="D2" s="128" t="str">
        <f>Copertina!C3</f>
        <v>SIUT-SIE-CT-1.0-20210312-Allegato-al-piano-test_SIES-ADN.xls</v>
      </c>
      <c r="E2" s="129"/>
      <c r="F2" s="129"/>
      <c r="G2" s="130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46</v>
      </c>
      <c r="B4" s="44" t="s">
        <v>47</v>
      </c>
      <c r="C4" s="44" t="s">
        <v>48</v>
      </c>
      <c r="D4" s="44" t="s">
        <v>49</v>
      </c>
      <c r="E4" s="45" t="s">
        <v>50</v>
      </c>
      <c r="F4" s="46" t="s">
        <v>51</v>
      </c>
      <c r="G4" s="45"/>
    </row>
    <row r="5" spans="1:8" ht="30" x14ac:dyDescent="0.25">
      <c r="A5" s="43" t="s">
        <v>52</v>
      </c>
      <c r="B5" s="44" t="s">
        <v>47</v>
      </c>
      <c r="C5" s="44" t="s">
        <v>53</v>
      </c>
      <c r="D5" s="44" t="s">
        <v>54</v>
      </c>
      <c r="E5" s="44" t="s">
        <v>55</v>
      </c>
      <c r="F5" s="47" t="s">
        <v>51</v>
      </c>
      <c r="G5" s="44"/>
    </row>
    <row r="6" spans="1:8" ht="30" x14ac:dyDescent="0.25">
      <c r="A6" s="43" t="s">
        <v>56</v>
      </c>
      <c r="B6" s="44" t="s">
        <v>47</v>
      </c>
      <c r="C6" s="44" t="s">
        <v>57</v>
      </c>
      <c r="D6" s="44" t="s">
        <v>58</v>
      </c>
      <c r="E6" s="44" t="s">
        <v>59</v>
      </c>
      <c r="F6" s="47" t="s">
        <v>51</v>
      </c>
      <c r="G6" s="44"/>
    </row>
    <row r="7" spans="1:8" ht="30" x14ac:dyDescent="0.25">
      <c r="A7" s="43" t="s">
        <v>60</v>
      </c>
      <c r="B7" s="44" t="s">
        <v>61</v>
      </c>
      <c r="C7" s="44" t="s">
        <v>62</v>
      </c>
      <c r="D7" s="44" t="s">
        <v>63</v>
      </c>
      <c r="E7" s="44" t="s">
        <v>64</v>
      </c>
      <c r="F7" s="47" t="s">
        <v>51</v>
      </c>
      <c r="G7" s="44"/>
    </row>
    <row r="8" spans="1:8" ht="60" x14ac:dyDescent="0.25">
      <c r="A8" s="43" t="s">
        <v>65</v>
      </c>
      <c r="B8" s="44" t="s">
        <v>66</v>
      </c>
      <c r="C8" s="44" t="s">
        <v>67</v>
      </c>
      <c r="D8" s="44" t="s">
        <v>68</v>
      </c>
      <c r="E8" s="44" t="s">
        <v>69</v>
      </c>
      <c r="F8" s="47" t="s">
        <v>51</v>
      </c>
      <c r="G8" s="44"/>
    </row>
    <row r="9" spans="1:8" ht="30" x14ac:dyDescent="0.25">
      <c r="A9" s="43" t="s">
        <v>70</v>
      </c>
      <c r="B9" s="44" t="s">
        <v>66</v>
      </c>
      <c r="C9" s="44" t="s">
        <v>67</v>
      </c>
      <c r="D9" s="44" t="s">
        <v>71</v>
      </c>
      <c r="E9" s="44" t="s">
        <v>72</v>
      </c>
      <c r="F9" s="47" t="s">
        <v>51</v>
      </c>
      <c r="G9" s="44"/>
    </row>
    <row r="10" spans="1:8" ht="30" x14ac:dyDescent="0.25">
      <c r="A10" s="43" t="s">
        <v>73</v>
      </c>
      <c r="B10" s="44" t="s">
        <v>66</v>
      </c>
      <c r="C10" s="44" t="s">
        <v>67</v>
      </c>
      <c r="D10" s="44" t="s">
        <v>74</v>
      </c>
      <c r="E10" s="44" t="s">
        <v>75</v>
      </c>
      <c r="F10" s="47" t="s">
        <v>51</v>
      </c>
      <c r="G10" s="44"/>
    </row>
    <row r="11" spans="1:8" ht="60" x14ac:dyDescent="0.25">
      <c r="A11" s="43" t="s">
        <v>76</v>
      </c>
      <c r="B11" s="44" t="s">
        <v>66</v>
      </c>
      <c r="C11" s="44" t="s">
        <v>77</v>
      </c>
      <c r="D11" s="44" t="s">
        <v>78</v>
      </c>
      <c r="E11" s="44" t="s">
        <v>79</v>
      </c>
      <c r="F11" s="47" t="s">
        <v>51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152" t="s">
        <v>4</v>
      </c>
      <c r="B1" s="152"/>
      <c r="C1" s="154" t="str">
        <f>Copertina!C7</f>
        <v>Integrazione SIES-ADN</v>
      </c>
      <c r="D1" s="154"/>
      <c r="E1" s="154"/>
      <c r="F1" s="19"/>
      <c r="G1" s="20"/>
      <c r="H1" s="11"/>
    </row>
    <row r="2" spans="1:9" s="12" customFormat="1" ht="20.25" customHeight="1" thickBot="1" x14ac:dyDescent="0.3">
      <c r="A2" s="153" t="s">
        <v>12</v>
      </c>
      <c r="B2" s="153"/>
      <c r="C2" s="155" t="str">
        <f>Copertina!C3</f>
        <v>SIUT-SIE-CT-1.0-20210312-Allegato-al-piano-test_SIES-ADN.xls</v>
      </c>
      <c r="D2" s="155"/>
      <c r="E2" s="155"/>
      <c r="F2" s="21"/>
      <c r="G2" s="22"/>
      <c r="H2" s="13"/>
    </row>
    <row r="3" spans="1:9" s="23" customFormat="1" ht="27" customHeight="1" thickBot="1" x14ac:dyDescent="0.3">
      <c r="A3" s="136" t="s">
        <v>20</v>
      </c>
      <c r="B3" s="137"/>
      <c r="C3" s="137"/>
      <c r="D3" s="137"/>
      <c r="E3" s="138"/>
      <c r="G3" s="139" t="s">
        <v>21</v>
      </c>
      <c r="H3" s="140"/>
      <c r="I3" s="141"/>
    </row>
    <row r="4" spans="1:9" ht="23.25" customHeight="1" thickBot="1" x14ac:dyDescent="0.25">
      <c r="A4" s="148" t="s">
        <v>22</v>
      </c>
      <c r="B4" s="149" t="s">
        <v>23</v>
      </c>
      <c r="C4" s="150"/>
      <c r="D4" s="150"/>
      <c r="E4" s="151"/>
      <c r="G4" s="142"/>
      <c r="H4" s="143"/>
      <c r="I4" s="144"/>
    </row>
    <row r="5" spans="1:9" ht="26.25" customHeight="1" thickBot="1" x14ac:dyDescent="0.25">
      <c r="A5" s="132"/>
      <c r="B5" s="25">
        <v>1</v>
      </c>
      <c r="C5" s="25">
        <v>2</v>
      </c>
      <c r="D5" s="25">
        <v>3</v>
      </c>
      <c r="E5" s="26">
        <v>4</v>
      </c>
      <c r="G5" s="142"/>
      <c r="H5" s="143"/>
      <c r="I5" s="144"/>
    </row>
    <row r="6" spans="1:9" ht="15.75" thickBot="1" x14ac:dyDescent="0.25">
      <c r="A6" s="27" t="s">
        <v>24</v>
      </c>
      <c r="B6" s="28">
        <f>COUNTIFS(TabellaTest!$H$4:$H$330,1,TabellaTest!$I$4:$I$330,"A",TabellaTest!$J$4:$J$330,"KO")</f>
        <v>0</v>
      </c>
      <c r="C6" s="28">
        <f>COUNTIFS(TabellaTest!$H$4:$H$330,2,TabellaTest!$I$4:$I$330,"A",TabellaTest!$J$4:$J$330,"KO")</f>
        <v>0</v>
      </c>
      <c r="D6" s="28">
        <f>COUNTIFS(TabellaTest!$H$4:$H$330,3,TabellaTest!$I$4:$I$330,"A",TabellaTest!$J$4:$J$330,"KO")</f>
        <v>0</v>
      </c>
      <c r="E6" s="28">
        <f>COUNTIFS(TabellaTest!$H$4:$H$330,4,TabellaTest!$I$4:$I$330,"A",TabellaTest!$J$4:$J$330,"KO")</f>
        <v>0</v>
      </c>
      <c r="G6" s="142"/>
      <c r="H6" s="143"/>
      <c r="I6" s="144"/>
    </row>
    <row r="7" spans="1:9" ht="15.75" thickBot="1" x14ac:dyDescent="0.25">
      <c r="A7" s="29" t="s">
        <v>25</v>
      </c>
      <c r="B7" s="28">
        <f>COUNTIFS(TabellaTest!$H$4:$H$330,1,TabellaTest!$I$4:$I$330,"B",TabellaTest!$J$4:$J$330,"KO")</f>
        <v>0</v>
      </c>
      <c r="C7" s="28">
        <f>COUNTIFS(TabellaTest!$H$4:$H$330,2,TabellaTest!$I$4:$I$330,"B",TabellaTest!$J$4:$J$330,"KO")</f>
        <v>0</v>
      </c>
      <c r="D7" s="28">
        <f>COUNTIFS(TabellaTest!$H$4:$H$330,3,TabellaTest!$I$4:$I$330,"B",TabellaTest!$J$4:$J$330,"KO")</f>
        <v>0</v>
      </c>
      <c r="E7" s="28">
        <f>COUNTIFS(TabellaTest!$H$4:$H$330,4,TabellaTest!$I$4:$I$330,"B",TabellaTest!$J$4:$J$330,"KO")</f>
        <v>0</v>
      </c>
      <c r="G7" s="142"/>
      <c r="H7" s="143"/>
      <c r="I7" s="144"/>
    </row>
    <row r="8" spans="1:9" ht="15.75" thickBot="1" x14ac:dyDescent="0.25">
      <c r="A8" s="30" t="s">
        <v>26</v>
      </c>
      <c r="B8" s="28">
        <f>COUNTIFS(TabellaTest!$H$4:$H$330,1,TabellaTest!$I$4:$I$330,"C",TabellaTest!$J$4:$J$330,"KO")</f>
        <v>0</v>
      </c>
      <c r="C8" s="28">
        <f>COUNTIFS(TabellaTest!$H$4:$H$330,2,TabellaTest!$I$4:$I$330,"C",TabellaTest!$J$4:$J$330,"KO")</f>
        <v>0</v>
      </c>
      <c r="D8" s="28">
        <f>COUNTIFS(TabellaTest!$H$4:$H$330,3,TabellaTest!$I$4:$I$330,"C",TabellaTest!$J$4:$J$330,"KO")</f>
        <v>0</v>
      </c>
      <c r="E8" s="28">
        <f>COUNTIFS(TabellaTest!$H$4:$H$330,4,TabellaTest!$I$4:$I$330,"C",TabellaTest!$J$4:$J$330,"KO")</f>
        <v>0</v>
      </c>
      <c r="G8" s="145"/>
      <c r="H8" s="146"/>
      <c r="I8" s="147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156" t="s">
        <v>27</v>
      </c>
      <c r="B14" s="157"/>
      <c r="C14" s="157"/>
      <c r="D14" s="157"/>
      <c r="E14" s="158"/>
      <c r="G14" s="34"/>
    </row>
    <row r="15" spans="1:9" ht="15.75" thickBot="1" x14ac:dyDescent="0.25">
      <c r="A15" s="131" t="s">
        <v>22</v>
      </c>
      <c r="B15" s="133" t="s">
        <v>23</v>
      </c>
      <c r="C15" s="134"/>
      <c r="D15" s="134"/>
      <c r="E15" s="135"/>
    </row>
    <row r="16" spans="1:9" ht="15.75" thickBot="1" x14ac:dyDescent="0.25">
      <c r="A16" s="132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COUNTIFS(TabellaTest!$H$4:$H$330,1,TabellaTest!$I$4:$I$330,"A")</f>
        <v>1</v>
      </c>
      <c r="C17" s="38">
        <f>COUNTIFS(TabellaTest!$H$4:$H$330,2,TabellaTest!$I$4:$I$330,"A")</f>
        <v>0</v>
      </c>
      <c r="D17" s="38">
        <f>COUNTIFS(TabellaTest!$H$4:$H$330,3,TabellaTest!$I$4:$I$330,"A")</f>
        <v>0</v>
      </c>
      <c r="E17" s="38">
        <f>COUNTIFS(TabellaTest!$H$4:$H$330,4,TabellaTest!$I$4:$I$330,"A")</f>
        <v>0</v>
      </c>
    </row>
    <row r="18" spans="1:5" ht="15.75" thickBot="1" x14ac:dyDescent="0.25">
      <c r="A18" s="39" t="s">
        <v>25</v>
      </c>
      <c r="B18" s="38">
        <f>COUNTIFS(TabellaTest!$H$4:$H$330,1,TabellaTest!$I$4:$I$330,"B")</f>
        <v>0</v>
      </c>
      <c r="C18" s="38">
        <f>COUNTIFS(TabellaTest!$H$4:$H$330,2,TabellaTest!$I$4:$I$330,"B")</f>
        <v>1</v>
      </c>
      <c r="D18" s="38">
        <f>COUNTIFS(TabellaTest!$H$4:$H$330,3,TabellaTest!$I$4:$I$330,"B")</f>
        <v>0</v>
      </c>
      <c r="E18" s="38">
        <f>COUNTIFS(TabellaTest!$H$4:$H$330,4,TabellaTest!$I$4:$I$330,"B")</f>
        <v>0</v>
      </c>
    </row>
    <row r="19" spans="1:5" ht="15.75" thickBot="1" x14ac:dyDescent="0.25">
      <c r="A19" s="40" t="s">
        <v>26</v>
      </c>
      <c r="B19" s="38">
        <f>COUNTIFS(TabellaTest!$H$4:$H$330,1,TabellaTest!$I$4:$I$330,"C")</f>
        <v>0</v>
      </c>
      <c r="C19" s="38">
        <f>COUNTIFS(TabellaTest!$H$4:$H$330,2,TabellaTest!$I$4:$I$330,"C")</f>
        <v>0</v>
      </c>
      <c r="D19" s="38">
        <f>COUNTIFS(TabellaTest!$H$4:$H$330,3,TabellaTest!$I$4:$I$330,"C")</f>
        <v>3</v>
      </c>
      <c r="E19" s="38">
        <f>COUNTIFS(TabellaTest!$H$4:$H$330,4,TabellaTest!$I$4:$I$330,"C")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Salvaggio</dc:creator>
  <cp:lastModifiedBy>Domenico Nania</cp:lastModifiedBy>
  <cp:lastPrinted>2019-11-08T14:17:06Z</cp:lastPrinted>
  <dcterms:created xsi:type="dcterms:W3CDTF">2019-11-07T09:38:15Z</dcterms:created>
  <dcterms:modified xsi:type="dcterms:W3CDTF">2021-03-22T13:41:59Z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0x0101009B637F1D28401F4E9309B338650987D9</vt:lpwstr>
  </property>
</Properties>
</file>