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SVN\ORGANIZZAZIONE - SIUT\DOCUMENTAZIONE\Integrazione SIES-ADN\RILASCIO_MEV_SIES-ADN (PRE GO-LIVE)\20210531_1.1\"/>
    </mc:Choice>
  </mc:AlternateContent>
  <xr:revisionPtr revIDLastSave="0" documentId="13_ncr:1_{0CDA4D24-AF26-48A5-B75E-22447F970AED}" xr6:coauthVersionLast="45" xr6:coauthVersionMax="45" xr10:uidLastSave="{00000000-0000-0000-0000-000000000000}"/>
  <bookViews>
    <workbookView xWindow="-120" yWindow="-120" windowWidth="20730" windowHeight="11160" xr2:uid="{00000000-000D-0000-FFFF-FFFF00000000}"/>
  </bookViews>
  <sheets>
    <sheet name="Copertina" sheetId="1" r:id="rId1"/>
    <sheet name="TabellaTest" sheetId="2" r:id="rId2"/>
    <sheet name="SpecificaTest" sheetId="3" r:id="rId3"/>
    <sheet name="VerificheConformità" sheetId="4" r:id="rId4"/>
    <sheet name="SogliaAccettazione" sheetId="5" r:id="rId5"/>
  </sheets>
  <externalReferences>
    <externalReference r:id="rId6"/>
    <externalReference r:id="rId7"/>
  </externalReferences>
  <definedNames>
    <definedName name="_xlnm._FilterDatabase" localSheetId="2" hidden="1">SpecificaTest!$A$3:$G$3</definedName>
    <definedName name="AllUserNames" localSheetId="4">#REF!</definedName>
    <definedName name="AllUserNames" localSheetId="3">#REF!</definedName>
    <definedName name="AllUserNames">#REF!</definedName>
    <definedName name="_xlnm.Print_Area" localSheetId="3">VerificheConformità!$A$1:$G$19</definedName>
    <definedName name="DecisionLastCategory">'[1]Test Decision'!$P$3409</definedName>
    <definedName name="DecisionLastSize">'[1]Test Decision'!$Q$3409</definedName>
    <definedName name="QACP_Project_Setup" localSheetId="4">#REF!</definedName>
    <definedName name="QACP_Project_Setup" localSheetId="3">#REF!</definedName>
    <definedName name="QACP_Project_Setup">#REF!</definedName>
    <definedName name="QACPRiskFactorWeights" localSheetId="4">#REF!</definedName>
    <definedName name="QACPRiskFactorWeights" localSheetId="3">#REF!</definedName>
    <definedName name="QACPRiskFactorWeights">#REF!</definedName>
    <definedName name="Raw_Data_In" localSheetId="4">#REF!</definedName>
    <definedName name="Raw_Data_In" localSheetId="3">#REF!</definedName>
    <definedName name="Raw_Data_In">#REF!</definedName>
    <definedName name="sfsfd">[2]Users!$A$2:$A$5</definedName>
    <definedName name="TempUsers" localSheetId="4">#REF!</definedName>
    <definedName name="TempUsers" localSheetId="3">#REF!</definedName>
    <definedName name="TempUsers">#REF!</definedName>
    <definedName name="UserIDs" localSheetId="4">#REF!</definedName>
    <definedName name="UserIDs" localSheetId="3">#REF!</definedName>
    <definedName name="UserIDs">#REF!</definedName>
    <definedName name="UserList" localSheetId="4">#REF!</definedName>
    <definedName name="UserList" localSheetId="3">#REF!</definedName>
    <definedName name="UserList">#REF!</definedName>
    <definedName name="UserNames" localSheetId="4">#REF!</definedName>
    <definedName name="UserNames" localSheetId="3">#REF!</definedName>
    <definedName name="UserNam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82" i="3" l="1"/>
  <c r="B82" i="3"/>
  <c r="D82" i="3"/>
  <c r="F82" i="3"/>
  <c r="A92" i="3"/>
  <c r="B92" i="3"/>
  <c r="D92" i="3"/>
  <c r="F92" i="3"/>
  <c r="A104" i="3"/>
  <c r="B104" i="3"/>
  <c r="D104" i="3"/>
  <c r="F104" i="3"/>
  <c r="F71" i="3"/>
  <c r="D71" i="3"/>
  <c r="B71" i="3"/>
  <c r="A71" i="3"/>
  <c r="F63" i="3" l="1"/>
  <c r="D63" i="3"/>
  <c r="B63" i="3"/>
  <c r="A63" i="3"/>
  <c r="F55" i="3"/>
  <c r="D55" i="3"/>
  <c r="B55" i="3"/>
  <c r="A55" i="3"/>
  <c r="F45" i="3" l="1"/>
  <c r="D45" i="3"/>
  <c r="B45" i="3"/>
  <c r="A45" i="3"/>
  <c r="F32" i="3"/>
  <c r="D32" i="3"/>
  <c r="B32" i="3"/>
  <c r="A32" i="3"/>
  <c r="F21" i="3"/>
  <c r="D21" i="3"/>
  <c r="B21" i="3"/>
  <c r="A21" i="3"/>
  <c r="B12" i="3"/>
  <c r="F12" i="3"/>
  <c r="D12" i="3"/>
  <c r="A12" i="3"/>
  <c r="D1" i="3"/>
  <c r="D4" i="3"/>
  <c r="B17" i="5" l="1"/>
  <c r="F4" i="3" l="1"/>
  <c r="B4" i="3"/>
  <c r="A4" i="3"/>
  <c r="E19" i="5" l="1"/>
  <c r="E18" i="5"/>
  <c r="E17" i="5"/>
  <c r="D19" i="5"/>
  <c r="D18" i="5"/>
  <c r="D17" i="5"/>
  <c r="C19" i="5"/>
  <c r="C18" i="5"/>
  <c r="C17" i="5"/>
  <c r="B18" i="5"/>
  <c r="B19" i="5"/>
  <c r="E8" i="5"/>
  <c r="E7" i="5"/>
  <c r="D8" i="5"/>
  <c r="D7" i="5"/>
  <c r="C8" i="5"/>
  <c r="C7" i="5"/>
  <c r="B8" i="5"/>
  <c r="B7" i="5"/>
  <c r="E6" i="5"/>
  <c r="D6" i="5"/>
  <c r="C6" i="5"/>
  <c r="B6" i="5"/>
  <c r="C2" i="5" l="1"/>
  <c r="C1" i="5"/>
  <c r="C2" i="2"/>
  <c r="C1" i="2"/>
  <c r="D2" i="4" l="1"/>
  <c r="D1" i="4"/>
  <c r="D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Andrea Salvaggio</author>
  </authors>
  <commentList>
    <comment ref="H3" authorId="0" shapeId="0" xr:uid="{00000000-0006-0000-0100-000001000000}">
      <text>
        <r>
          <rPr>
            <b/>
            <sz val="9"/>
            <color indexed="81"/>
            <rFont val="Tahoma"/>
            <family val="2"/>
          </rPr>
          <t>1</t>
        </r>
        <r>
          <rPr>
            <sz val="9"/>
            <color indexed="81"/>
            <rFont val="Tahoma"/>
            <family val="2"/>
          </rPr>
          <t xml:space="preserve">: impedisce l'uso dell'applicazione
</t>
        </r>
        <r>
          <rPr>
            <b/>
            <sz val="9"/>
            <color indexed="81"/>
            <rFont val="Tahoma"/>
            <family val="2"/>
          </rPr>
          <t>2</t>
        </r>
        <r>
          <rPr>
            <sz val="9"/>
            <color indexed="81"/>
            <rFont val="Tahoma"/>
            <family val="2"/>
          </rPr>
          <t xml:space="preserve">: impedisce l'uso di una funzione
</t>
        </r>
        <r>
          <rPr>
            <b/>
            <sz val="9"/>
            <color indexed="81"/>
            <rFont val="Tahoma"/>
            <family val="2"/>
          </rPr>
          <t>3</t>
        </r>
        <r>
          <rPr>
            <sz val="9"/>
            <color indexed="81"/>
            <rFont val="Tahoma"/>
            <family val="2"/>
          </rPr>
          <t xml:space="preserve">: non impedisce l'uso di funzioni
</t>
        </r>
        <r>
          <rPr>
            <b/>
            <sz val="9"/>
            <color indexed="81"/>
            <rFont val="Tahoma"/>
            <family val="2"/>
          </rPr>
          <t>4</t>
        </r>
        <r>
          <rPr>
            <sz val="9"/>
            <color indexed="81"/>
            <rFont val="Tahoma"/>
            <family val="2"/>
          </rPr>
          <t xml:space="preserve">: malfunzionamento marginale
</t>
        </r>
      </text>
    </comment>
    <comment ref="I3" authorId="0" shapeId="0" xr:uid="{00000000-0006-0000-0100-000002000000}">
      <text>
        <r>
          <rPr>
            <b/>
            <sz val="9"/>
            <color indexed="81"/>
            <rFont val="Tahoma"/>
            <family val="2"/>
          </rPr>
          <t>A</t>
        </r>
        <r>
          <rPr>
            <sz val="9"/>
            <color indexed="81"/>
            <rFont val="Tahoma"/>
            <family val="2"/>
          </rPr>
          <t>: Funzionalità indispensabile</t>
        </r>
        <r>
          <rPr>
            <b/>
            <sz val="9"/>
            <color indexed="81"/>
            <rFont val="Tahoma"/>
            <family val="2"/>
          </rPr>
          <t xml:space="preserve">
B</t>
        </r>
        <r>
          <rPr>
            <sz val="9"/>
            <color indexed="81"/>
            <rFont val="Tahoma"/>
            <family val="2"/>
          </rPr>
          <t>: Funzionalità non centrale</t>
        </r>
        <r>
          <rPr>
            <b/>
            <sz val="9"/>
            <color indexed="81"/>
            <rFont val="Tahoma"/>
            <family val="2"/>
          </rPr>
          <t xml:space="preserve">
C</t>
        </r>
        <r>
          <rPr>
            <sz val="9"/>
            <color indexed="81"/>
            <rFont val="Tahoma"/>
            <family val="2"/>
          </rPr>
          <t>: Funzionalità marginale</t>
        </r>
      </text>
    </comment>
  </commentList>
</comments>
</file>

<file path=xl/sharedStrings.xml><?xml version="1.0" encoding="utf-8"?>
<sst xmlns="http://schemas.openxmlformats.org/spreadsheetml/2006/main" count="646" uniqueCount="221">
  <si>
    <t>Nome del file</t>
  </si>
  <si>
    <t xml:space="preserve">Piano di test </t>
  </si>
  <si>
    <t>Versione</t>
  </si>
  <si>
    <t>Data</t>
  </si>
  <si>
    <t>Intervento</t>
  </si>
  <si>
    <t>Area Applicativa</t>
  </si>
  <si>
    <t>Allegato al Piano dei Test</t>
  </si>
  <si>
    <t>Codice Appl.</t>
  </si>
  <si>
    <t>ID</t>
  </si>
  <si>
    <t>Classe di Gravità (1-4)</t>
  </si>
  <si>
    <t>Classe di rilevanza (A, B, C)</t>
  </si>
  <si>
    <t>Esito</t>
  </si>
  <si>
    <t xml:space="preserve">Codifica Piano di test </t>
  </si>
  <si>
    <t xml:space="preserve"> ID caso di test</t>
  </si>
  <si>
    <t>Tipo Verifica</t>
  </si>
  <si>
    <t xml:space="preserve">Attributo </t>
  </si>
  <si>
    <t xml:space="preserve">Indicatore </t>
  </si>
  <si>
    <t xml:space="preserve">Descrizione tipo Verifica </t>
  </si>
  <si>
    <t>Esito Verifica Fornitore</t>
  </si>
  <si>
    <t>Esito Verifica Amministrazione</t>
  </si>
  <si>
    <t>Verifica Soglia di Accettazione</t>
  </si>
  <si>
    <t>In Rosso le difformità che hanno superato il numero massimo ammissibile</t>
  </si>
  <si>
    <t xml:space="preserve">Classe di rilevanza </t>
  </si>
  <si>
    <t>Classe di gravità</t>
  </si>
  <si>
    <t>A</t>
  </si>
  <si>
    <t>B</t>
  </si>
  <si>
    <t>C</t>
  </si>
  <si>
    <t>Numero massimo di difformità ammesse</t>
  </si>
  <si>
    <t>Requisito</t>
  </si>
  <si>
    <t>Scenario di test</t>
  </si>
  <si>
    <t>Caso d'uso</t>
  </si>
  <si>
    <t>ID Caso d'uso</t>
  </si>
  <si>
    <t>ID. Requisito Padre</t>
  </si>
  <si>
    <t>Lista Requisiti</t>
  </si>
  <si>
    <t>Step</t>
  </si>
  <si>
    <t>Tipo</t>
  </si>
  <si>
    <t>Istruzioni
(test)</t>
  </si>
  <si>
    <t>Dati di input
(Associated Data)</t>
  </si>
  <si>
    <t>Risultati attesi
(Expected Result)</t>
  </si>
  <si>
    <t>P</t>
  </si>
  <si>
    <t>Attività Preliminari e/o Precondizioni</t>
  </si>
  <si>
    <t>Stato Base</t>
  </si>
  <si>
    <t>Navigazione</t>
  </si>
  <si>
    <t>Azione</t>
  </si>
  <si>
    <t>Il presente documento è stato redatto con la collaborazione del RTI Engineering Ingegneria Informatica S.p.A. &amp; Sirfin-PA S.r.l. nell’ambito del contratto CIG 73479643B7 per lo “Sviluppo del Sistema Informativo Unitario Telematico, la manutenzione degli attuali sistemi dell’area Penale del Ministero della Giustizia e servizi correlati. Lotto 1”.</t>
  </si>
  <si>
    <t>001</t>
  </si>
  <si>
    <t>Adeguatezza delle funzionalità</t>
  </si>
  <si>
    <t xml:space="preserve">Completezza funzionale </t>
  </si>
  <si>
    <t xml:space="preserve">Copertura dei requisiti </t>
  </si>
  <si>
    <t xml:space="preserve">Verifica del grado di copertura funzionale offerta sulla base dell’analisi dei requisiti, delle funzionalità e degli obiettivi richiesti </t>
  </si>
  <si>
    <t>OK</t>
  </si>
  <si>
    <t>002</t>
  </si>
  <si>
    <t xml:space="preserve">Correttezza funzionale </t>
  </si>
  <si>
    <t xml:space="preserve">Aderenza ai requisiti </t>
  </si>
  <si>
    <t xml:space="preserve">Verifica del grado con cui le funzionalità implementate rispettano i requisiti richiesti </t>
  </si>
  <si>
    <t>003</t>
  </si>
  <si>
    <t xml:space="preserve">Appropriatezza funzionale </t>
  </si>
  <si>
    <t xml:space="preserve">Conformità alle normative </t>
  </si>
  <si>
    <t xml:space="preserve">Verifica l’aderenza delle funzionalità implementate rispetto alle normative pertinenti </t>
  </si>
  <si>
    <t>004</t>
  </si>
  <si>
    <t>Affidabilità</t>
  </si>
  <si>
    <t xml:space="preserve">Robustezza </t>
  </si>
  <si>
    <t xml:space="preserve">Robustezza del software </t>
  </si>
  <si>
    <t xml:space="preserve">Verifica della capacità del sistema di gestire condizioni non previste dalle specifiche </t>
  </si>
  <si>
    <t>005</t>
  </si>
  <si>
    <t>Manutenibilità</t>
  </si>
  <si>
    <t>Analizzabilità</t>
  </si>
  <si>
    <t xml:space="preserve">Leggibilità del codice </t>
  </si>
  <si>
    <t xml:space="preserve">Verifica della facilità di comprensione del codice, per esempio con riferimento ai nomi utilizzati per i moduli, le funzioni e le variabili, ai commenti e alla dimensione dei moduli e delle funzioni  </t>
  </si>
  <si>
    <t>006</t>
  </si>
  <si>
    <t>Copertura documentazione tecnica</t>
  </si>
  <si>
    <t xml:space="preserve">Verifica del livello di completezza della documentazione tecnica di moduli e funzioni </t>
  </si>
  <si>
    <t>007</t>
  </si>
  <si>
    <t>Adeguatezza documentazione tecnica</t>
  </si>
  <si>
    <t xml:space="preserve">Verifica della qualità descrittiva della documentazione tecnica di moduli e funzioni </t>
  </si>
  <si>
    <t>008</t>
  </si>
  <si>
    <t>Verificabilità</t>
  </si>
  <si>
    <t>Completezza dei test</t>
  </si>
  <si>
    <t xml:space="preserve">Verifica del grado di copertura del codice sviluppato da parte di test (di varia natura, come test unitari, test di integrazione, test end-to-end, test di accettazione, test di regressione, test di qualità)  </t>
  </si>
  <si>
    <t>UC01</t>
  </si>
  <si>
    <t>TF001.UC01</t>
  </si>
  <si>
    <t>UC02</t>
  </si>
  <si>
    <t>UC03</t>
  </si>
  <si>
    <t>TF002.UC03</t>
  </si>
  <si>
    <t>TF001.UC02</t>
  </si>
  <si>
    <t>UC04</t>
  </si>
  <si>
    <t>Penale</t>
  </si>
  <si>
    <t>SIES</t>
  </si>
  <si>
    <t>REQ-SIC-003</t>
  </si>
  <si>
    <t>Verifica configurazione utenza ADN e SIES</t>
  </si>
  <si>
    <t>Verifica di avvenuto trasferimento di un foglio complementare da SIES a NSC</t>
  </si>
  <si>
    <t>Verifica accesso al modulo web di interconnessione SIES-NSC</t>
  </si>
  <si>
    <t>UC05</t>
  </si>
  <si>
    <t>TF001.UC04</t>
  </si>
  <si>
    <t>TF002.UC05</t>
  </si>
  <si>
    <t>Verifica: verificare che venga trasferito correttamente un foglio complementare dal sistema SIES al sistema NSC</t>
  </si>
  <si>
    <t>Verifica: verificare che l'accesso al modulo web di interconnessione SIES-NSC avvenga correttamente</t>
  </si>
  <si>
    <t>L’utente si trova sulla pagina di Login del SIES. Il sistema propone la pagina di accesso in cui l’utente sarà tenuto ad inserire le proprie credenziali ADN.</t>
  </si>
  <si>
    <t>L'utente inserisce le proprie credenziali ADN</t>
  </si>
  <si>
    <t>il sistema effettua un controllo sulla ‘autenticità’ delle informazioni inserite effettuando una chiamata LDAP sul server ADN di giustizia.</t>
  </si>
  <si>
    <t>Il sistema ridirige l’utente sulla stessa pagina, mostrando una funzione di gestione profilazione delle utenze SIES.</t>
  </si>
  <si>
    <t>1</t>
  </si>
  <si>
    <t>Viene visualizzata la pagina per l’inserimento delle credenziali del SIES.</t>
  </si>
  <si>
    <t>2</t>
  </si>
  <si>
    <t>3</t>
  </si>
  <si>
    <t>V</t>
  </si>
  <si>
    <t>Verifica</t>
  </si>
  <si>
    <t>Verificare che Il sistema visualizzi la welcome page dell’applicazione SIES</t>
  </si>
  <si>
    <t>4</t>
  </si>
  <si>
    <t>L'utente effettua l'accesso al sistema SIES</t>
  </si>
  <si>
    <t>L'utente ha già un'utenza SIEP associata ad utenza ADN</t>
  </si>
  <si>
    <t>L'utente si trova nella pagina principale dell'applicazione SIEP.</t>
  </si>
  <si>
    <t>5</t>
  </si>
  <si>
    <t>Viene visualizzato un messaggio di Conferma di trasferimento del provvedimento verso il casellario</t>
  </si>
  <si>
    <t>6</t>
  </si>
  <si>
    <t>Verificare che il sistema restituisca un messaggio di trasferimento avvenuto con successo</t>
  </si>
  <si>
    <t>L'utente ha già un'utenza SIUS associata ad utenza ADN</t>
  </si>
  <si>
    <t>L'utente si trova nella pagina principale dell'applicazione SIUS.</t>
  </si>
  <si>
    <t xml:space="preserve">Ricerche e Visualizzazioni » Procedimento per n° SIUS </t>
  </si>
  <si>
    <t>7</t>
  </si>
  <si>
    <t>L'utente seleziona nella colonna Azioni l'icona Dettagli</t>
  </si>
  <si>
    <t>8</t>
  </si>
  <si>
    <t>Verificare che il RISULTATO DELLA TRASMISSIONE DAL SIEP AL SISTEMA INFORMATIVO DEL CASELLARIO (SIC) sia avvenuto correttamente</t>
  </si>
  <si>
    <t xml:space="preserve">Interoperabilità con NSC </t>
  </si>
  <si>
    <t>Verificare che il collegamento web con il sistema NSC avvenga correttamente</t>
  </si>
  <si>
    <r>
      <t xml:space="preserve">L'utente inserisce le proprie credenziali SIES e clicca su </t>
    </r>
    <r>
      <rPr>
        <b/>
        <sz val="10"/>
        <rFont val="Calibri"/>
        <family val="2"/>
        <scheme val="minor"/>
      </rPr>
      <t>Login</t>
    </r>
  </si>
  <si>
    <r>
      <t xml:space="preserve">L'utente clicca su </t>
    </r>
    <r>
      <rPr>
        <b/>
        <sz val="10"/>
        <rFont val="Calibri"/>
        <family val="2"/>
        <scheme val="minor"/>
      </rPr>
      <t>Entra</t>
    </r>
  </si>
  <si>
    <r>
      <t xml:space="preserve">L'utente clicca sul pulsante </t>
    </r>
    <r>
      <rPr>
        <b/>
        <sz val="10"/>
        <rFont val="Calibri"/>
        <family val="2"/>
        <scheme val="minor"/>
      </rPr>
      <t>Entra</t>
    </r>
  </si>
  <si>
    <r>
      <t>Viene visualizzata la pagina</t>
    </r>
    <r>
      <rPr>
        <b/>
        <sz val="10"/>
        <rFont val="Calibri"/>
        <family val="2"/>
        <scheme val="minor"/>
      </rPr>
      <t xml:space="preserve"> Dettaglio procedimento</t>
    </r>
  </si>
  <si>
    <r>
      <t xml:space="preserve">L'utente </t>
    </r>
    <r>
      <rPr>
        <b/>
        <sz val="10"/>
        <rFont val="Calibri"/>
        <family val="2"/>
        <scheme val="minor"/>
      </rPr>
      <t>Conferma</t>
    </r>
    <r>
      <rPr>
        <sz val="10"/>
        <rFont val="Calibri"/>
        <family val="2"/>
        <scheme val="minor"/>
      </rPr>
      <t xml:space="preserve"> il trasferimento</t>
    </r>
  </si>
  <si>
    <r>
      <t xml:space="preserve">Visualizzazione pagina </t>
    </r>
    <r>
      <rPr>
        <b/>
        <sz val="10"/>
        <rFont val="Calibri"/>
        <family val="2"/>
        <scheme val="minor"/>
      </rPr>
      <t xml:space="preserve"> Ricerca Procedimento</t>
    </r>
  </si>
  <si>
    <r>
      <t xml:space="preserve">Dalla combo delle Funzioni l'utente seleziona </t>
    </r>
    <r>
      <rPr>
        <b/>
        <sz val="10"/>
        <rFont val="Calibri"/>
        <family val="2"/>
        <scheme val="minor"/>
      </rPr>
      <t>Compilazione Foglio Complementare</t>
    </r>
    <r>
      <rPr>
        <sz val="10"/>
        <rFont val="Calibri"/>
        <family val="2"/>
        <scheme val="minor"/>
      </rPr>
      <t xml:space="preserve"> e clicca sulla lentina</t>
    </r>
  </si>
  <si>
    <r>
      <t xml:space="preserve">Visualizzazione pagina </t>
    </r>
    <r>
      <rPr>
        <b/>
        <sz val="10"/>
        <rFont val="Calibri"/>
        <family val="2"/>
        <scheme val="minor"/>
      </rPr>
      <t>Compilazione Foglio Complementare</t>
    </r>
    <r>
      <rPr>
        <sz val="10"/>
        <rFont val="Calibri"/>
        <family val="2"/>
        <scheme val="minor"/>
      </rPr>
      <t xml:space="preserve"> </t>
    </r>
  </si>
  <si>
    <r>
      <t xml:space="preserve">Visualizzazione pagina </t>
    </r>
    <r>
      <rPr>
        <b/>
        <sz val="10"/>
        <rFont val="Calibri"/>
        <family val="2"/>
        <scheme val="minor"/>
      </rPr>
      <t>Dettaglio Foglio Complementare</t>
    </r>
  </si>
  <si>
    <r>
      <t xml:space="preserve">L'utente clicca sull'icona posta in alto </t>
    </r>
    <r>
      <rPr>
        <b/>
        <sz val="10"/>
        <rFont val="Calibri"/>
        <family val="2"/>
        <scheme val="minor"/>
      </rPr>
      <t>Trasmissione Foglio Complementare al SIC</t>
    </r>
  </si>
  <si>
    <r>
      <t xml:space="preserve">Visualizzazione pagina </t>
    </r>
    <r>
      <rPr>
        <b/>
        <sz val="10"/>
        <rFont val="Calibri"/>
        <family val="2"/>
        <scheme val="minor"/>
      </rPr>
      <t xml:space="preserve"> Interoperabilita con NSC   </t>
    </r>
  </si>
  <si>
    <t>Verifica accesso al sistema SIES dopo associazione utenza ADN e SIES</t>
  </si>
  <si>
    <t>L’utente ha eseguito in precedenza delle associazioni. Si ritroverà, già configurate, le utenze che utilizza solitamente per l’accesso al SIES.</t>
  </si>
  <si>
    <t>L'utente ha già un'utenza SIEP associata alla sua utenza ADN</t>
  </si>
  <si>
    <t>L'utente ricerca e seleziona un procedimento  validato</t>
  </si>
  <si>
    <r>
      <t xml:space="preserve">L'utente clicca sull'icona posta in alto </t>
    </r>
    <r>
      <rPr>
        <b/>
        <sz val="10"/>
        <rFont val="Calibri"/>
        <family val="2"/>
        <scheme val="minor"/>
      </rPr>
      <t>Trasferimento Provvedimento da SIES a NSC</t>
    </r>
  </si>
  <si>
    <t xml:space="preserve">L'utente ricerca e seleziona un procedimento  </t>
  </si>
  <si>
    <r>
      <t xml:space="preserve">L'utente clicca sull'icona </t>
    </r>
    <r>
      <rPr>
        <b/>
        <sz val="10"/>
        <rFont val="Calibri"/>
        <family val="2"/>
        <scheme val="minor"/>
      </rPr>
      <t>Modulo Web NSC-SIES</t>
    </r>
  </si>
  <si>
    <t xml:space="preserve">Verifica: verificare che accedendo all'applicativo SIES tramite utenza ADN è possibile configurare più utenze SIES associate alla stessa utenza ADN </t>
  </si>
  <si>
    <t>Verifica: verificare che l'utenza ADN venga associata all' utenza SIES e si acceda correttamente all'applicativo.</t>
  </si>
  <si>
    <r>
      <t>L'utente seleziona la procedura di ‘</t>
    </r>
    <r>
      <rPr>
        <b/>
        <sz val="10"/>
        <rFont val="Calibri"/>
        <family val="2"/>
        <scheme val="minor"/>
      </rPr>
      <t>Seleziona/Configura un account</t>
    </r>
    <r>
      <rPr>
        <sz val="10"/>
        <rFont val="Calibri"/>
        <family val="2"/>
        <scheme val="minor"/>
      </rPr>
      <t>’</t>
    </r>
  </si>
  <si>
    <r>
      <t xml:space="preserve">IL sistema dopo aver fatto delle verifiche ed associato l'utenza SIC con quella ADN prospetta un messaggio in cui è presente il pulsante </t>
    </r>
    <r>
      <rPr>
        <b/>
        <sz val="10"/>
        <rFont val="Calibri"/>
        <family val="2"/>
        <scheme val="minor"/>
      </rPr>
      <t>Entra</t>
    </r>
    <r>
      <rPr>
        <sz val="10"/>
        <rFont val="Calibri"/>
        <family val="2"/>
        <scheme val="minor"/>
      </rPr>
      <t xml:space="preserve"> e la voce di '</t>
    </r>
    <r>
      <rPr>
        <b/>
        <sz val="10"/>
        <rFont val="Calibri"/>
        <family val="2"/>
        <scheme val="minor"/>
      </rPr>
      <t>Seleziona/Configura un account</t>
    </r>
    <r>
      <rPr>
        <sz val="10"/>
        <rFont val="Calibri"/>
        <family val="2"/>
        <scheme val="minor"/>
      </rPr>
      <t>'</t>
    </r>
  </si>
  <si>
    <r>
      <t xml:space="preserve">Viene visualizzata la pagina con le utenze associate con il pulsante </t>
    </r>
    <r>
      <rPr>
        <b/>
        <sz val="10"/>
        <rFont val="Calibri"/>
        <family val="2"/>
        <scheme val="minor"/>
      </rPr>
      <t>Entra</t>
    </r>
    <r>
      <rPr>
        <sz val="10"/>
        <rFont val="Calibri"/>
        <family val="2"/>
        <scheme val="minor"/>
      </rPr>
      <t xml:space="preserve"> ed il link ‘</t>
    </r>
    <r>
      <rPr>
        <b/>
        <sz val="10"/>
        <rFont val="Calibri"/>
        <family val="2"/>
        <scheme val="minor"/>
      </rPr>
      <t>Seleziona/Configura un account</t>
    </r>
    <r>
      <rPr>
        <sz val="10"/>
        <rFont val="Calibri"/>
        <family val="2"/>
        <scheme val="minor"/>
      </rPr>
      <t>’</t>
    </r>
  </si>
  <si>
    <r>
      <t xml:space="preserve">Viene visualizzata la pagina con l'utenza SIEP associata con il pulsante </t>
    </r>
    <r>
      <rPr>
        <b/>
        <sz val="10"/>
        <rFont val="Calibri"/>
        <family val="2"/>
        <scheme val="minor"/>
      </rPr>
      <t>Entra</t>
    </r>
    <r>
      <rPr>
        <sz val="10"/>
        <rFont val="Calibri"/>
        <family val="2"/>
        <scheme val="minor"/>
      </rPr>
      <t xml:space="preserve"> ed il link ‘</t>
    </r>
    <r>
      <rPr>
        <b/>
        <sz val="10"/>
        <rFont val="Calibri"/>
        <family val="2"/>
        <scheme val="minor"/>
      </rPr>
      <t>Seleziona/Configura un account</t>
    </r>
    <r>
      <rPr>
        <sz val="10"/>
        <rFont val="Calibri"/>
        <family val="2"/>
        <scheme val="minor"/>
      </rPr>
      <t>’</t>
    </r>
  </si>
  <si>
    <r>
      <t xml:space="preserve">Viene visualizzata la pagina con l'utenza SIUS associata con il pulsante </t>
    </r>
    <r>
      <rPr>
        <b/>
        <sz val="10"/>
        <rFont val="Calibri"/>
        <family val="2"/>
        <scheme val="minor"/>
      </rPr>
      <t>Entra</t>
    </r>
    <r>
      <rPr>
        <sz val="10"/>
        <rFont val="Calibri"/>
        <family val="2"/>
        <scheme val="minor"/>
      </rPr>
      <t xml:space="preserve"> ed il link ‘</t>
    </r>
    <r>
      <rPr>
        <b/>
        <sz val="10"/>
        <rFont val="Calibri"/>
        <family val="2"/>
        <scheme val="minor"/>
      </rPr>
      <t>Seleziona/Configura un account</t>
    </r>
    <r>
      <rPr>
        <sz val="10"/>
        <rFont val="Calibri"/>
        <family val="2"/>
        <scheme val="minor"/>
      </rPr>
      <t>’</t>
    </r>
  </si>
  <si>
    <t>Verifica di avvenuto trasferimento di un titolo di classe 1 da SIES a NSC</t>
  </si>
  <si>
    <t>Verifica: verificare che venga trasferito correttamente un titolo di classe 1 dal sistema SIES al sistema NSC</t>
  </si>
  <si>
    <t>UC06</t>
  </si>
  <si>
    <t>UC07</t>
  </si>
  <si>
    <t>UC08</t>
  </si>
  <si>
    <t>TF001.UC06</t>
  </si>
  <si>
    <t>Verifica configurazione utenza ADN e SIES con utenza/password errate</t>
  </si>
  <si>
    <t>Verifica: verificare il comportamento del sistema dopo accesso tramite utenza ADN quando sia prova a configurare un'utenza/password SIES errate</t>
  </si>
  <si>
    <t>Verifica configurazione utenza ADN e SIES con utenza non valida</t>
  </si>
  <si>
    <t>TF001.UC07</t>
  </si>
  <si>
    <t>TF001.UC08</t>
  </si>
  <si>
    <t>IL sistema dopo aver fatto delle verifiche prospetta un messaggio</t>
  </si>
  <si>
    <r>
      <t xml:space="preserve">L'utente inserisce delle credenziali SIES errate (Utenza o password) e clicca su </t>
    </r>
    <r>
      <rPr>
        <b/>
        <sz val="10"/>
        <rFont val="Calibri"/>
        <family val="2"/>
        <scheme val="minor"/>
      </rPr>
      <t>Login</t>
    </r>
  </si>
  <si>
    <r>
      <t xml:space="preserve">Verificare che Il sistema visualizzi il messaggio : </t>
    </r>
    <r>
      <rPr>
        <b/>
        <sz val="10"/>
        <rFont val="Calibri"/>
        <family val="2"/>
        <scheme val="minor"/>
      </rPr>
      <t>"L'utente non esiste"</t>
    </r>
    <r>
      <rPr>
        <sz val="10"/>
        <rFont val="Calibri"/>
        <family val="2"/>
        <scheme val="minor"/>
      </rPr>
      <t xml:space="preserve"> nel caso abbia inserito un'utenza inesistente o </t>
    </r>
    <r>
      <rPr>
        <b/>
        <sz val="10"/>
        <rFont val="Calibri"/>
        <family val="2"/>
        <scheme val="minor"/>
      </rPr>
      <t>"Password errata"</t>
    </r>
    <r>
      <rPr>
        <sz val="10"/>
        <rFont val="Calibri"/>
        <family val="2"/>
        <scheme val="minor"/>
      </rPr>
      <t xml:space="preserve"> nel caso abbia inserito una password sbagliata.</t>
    </r>
  </si>
  <si>
    <r>
      <t xml:space="preserve">L'utente inserisce delle credenziali SIES non più valide e clicca su </t>
    </r>
    <r>
      <rPr>
        <b/>
        <sz val="10"/>
        <rFont val="Calibri"/>
        <family val="2"/>
        <scheme val="minor"/>
      </rPr>
      <t>Login</t>
    </r>
  </si>
  <si>
    <t>IL sistema dopo aver fatto delle verifiche prospetta un messaggio.</t>
  </si>
  <si>
    <r>
      <t>Verificare che Il sistema visualizzi il messaggio : "</t>
    </r>
    <r>
      <rPr>
        <b/>
        <sz val="10"/>
        <rFont val="Calibri"/>
        <family val="2"/>
        <scheme val="minor"/>
      </rPr>
      <t>L'utente non esiste</t>
    </r>
    <r>
      <rPr>
        <sz val="10"/>
        <rFont val="Calibri"/>
        <family val="2"/>
        <scheme val="minor"/>
      </rPr>
      <t>"</t>
    </r>
  </si>
  <si>
    <t>Verifica: verificare il comportamento del sistema dopo accesso tramite utenza ADN quando sia prova a configurare un'utenza disabilitata</t>
  </si>
  <si>
    <t>UC09</t>
  </si>
  <si>
    <t>TF001.UC09</t>
  </si>
  <si>
    <t>UC10</t>
  </si>
  <si>
    <t>TF001.UC10</t>
  </si>
  <si>
    <t>UC11</t>
  </si>
  <si>
    <t>TF001.UC11</t>
  </si>
  <si>
    <t>Verifica reset password utenza SIES</t>
  </si>
  <si>
    <t>Verifica modifica utenza SIES</t>
  </si>
  <si>
    <r>
      <t xml:space="preserve">L'utente inserisce le credenziali della nuova utenza con password uguale alla utenza stessa e clicca su </t>
    </r>
    <r>
      <rPr>
        <b/>
        <sz val="10"/>
        <rFont val="Calibri"/>
        <family val="2"/>
        <scheme val="minor"/>
      </rPr>
      <t>Login</t>
    </r>
  </si>
  <si>
    <r>
      <t xml:space="preserve">IL sistema dopo aver fatto delle verifiche ed associato l'utenza SIES con quella ADN prospetta la pagina di </t>
    </r>
    <r>
      <rPr>
        <b/>
        <sz val="10"/>
        <rFont val="Calibri"/>
        <family val="2"/>
        <scheme val="minor"/>
      </rPr>
      <t>Cambio Password</t>
    </r>
  </si>
  <si>
    <r>
      <t xml:space="preserve">L'utente inserisce la nuova password e clicca sul pulsante </t>
    </r>
    <r>
      <rPr>
        <b/>
        <sz val="10"/>
        <rFont val="Calibri"/>
        <family val="2"/>
        <scheme val="minor"/>
      </rPr>
      <t>Salva Modifiche</t>
    </r>
  </si>
  <si>
    <r>
      <t xml:space="preserve">L'utente clicca su </t>
    </r>
    <r>
      <rPr>
        <b/>
        <sz val="10"/>
        <rFont val="Calibri"/>
        <family val="2"/>
        <scheme val="minor"/>
      </rPr>
      <t>Entra</t>
    </r>
    <r>
      <rPr>
        <sz val="10"/>
        <rFont val="Calibri"/>
        <family val="2"/>
        <scheme val="minor"/>
      </rPr>
      <t xml:space="preserve"> in corrispondenza della nuova utenza</t>
    </r>
  </si>
  <si>
    <t>Viene visualizzata la pagina con le utenze associate ed un messaggio in cui viene confermata la corretta associazione della nuova utenza.</t>
  </si>
  <si>
    <t>L’utente si trova sulla pagina di Login del SIES. Il sistema propone la pagina di accesso in cui l’utente sarà tenuto ad inserire le proprie credenziali ADN. L’amministratore di sistema di SIES ha configurato una nuova utenza.</t>
  </si>
  <si>
    <r>
      <t>Viene visualizzata la pagina in cui è presente il link ‘</t>
    </r>
    <r>
      <rPr>
        <b/>
        <sz val="10"/>
        <rFont val="Calibri"/>
        <family val="2"/>
        <scheme val="minor"/>
      </rPr>
      <t>Seleziona/Configura un account</t>
    </r>
    <r>
      <rPr>
        <sz val="10"/>
        <rFont val="Calibri"/>
        <family val="2"/>
        <scheme val="minor"/>
      </rPr>
      <t>’</t>
    </r>
  </si>
  <si>
    <t>Verifica creazione nuova utenza SIES</t>
  </si>
  <si>
    <t>Verifica: Verificare che nel caso sia stata creata una nuova utenza SIES l'utente ADN possa associarla correttamente.</t>
  </si>
  <si>
    <r>
      <t xml:space="preserve">L'utente clicca sul pulsante </t>
    </r>
    <r>
      <rPr>
        <b/>
        <sz val="10"/>
        <rFont val="Calibri"/>
        <family val="2"/>
        <scheme val="minor"/>
      </rPr>
      <t>Entra</t>
    </r>
    <r>
      <rPr>
        <sz val="10"/>
        <rFont val="Calibri"/>
        <family val="2"/>
        <scheme val="minor"/>
      </rPr>
      <t xml:space="preserve"> in corrispondenza dell'utenza disattivata.</t>
    </r>
  </si>
  <si>
    <t>L'utente clicca sul logout dell'applicazione SIES</t>
  </si>
  <si>
    <r>
      <t xml:space="preserve">L'utente clicca su </t>
    </r>
    <r>
      <rPr>
        <b/>
        <sz val="10"/>
        <rFont val="Calibri"/>
        <family val="2"/>
        <scheme val="minor"/>
      </rPr>
      <t>Entra</t>
    </r>
    <r>
      <rPr>
        <sz val="10"/>
        <rFont val="Calibri"/>
        <family val="2"/>
        <scheme val="minor"/>
      </rPr>
      <t xml:space="preserve"> in corrispondenza dell'utenza il cui profilo è stato modificato</t>
    </r>
  </si>
  <si>
    <t>Verificare che Il sistema visualizzi la welcome page dell’applicazione SIES con un menu le cui voci sono relative alla tipologia di profilo associato all'utenza SIES</t>
  </si>
  <si>
    <r>
      <t xml:space="preserve">L'utente clicca su </t>
    </r>
    <r>
      <rPr>
        <b/>
        <sz val="10"/>
        <rFont val="Calibri"/>
        <family val="2"/>
        <scheme val="minor"/>
      </rPr>
      <t>Entra</t>
    </r>
    <r>
      <rPr>
        <sz val="10"/>
        <rFont val="Calibri"/>
        <family val="2"/>
        <scheme val="minor"/>
      </rPr>
      <t xml:space="preserve"> in corrispondenza di una utenza con profilo per esempio di sola lettura</t>
    </r>
  </si>
  <si>
    <t>L’utente si ritroverà le utenze che utilizza solitamente per l’accesso al SIES.</t>
  </si>
  <si>
    <t>L’amministratore di sistema di SIES ha eseguito il reset password di una delle utenze associate all'ADN dell'utente.</t>
  </si>
  <si>
    <r>
      <t xml:space="preserve">L'utente clicca su </t>
    </r>
    <r>
      <rPr>
        <b/>
        <sz val="10"/>
        <rFont val="Calibri"/>
        <family val="2"/>
        <scheme val="minor"/>
      </rPr>
      <t>Entra</t>
    </r>
    <r>
      <rPr>
        <sz val="10"/>
        <rFont val="Calibri"/>
        <family val="2"/>
        <scheme val="minor"/>
      </rPr>
      <t xml:space="preserve"> in corrispondenza dell'utenza a cui è stata effettuato il reset password.</t>
    </r>
  </si>
  <si>
    <t xml:space="preserve">L’utente si trova sulla pagina di Login del SIES. Il sistema propone la pagina di accesso in cui l’utente sarà tenuto ad inserire le proprie credenziali ADN. </t>
  </si>
  <si>
    <t>Il sistema prospetta la pagina di cambio password</t>
  </si>
  <si>
    <t>9</t>
  </si>
  <si>
    <t>10</t>
  </si>
  <si>
    <t>Verifica: Verificare che nel caso sia stata modificata una utenza SIES l'accesso sia congruente alla modifica effettuata.</t>
  </si>
  <si>
    <t>1.1</t>
  </si>
  <si>
    <t>Viene visualizzato un messaggio in cui viene confermata la corretta associazione della nuova utenza.</t>
  </si>
  <si>
    <t>Viene visualizzata la pagina contenente tutte le utenze associata compresa la nuova.</t>
  </si>
  <si>
    <r>
      <t xml:space="preserve">L'utente clicca sul pulsante </t>
    </r>
    <r>
      <rPr>
        <b/>
        <sz val="10"/>
        <rFont val="Calibri"/>
        <family val="2"/>
        <scheme val="minor"/>
      </rPr>
      <t>OK</t>
    </r>
    <r>
      <rPr>
        <sz val="10"/>
        <rFont val="Calibri"/>
        <family val="2"/>
        <scheme val="minor"/>
      </rPr>
      <t xml:space="preserve"> del messaggio</t>
    </r>
  </si>
  <si>
    <t>Verificare che Il sistema visualizzi la welcome page dell’applicazione SIES relativa al profilo dell'utenza.</t>
  </si>
  <si>
    <r>
      <t xml:space="preserve">L'utente clicca sul link </t>
    </r>
    <r>
      <rPr>
        <b/>
        <sz val="10"/>
        <rFont val="Calibri"/>
        <family val="2"/>
        <scheme val="minor"/>
      </rPr>
      <t xml:space="preserve">cambia utenza/esci </t>
    </r>
    <r>
      <rPr>
        <sz val="10"/>
        <rFont val="Calibri"/>
        <family val="2"/>
        <scheme val="minor"/>
      </rPr>
      <t>dell'applicazione SIES</t>
    </r>
  </si>
  <si>
    <t>Verificare che il sistema prospetti il messaggio che l'utente ADN non è più associato alla utenza SIES.</t>
  </si>
  <si>
    <t>L'utente clicca sul logout dell'applicazione</t>
  </si>
  <si>
    <t>L'utente inserisce le credenziali della utenza in cui è stato effettuato il reset password con password uguale alla utenza stessa e clicca su Login</t>
  </si>
  <si>
    <r>
      <t xml:space="preserve">L'utente clicca su </t>
    </r>
    <r>
      <rPr>
        <b/>
        <sz val="10"/>
        <rFont val="Calibri"/>
        <family val="2"/>
        <scheme val="minor"/>
      </rPr>
      <t>Entra</t>
    </r>
    <r>
      <rPr>
        <sz val="10"/>
        <rFont val="Calibri"/>
        <family val="2"/>
        <scheme val="minor"/>
      </rPr>
      <t xml:space="preserve"> in corrispondenza della utenza in cui è stato effettuato in precedenza il reset password</t>
    </r>
  </si>
  <si>
    <t>L’amministratore di sistema di SIES ha disabilitato una utenza associata all'ADN dell'utente.</t>
  </si>
  <si>
    <t>Il sistema disabilita l'utenza a partire dal giorno successivo alla disattivazione</t>
  </si>
  <si>
    <t>Il sistema effettua il reset password.</t>
  </si>
  <si>
    <t>L’amministratore di sistema di SIES modifica la data di disattivazione dell'utenza dello step 2 al giorno precedente.</t>
  </si>
  <si>
    <t>Verifica disabilitazione utenza SIES</t>
  </si>
  <si>
    <t>Verifica: Verificare che nel caso sia stata disabilitata una utenza SIES l'utente ADN non possa più utilizzarla dal giorno successivo.</t>
  </si>
  <si>
    <t>L’amministratore di sistema di SIES modifica il profilo della utenza con cui è avvenuto l'accesso nello step 2.</t>
  </si>
  <si>
    <r>
      <t>Verificare che tra le utenze proposte associate all'utenza ADN non compaia l'utenza disattivata allo step 2 e nemmeno si riesce ad associarla con l'apposito link in quanto viene visualizzato il messaggio "</t>
    </r>
    <r>
      <rPr>
        <b/>
        <sz val="10"/>
        <rFont val="Calibri"/>
        <family val="2"/>
        <scheme val="minor"/>
      </rPr>
      <t>L'utente non esiste</t>
    </r>
    <r>
      <rPr>
        <sz val="10"/>
        <rFont val="Calibri"/>
        <family val="2"/>
        <scheme val="minor"/>
      </rPr>
      <t>".</t>
    </r>
  </si>
  <si>
    <t>Verificare che si riesca ad entrare nell'applicazione SIES.</t>
  </si>
  <si>
    <t>Verifica: Verificare che nel caso sia stato effettuato il reset password di una utenza SIES, il sistema richieda di associare nuovamente l'utenza ed il cambio password prima di fare accedere al sistema.</t>
  </si>
  <si>
    <t>SIUT-SIE-PT-1.1-20210531-Piano_dei_Test_MEV-Integrazione SIES-ADN (PRE-GOLIVE).pdf</t>
  </si>
  <si>
    <t>MEV-Integrazione SIES-ADN (PRE-GOLIVE)</t>
  </si>
  <si>
    <t>SIUT-SIE-CT-1.1-20210531-Allegato_al_piano_test_MEV-Integrazione SIES-ADN (PRE-GOLIVE).xlsx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</si>
</sst>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0"/>
      <name val="Arial"/>
      <family val="2"/>
    </font>
    <font>
      <sz val="10"/>
      <name val="Arial"/>
      <family val="2"/>
    </font>
    <font>
      <b/>
      <sz val="11"/>
      <name val="Calibri"/>
      <family val="2"/>
      <scheme val="minor"/>
    </font>
    <font>
      <i/>
      <sz val="11"/>
      <name val="Calibri"/>
      <family val="2"/>
      <scheme val="minor"/>
    </font>
    <font>
      <b/>
      <sz val="22"/>
      <name val="Calibri"/>
      <family val="2"/>
      <scheme val="minor"/>
    </font>
    <font>
      <b/>
      <sz val="12"/>
      <name val="Calibri"/>
      <family val="2"/>
      <scheme val="minor"/>
    </font>
    <font>
      <sz val="11"/>
      <name val="Calibri"/>
      <family val="2"/>
      <scheme val="minor"/>
    </font>
    <font>
      <b/>
      <sz val="10"/>
      <name val="Calibri"/>
      <family val="2"/>
      <scheme val="minor"/>
    </font>
    <font>
      <sz val="10"/>
      <name val="Calibri"/>
      <family val="2"/>
      <scheme val="minor"/>
    </font>
    <font>
      <i/>
      <sz val="16"/>
      <name val="Calibri"/>
      <family val="2"/>
      <scheme val="minor"/>
    </font>
    <font>
      <b/>
      <sz val="10"/>
      <color rgb="FFFF0000"/>
      <name val="Calibri"/>
      <family val="2"/>
      <scheme val="minor"/>
    </font>
    <font>
      <b/>
      <sz val="11"/>
      <color rgb="FF000000"/>
      <name val="Calibri"/>
      <family val="2"/>
      <scheme val="minor"/>
    </font>
    <font>
      <b/>
      <i/>
      <sz val="11"/>
      <color rgb="FF000000"/>
      <name val="Calibri"/>
      <family val="2"/>
      <scheme val="minor"/>
    </font>
    <font>
      <b/>
      <i/>
      <sz val="11"/>
      <name val="Calibri"/>
      <family val="2"/>
      <scheme val="minor"/>
    </font>
    <font>
      <b/>
      <sz val="11"/>
      <color rgb="FF92D050"/>
      <name val="Calibri"/>
      <family val="2"/>
      <scheme val="minor"/>
    </font>
    <font>
      <sz val="9"/>
      <color indexed="81"/>
      <name val="Tahoma"/>
      <family val="2"/>
    </font>
    <font>
      <b/>
      <sz val="9"/>
      <color indexed="81"/>
      <name val="Tahoma"/>
      <family val="2"/>
    </font>
    <font>
      <b/>
      <sz val="11"/>
      <color theme="1"/>
      <name val="Calibri"/>
      <family val="2"/>
      <scheme val="minor"/>
    </font>
    <font>
      <sz val="10"/>
      <name val="Arial"/>
      <family val="2"/>
    </font>
    <font>
      <sz val="10"/>
      <color theme="1"/>
      <name val="Calibri"/>
      <family val="2"/>
      <scheme val="minor"/>
    </font>
    <font>
      <b/>
      <i/>
      <sz val="11"/>
      <color rgb="FF1F497D"/>
      <name val="Calibri"/>
      <family val="2"/>
      <scheme val="minor"/>
    </font>
    <font>
      <b/>
      <sz val="10"/>
      <color theme="1"/>
      <name val="Calibri"/>
      <family val="2"/>
      <scheme val="minor"/>
    </font>
    <font>
      <sz val="8"/>
      <name val="Calibri"/>
      <family val="2"/>
      <scheme val="minor"/>
    </font>
    <font>
      <i/>
      <sz val="14"/>
      <name val="Calibri"/>
      <family val="2"/>
      <scheme val="minor"/>
    </font>
    <font>
      <b/>
      <sz val="14"/>
      <name val="Calibri"/>
      <family val="2"/>
      <scheme val="minor"/>
    </font>
    <font>
      <sz val="14"/>
      <color theme="1"/>
      <name val="Calibri"/>
      <family val="2"/>
      <scheme val="minor"/>
    </font>
    <font>
      <sz val="14"/>
      <name val="Calibri"/>
      <family val="2"/>
      <scheme val="minor"/>
    </font>
  </fonts>
  <fills count="19">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42"/>
        <bgColor indexed="64"/>
      </patternFill>
    </fill>
    <fill>
      <patternFill patternType="solid">
        <fgColor indexed="53"/>
        <bgColor indexed="64"/>
      </patternFill>
    </fill>
    <fill>
      <patternFill patternType="solid">
        <fgColor indexed="43"/>
        <bgColor indexed="64"/>
      </patternFill>
    </fill>
    <fill>
      <patternFill patternType="solid">
        <fgColor rgb="FFFFC000"/>
        <bgColor indexed="64"/>
      </patternFill>
    </fill>
    <fill>
      <patternFill patternType="solid">
        <fgColor rgb="FFD5DCE4"/>
        <bgColor indexed="64"/>
      </patternFill>
    </fill>
    <fill>
      <patternFill patternType="solid">
        <fgColor rgb="FFF2F2F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FF"/>
        <bgColor indexed="64"/>
      </patternFill>
    </fill>
    <fill>
      <patternFill patternType="solid">
        <fgColor rgb="FFFFFF99"/>
        <bgColor indexed="64"/>
      </patternFill>
    </fill>
    <fill>
      <patternFill patternType="solid">
        <fgColor rgb="FFFFCC99"/>
        <bgColor indexed="64"/>
      </patternFill>
    </fill>
    <fill>
      <patternFill patternType="solid">
        <fgColor indexed="47"/>
        <bgColor indexed="64"/>
      </patternFill>
    </fill>
    <fill>
      <patternFill patternType="solid">
        <fgColor indexed="27"/>
        <bgColor indexed="64"/>
      </patternFill>
    </fill>
    <fill>
      <patternFill patternType="solid">
        <fgColor indexed="51"/>
        <bgColor indexed="64"/>
      </patternFill>
    </fill>
    <fill>
      <patternFill patternType="solid">
        <fgColor indexed="40"/>
        <bgColor indexed="64"/>
      </patternFill>
    </fill>
  </fills>
  <borders count="69">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rgb="FF7F7F7F"/>
      </bottom>
      <diagonal/>
    </border>
    <border>
      <left/>
      <right style="medium">
        <color indexed="64"/>
      </right>
      <top/>
      <bottom style="medium">
        <color rgb="FF7F7F7F"/>
      </bottom>
      <diagonal/>
    </border>
    <border>
      <left style="medium">
        <color indexed="64"/>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indexed="64"/>
      </right>
      <top style="medium">
        <color rgb="FF7F7F7F"/>
      </top>
      <bottom style="medium">
        <color rgb="FF7F7F7F"/>
      </bottom>
      <diagonal/>
    </border>
    <border>
      <left style="medium">
        <color indexed="64"/>
      </left>
      <right style="medium">
        <color rgb="FF7F7F7F"/>
      </right>
      <top/>
      <bottom style="medium">
        <color rgb="FF7F7F7F"/>
      </bottom>
      <diagonal/>
    </border>
    <border>
      <left/>
      <right style="medium">
        <color rgb="FF7F7F7F"/>
      </right>
      <top/>
      <bottom style="medium">
        <color rgb="FF7F7F7F"/>
      </bottom>
      <diagonal/>
    </border>
    <border>
      <left style="medium">
        <color indexed="64"/>
      </left>
      <right style="medium">
        <color rgb="FF7F7F7F"/>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rgb="FF7F7F7F"/>
      </right>
      <top/>
      <bottom/>
      <diagonal/>
    </border>
    <border>
      <left style="medium">
        <color rgb="FF7F7F7F"/>
      </left>
      <right/>
      <top/>
      <bottom style="medium">
        <color rgb="FF7F7F7F"/>
      </bottom>
      <diagonal/>
    </border>
    <border>
      <left style="medium">
        <color indexed="64"/>
      </left>
      <right/>
      <top/>
      <bottom style="medium">
        <color rgb="FF7F7F7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right style="thin">
        <color rgb="FF000000"/>
      </right>
      <top style="thin">
        <color indexed="64"/>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right style="thin">
        <color rgb="FF000000"/>
      </right>
      <top style="medium">
        <color indexed="64"/>
      </top>
      <bottom/>
      <diagonal/>
    </border>
    <border>
      <left style="thin">
        <color rgb="FF000000"/>
      </left>
      <right/>
      <top style="medium">
        <color indexed="64"/>
      </top>
      <bottom/>
      <diagonal/>
    </border>
    <border>
      <left style="thin">
        <color rgb="FF000000"/>
      </left>
      <right/>
      <top/>
      <bottom style="medium">
        <color indexed="64"/>
      </bottom>
      <diagonal/>
    </border>
    <border>
      <left/>
      <right style="thin">
        <color rgb="FF000000"/>
      </right>
      <top/>
      <bottom style="medium">
        <color indexed="64"/>
      </bottom>
      <diagonal/>
    </border>
  </borders>
  <cellStyleXfs count="4">
    <xf numFmtId="0" fontId="0" fillId="0" borderId="0"/>
    <xf numFmtId="0" fontId="2" fillId="0" borderId="0"/>
    <xf numFmtId="0" fontId="1" fillId="0" borderId="0"/>
    <xf numFmtId="0" fontId="19" fillId="0" borderId="0"/>
  </cellStyleXfs>
  <cellXfs count="189">
    <xf numFmtId="0" fontId="0" fillId="0" borderId="0" xfId="0"/>
    <xf numFmtId="0" fontId="0" fillId="0" borderId="0" xfId="0" applyFont="1" applyAlignment="1">
      <alignment vertical="center"/>
    </xf>
    <xf numFmtId="49" fontId="3" fillId="3" borderId="7" xfId="0" applyNumberFormat="1" applyFont="1" applyFill="1" applyBorder="1" applyAlignment="1">
      <alignment horizontal="center" vertical="center" wrapText="1"/>
    </xf>
    <xf numFmtId="49" fontId="3" fillId="4" borderId="7" xfId="0" applyNumberFormat="1" applyFont="1" applyFill="1" applyBorder="1" applyAlignment="1">
      <alignment horizontal="center" vertical="center" wrapText="1"/>
    </xf>
    <xf numFmtId="0" fontId="3" fillId="6" borderId="7" xfId="0" applyFont="1" applyFill="1" applyBorder="1" applyAlignment="1">
      <alignment horizontal="center" vertical="center" wrapText="1"/>
    </xf>
    <xf numFmtId="49" fontId="3" fillId="6" borderId="7" xfId="0" applyNumberFormat="1" applyFont="1" applyFill="1" applyBorder="1" applyAlignment="1">
      <alignment horizontal="center" vertical="center" wrapText="1"/>
    </xf>
    <xf numFmtId="49" fontId="3" fillId="5" borderId="7" xfId="0" applyNumberFormat="1" applyFont="1" applyFill="1" applyBorder="1" applyAlignment="1">
      <alignment horizontal="center" vertical="center" wrapText="1"/>
    </xf>
    <xf numFmtId="0" fontId="3" fillId="5" borderId="7" xfId="0" applyFont="1" applyFill="1" applyBorder="1" applyAlignment="1">
      <alignment horizontal="center" vertical="center" wrapText="1"/>
    </xf>
    <xf numFmtId="0" fontId="5" fillId="0" borderId="0" xfId="0" applyFont="1" applyAlignment="1">
      <alignment wrapText="1"/>
    </xf>
    <xf numFmtId="0" fontId="0" fillId="0" borderId="0" xfId="0" applyFont="1"/>
    <xf numFmtId="0" fontId="0" fillId="0" borderId="0" xfId="0" applyFont="1" applyAlignment="1"/>
    <xf numFmtId="0" fontId="9" fillId="0" borderId="0" xfId="1" applyFont="1" applyAlignment="1">
      <alignment wrapText="1"/>
    </xf>
    <xf numFmtId="0" fontId="9" fillId="0" borderId="0" xfId="1" applyFont="1" applyAlignment="1">
      <alignment vertical="center"/>
    </xf>
    <xf numFmtId="0" fontId="10" fillId="0" borderId="0" xfId="1" applyFont="1" applyAlignment="1">
      <alignment vertical="center" wrapText="1"/>
    </xf>
    <xf numFmtId="49" fontId="6" fillId="6" borderId="13" xfId="1" applyNumberFormat="1" applyFont="1" applyFill="1" applyBorder="1" applyAlignment="1">
      <alignment horizontal="center" vertical="center" wrapText="1"/>
    </xf>
    <xf numFmtId="49" fontId="3" fillId="6" borderId="14" xfId="1" applyNumberFormat="1" applyFont="1" applyFill="1" applyBorder="1" applyAlignment="1">
      <alignment horizontal="center" vertical="center" wrapText="1"/>
    </xf>
    <xf numFmtId="49" fontId="3" fillId="6" borderId="15" xfId="1" applyNumberFormat="1" applyFont="1" applyFill="1" applyBorder="1" applyAlignment="1">
      <alignment horizontal="center" vertical="center" wrapText="1"/>
    </xf>
    <xf numFmtId="0" fontId="9" fillId="0" borderId="0" xfId="1" applyFont="1" applyAlignment="1">
      <alignment vertical="center" wrapText="1"/>
    </xf>
    <xf numFmtId="0" fontId="9" fillId="0" borderId="0" xfId="1" applyFont="1" applyAlignment="1">
      <alignment horizontal="center" vertical="center" wrapText="1"/>
    </xf>
    <xf numFmtId="0" fontId="4" fillId="0" borderId="17" xfId="0" applyFont="1" applyBorder="1" applyAlignment="1">
      <alignment wrapText="1"/>
    </xf>
    <xf numFmtId="0" fontId="4" fillId="0" borderId="0" xfId="0" applyFont="1" applyBorder="1" applyAlignment="1">
      <alignment wrapText="1"/>
    </xf>
    <xf numFmtId="0" fontId="4" fillId="0" borderId="20" xfId="0" applyFont="1" applyBorder="1" applyAlignment="1">
      <alignment vertical="center" wrapText="1"/>
    </xf>
    <xf numFmtId="0" fontId="4" fillId="0" borderId="0" xfId="0" applyFont="1" applyBorder="1" applyAlignment="1">
      <alignment vertical="center" wrapText="1"/>
    </xf>
    <xf numFmtId="0" fontId="9" fillId="0" borderId="0" xfId="2" applyFont="1" applyAlignment="1">
      <alignment vertical="center"/>
    </xf>
    <xf numFmtId="0" fontId="9" fillId="0" borderId="0" xfId="2" applyFont="1"/>
    <xf numFmtId="0" fontId="13" fillId="9" borderId="29" xfId="2" applyFont="1" applyFill="1" applyBorder="1" applyAlignment="1">
      <alignment horizontal="center" vertical="center" wrapText="1"/>
    </xf>
    <xf numFmtId="0" fontId="13" fillId="9" borderId="23" xfId="2" applyFont="1" applyFill="1" applyBorder="1" applyAlignment="1">
      <alignment horizontal="center" vertical="center" wrapText="1"/>
    </xf>
    <xf numFmtId="0" fontId="14" fillId="0" borderId="28" xfId="2" applyFont="1" applyBorder="1" applyAlignment="1">
      <alignment horizontal="center" vertical="center" wrapText="1"/>
    </xf>
    <xf numFmtId="0" fontId="15" fillId="0" borderId="29" xfId="2" applyFont="1" applyBorder="1" applyAlignment="1">
      <alignment horizontal="center" vertical="center" wrapText="1"/>
    </xf>
    <xf numFmtId="0" fontId="13" fillId="9" borderId="28" xfId="2" applyFont="1" applyFill="1" applyBorder="1" applyAlignment="1">
      <alignment horizontal="center" vertical="center" wrapText="1"/>
    </xf>
    <xf numFmtId="0" fontId="14" fillId="0" borderId="30" xfId="2" applyFont="1" applyBorder="1" applyAlignment="1">
      <alignment horizontal="center" vertical="center" wrapText="1"/>
    </xf>
    <xf numFmtId="0" fontId="9" fillId="0" borderId="0" xfId="2" applyFont="1" applyBorder="1" applyAlignment="1">
      <alignment vertical="center" wrapText="1"/>
    </xf>
    <xf numFmtId="0" fontId="9" fillId="0" borderId="0" xfId="2" applyFont="1" applyAlignment="1">
      <alignment vertical="center" wrapText="1"/>
    </xf>
    <xf numFmtId="0" fontId="9" fillId="0" borderId="0" xfId="2" applyFont="1" applyBorder="1"/>
    <xf numFmtId="0" fontId="9" fillId="0" borderId="0" xfId="2" applyFont="1" applyBorder="1" applyAlignment="1">
      <alignment vertical="center"/>
    </xf>
    <xf numFmtId="0" fontId="13" fillId="11" borderId="29" xfId="2" applyFont="1" applyFill="1" applyBorder="1" applyAlignment="1">
      <alignment horizontal="center" vertical="center" wrapText="1"/>
    </xf>
    <xf numFmtId="0" fontId="13" fillId="11" borderId="23" xfId="2" applyFont="1" applyFill="1" applyBorder="1" applyAlignment="1">
      <alignment horizontal="center" vertical="center" wrapText="1"/>
    </xf>
    <xf numFmtId="0" fontId="14" fillId="11" borderId="28" xfId="2" applyFont="1" applyFill="1" applyBorder="1" applyAlignment="1">
      <alignment horizontal="center" vertical="center" wrapText="1"/>
    </xf>
    <xf numFmtId="1" fontId="0" fillId="0" borderId="29" xfId="2" applyNumberFormat="1" applyFont="1" applyBorder="1" applyAlignment="1" applyProtection="1">
      <alignment horizontal="center" vertical="center" wrapText="1"/>
      <protection hidden="1"/>
    </xf>
    <xf numFmtId="0" fontId="13" fillId="11" borderId="28" xfId="2" applyFont="1" applyFill="1" applyBorder="1" applyAlignment="1">
      <alignment horizontal="center" vertical="center" wrapText="1"/>
    </xf>
    <xf numFmtId="0" fontId="14" fillId="11" borderId="30" xfId="2" applyFont="1" applyFill="1" applyBorder="1" applyAlignment="1">
      <alignment horizontal="center" vertical="center" wrapText="1"/>
    </xf>
    <xf numFmtId="0" fontId="20" fillId="0" borderId="0" xfId="0" applyFont="1" applyAlignment="1">
      <alignment vertical="center"/>
    </xf>
    <xf numFmtId="0" fontId="3" fillId="0" borderId="0" xfId="0" applyFont="1" applyAlignment="1">
      <alignment horizontal="left" vertical="center"/>
    </xf>
    <xf numFmtId="49" fontId="9" fillId="0" borderId="38" xfId="0" applyNumberFormat="1" applyFont="1" applyBorder="1" applyAlignment="1">
      <alignment vertical="center" wrapText="1"/>
    </xf>
    <xf numFmtId="49" fontId="0" fillId="0" borderId="38" xfId="0" applyNumberFormat="1" applyBorder="1" applyAlignment="1">
      <alignment vertical="center" wrapText="1"/>
    </xf>
    <xf numFmtId="49" fontId="0" fillId="0" borderId="39" xfId="0" applyNumberFormat="1" applyBorder="1" applyAlignment="1">
      <alignment vertical="center" wrapText="1"/>
    </xf>
    <xf numFmtId="49" fontId="0" fillId="0" borderId="39" xfId="0" applyNumberFormat="1" applyBorder="1" applyAlignment="1">
      <alignment horizontal="center" vertical="center" wrapText="1"/>
    </xf>
    <xf numFmtId="49" fontId="0" fillId="0" borderId="38" xfId="0" applyNumberFormat="1" applyBorder="1" applyAlignment="1">
      <alignment horizontal="center" vertical="center" wrapText="1"/>
    </xf>
    <xf numFmtId="0" fontId="18" fillId="0" borderId="0" xfId="0" applyFont="1" applyFill="1" applyAlignment="1">
      <alignment vertical="center"/>
    </xf>
    <xf numFmtId="0" fontId="0" fillId="0" borderId="4" xfId="0" applyFont="1" applyBorder="1" applyAlignment="1">
      <alignment vertical="center" wrapText="1"/>
    </xf>
    <xf numFmtId="0" fontId="7" fillId="0" borderId="0" xfId="0" applyFont="1"/>
    <xf numFmtId="14" fontId="7" fillId="0" borderId="0" xfId="0" applyNumberFormat="1" applyFont="1" applyAlignment="1">
      <alignment horizontal="left"/>
    </xf>
    <xf numFmtId="0" fontId="9" fillId="0" borderId="40" xfId="0" applyFont="1" applyBorder="1" applyAlignment="1">
      <alignment vertical="center" wrapText="1"/>
    </xf>
    <xf numFmtId="0" fontId="18" fillId="14" borderId="47" xfId="0" applyFont="1" applyFill="1" applyBorder="1" applyAlignment="1">
      <alignment horizontal="center" vertical="center" wrapText="1"/>
    </xf>
    <xf numFmtId="0" fontId="18" fillId="14" borderId="48" xfId="0" applyFont="1" applyFill="1" applyBorder="1" applyAlignment="1">
      <alignment horizontal="center" vertical="center" wrapText="1"/>
    </xf>
    <xf numFmtId="0" fontId="22" fillId="12" borderId="44" xfId="0" applyFont="1" applyFill="1" applyBorder="1" applyAlignment="1">
      <alignment horizontal="center" vertical="center" wrapText="1"/>
    </xf>
    <xf numFmtId="0" fontId="22" fillId="12" borderId="15" xfId="0" applyFont="1" applyFill="1" applyBorder="1" applyAlignment="1">
      <alignment horizontal="center" vertical="center" wrapText="1"/>
    </xf>
    <xf numFmtId="0" fontId="20" fillId="13" borderId="50" xfId="0" applyFont="1" applyFill="1" applyBorder="1" applyAlignment="1">
      <alignment vertical="center" wrapText="1"/>
    </xf>
    <xf numFmtId="0" fontId="0" fillId="0" borderId="0" xfId="0" applyFont="1" applyAlignment="1">
      <alignment horizontal="center" vertical="center"/>
    </xf>
    <xf numFmtId="0" fontId="18" fillId="12" borderId="41" xfId="0" applyFont="1" applyFill="1" applyBorder="1" applyAlignment="1">
      <alignment horizontal="center" vertical="center" wrapText="1"/>
    </xf>
    <xf numFmtId="0" fontId="18" fillId="12" borderId="43" xfId="0" applyFont="1" applyFill="1" applyBorder="1" applyAlignment="1">
      <alignment horizontal="center" vertical="center" wrapText="1"/>
    </xf>
    <xf numFmtId="0" fontId="18" fillId="12" borderId="46" xfId="0" applyFont="1" applyFill="1" applyBorder="1" applyAlignment="1">
      <alignment horizontal="center" vertical="center" wrapText="1"/>
    </xf>
    <xf numFmtId="0" fontId="20" fillId="13" borderId="55" xfId="0" applyFont="1" applyFill="1" applyBorder="1" applyAlignment="1">
      <alignment vertical="center" wrapText="1"/>
    </xf>
    <xf numFmtId="0" fontId="18" fillId="14" borderId="60" xfId="0" applyFont="1" applyFill="1" applyBorder="1" applyAlignment="1">
      <alignment horizontal="center" vertical="center" wrapText="1"/>
    </xf>
    <xf numFmtId="0" fontId="18" fillId="14" borderId="61" xfId="0" applyFont="1" applyFill="1" applyBorder="1" applyAlignment="1">
      <alignment horizontal="center" vertical="center" wrapText="1"/>
    </xf>
    <xf numFmtId="0" fontId="18" fillId="14" borderId="11" xfId="0" applyFont="1" applyFill="1" applyBorder="1" applyAlignment="1">
      <alignment horizontal="center" vertical="center" wrapText="1"/>
    </xf>
    <xf numFmtId="0" fontId="18" fillId="14" borderId="12" xfId="0" applyFont="1" applyFill="1" applyBorder="1" applyAlignment="1">
      <alignment horizontal="center" vertical="center" wrapText="1"/>
    </xf>
    <xf numFmtId="0" fontId="18" fillId="14" borderId="42" xfId="0" applyFont="1" applyFill="1" applyBorder="1" applyAlignment="1">
      <alignment horizontal="center" vertical="center" wrapText="1"/>
    </xf>
    <xf numFmtId="0" fontId="20" fillId="0" borderId="37" xfId="0" applyFont="1" applyBorder="1" applyAlignment="1">
      <alignment vertical="center" wrapText="1"/>
    </xf>
    <xf numFmtId="1" fontId="20" fillId="0" borderId="4" xfId="0" applyNumberFormat="1" applyFont="1" applyBorder="1" applyAlignment="1">
      <alignment horizontal="center" vertical="center"/>
    </xf>
    <xf numFmtId="0" fontId="20" fillId="12" borderId="37" xfId="0" applyFont="1" applyFill="1" applyBorder="1" applyAlignment="1">
      <alignment horizontal="center" vertical="center" wrapText="1"/>
    </xf>
    <xf numFmtId="0" fontId="20" fillId="0" borderId="37" xfId="0" applyFont="1" applyBorder="1" applyAlignment="1">
      <alignment horizontal="center" vertical="center" wrapText="1"/>
    </xf>
    <xf numFmtId="0" fontId="6" fillId="6" borderId="11" xfId="0" applyFont="1" applyFill="1" applyBorder="1" applyAlignment="1">
      <alignment horizontal="center" vertical="center" wrapText="1"/>
    </xf>
    <xf numFmtId="49" fontId="8" fillId="15" borderId="11" xfId="0" applyNumberFormat="1" applyFont="1" applyFill="1" applyBorder="1" applyAlignment="1">
      <alignment horizontal="center" vertical="center" wrapText="1"/>
    </xf>
    <xf numFmtId="0" fontId="8" fillId="15" borderId="12" xfId="0" applyFont="1" applyFill="1" applyBorder="1" applyAlignment="1">
      <alignment horizontal="center" vertical="center" wrapText="1"/>
    </xf>
    <xf numFmtId="49" fontId="8" fillId="16" borderId="49" xfId="0" applyNumberFormat="1" applyFont="1" applyFill="1" applyBorder="1" applyAlignment="1">
      <alignment horizontal="center" vertical="center" wrapText="1"/>
    </xf>
    <xf numFmtId="0" fontId="8" fillId="16" borderId="4" xfId="0" applyFont="1" applyFill="1" applyBorder="1" applyAlignment="1">
      <alignment vertical="center" wrapText="1"/>
    </xf>
    <xf numFmtId="0" fontId="9" fillId="0" borderId="4" xfId="0" applyFont="1" applyBorder="1" applyAlignment="1">
      <alignment vertical="center" wrapText="1"/>
    </xf>
    <xf numFmtId="49" fontId="8" fillId="17" borderId="49" xfId="0" applyNumberFormat="1" applyFont="1" applyFill="1" applyBorder="1" applyAlignment="1">
      <alignment horizontal="center" vertical="center" wrapText="1"/>
    </xf>
    <xf numFmtId="0" fontId="8" fillId="17" borderId="4" xfId="0" applyFont="1" applyFill="1" applyBorder="1" applyAlignment="1">
      <alignment vertical="center" wrapText="1"/>
    </xf>
    <xf numFmtId="0" fontId="11" fillId="0" borderId="4" xfId="0" applyFont="1" applyBorder="1" applyAlignment="1">
      <alignment vertical="center" wrapText="1"/>
    </xf>
    <xf numFmtId="0" fontId="8" fillId="18" borderId="13" xfId="0" applyFont="1" applyFill="1" applyBorder="1" applyAlignment="1">
      <alignment horizontal="center" vertical="center" wrapText="1"/>
    </xf>
    <xf numFmtId="0" fontId="8" fillId="18" borderId="14" xfId="0" applyFont="1" applyFill="1" applyBorder="1" applyAlignment="1">
      <alignment vertical="center" wrapText="1"/>
    </xf>
    <xf numFmtId="0" fontId="9" fillId="0" borderId="14" xfId="0" applyFont="1" applyBorder="1" applyAlignment="1">
      <alignment vertical="center" wrapText="1"/>
    </xf>
    <xf numFmtId="0" fontId="0" fillId="0" borderId="14" xfId="0" applyFont="1" applyBorder="1" applyAlignment="1">
      <alignment vertical="center" wrapText="1"/>
    </xf>
    <xf numFmtId="0" fontId="8" fillId="4" borderId="49" xfId="0" applyFont="1" applyFill="1" applyBorder="1" applyAlignment="1">
      <alignment horizontal="center" vertical="center" wrapText="1"/>
    </xf>
    <xf numFmtId="0" fontId="8" fillId="4" borderId="4" xfId="0" applyFont="1" applyFill="1" applyBorder="1" applyAlignment="1">
      <alignment vertical="center" wrapText="1"/>
    </xf>
    <xf numFmtId="0" fontId="8" fillId="0" borderId="4" xfId="0" applyFont="1" applyBorder="1" applyAlignment="1">
      <alignment vertical="center" wrapText="1"/>
    </xf>
    <xf numFmtId="0" fontId="18" fillId="12" borderId="43" xfId="0" applyFont="1" applyFill="1" applyBorder="1" applyAlignment="1">
      <alignment horizontal="center" vertical="center" wrapText="1"/>
    </xf>
    <xf numFmtId="0" fontId="18" fillId="12" borderId="46" xfId="0" applyFont="1" applyFill="1" applyBorder="1" applyAlignment="1">
      <alignment horizontal="center" vertical="center" wrapText="1"/>
    </xf>
    <xf numFmtId="0" fontId="18" fillId="12" borderId="43" xfId="0" applyFont="1" applyFill="1" applyBorder="1" applyAlignment="1">
      <alignment horizontal="center" vertical="center" wrapText="1"/>
    </xf>
    <xf numFmtId="0" fontId="18" fillId="12" borderId="46" xfId="0" applyFont="1" applyFill="1" applyBorder="1" applyAlignment="1">
      <alignment horizontal="center" vertical="center" wrapText="1"/>
    </xf>
    <xf numFmtId="0" fontId="18" fillId="12" borderId="43" xfId="0" applyFont="1" applyFill="1" applyBorder="1" applyAlignment="1">
      <alignment horizontal="center" vertical="center" wrapText="1"/>
    </xf>
    <xf numFmtId="0" fontId="9" fillId="0" borderId="14" xfId="0" applyFont="1" applyFill="1" applyBorder="1" applyAlignment="1">
      <alignment vertical="center" wrapText="1"/>
    </xf>
    <xf numFmtId="0" fontId="8" fillId="18" borderId="4" xfId="0" applyFont="1" applyFill="1" applyBorder="1" applyAlignment="1">
      <alignment vertical="center" wrapText="1"/>
    </xf>
    <xf numFmtId="0" fontId="9" fillId="0" borderId="4" xfId="0" applyFont="1" applyFill="1" applyBorder="1" applyAlignment="1">
      <alignment vertical="center" wrapText="1"/>
    </xf>
    <xf numFmtId="49" fontId="8" fillId="16" borderId="11" xfId="0" applyNumberFormat="1" applyFont="1" applyFill="1" applyBorder="1" applyAlignment="1">
      <alignment horizontal="center" vertical="center" wrapText="1"/>
    </xf>
    <xf numFmtId="0" fontId="8" fillId="16" borderId="12" xfId="0" applyFont="1" applyFill="1" applyBorder="1" applyAlignment="1">
      <alignment vertical="center" wrapText="1"/>
    </xf>
    <xf numFmtId="0" fontId="9" fillId="0" borderId="12" xfId="0" applyFont="1" applyBorder="1" applyAlignment="1">
      <alignment vertical="center" wrapText="1"/>
    </xf>
    <xf numFmtId="0" fontId="8" fillId="18" borderId="49" xfId="0" applyFont="1" applyFill="1" applyBorder="1" applyAlignment="1">
      <alignment horizontal="center" vertical="center" wrapText="1"/>
    </xf>
    <xf numFmtId="0" fontId="22" fillId="12" borderId="42" xfId="0" applyFont="1" applyFill="1" applyBorder="1" applyAlignment="1">
      <alignment horizontal="center" vertical="center" wrapText="1"/>
    </xf>
    <xf numFmtId="0" fontId="18" fillId="12" borderId="43" xfId="0" applyFont="1" applyFill="1" applyBorder="1" applyAlignment="1">
      <alignment horizontal="center" vertical="center" wrapText="1"/>
    </xf>
    <xf numFmtId="0" fontId="20" fillId="0" borderId="37" xfId="0" applyFont="1" applyFill="1" applyBorder="1" applyAlignment="1">
      <alignment horizontal="center" vertical="center" wrapText="1"/>
    </xf>
    <xf numFmtId="0" fontId="5" fillId="0" borderId="0" xfId="0" applyFont="1" applyAlignment="1">
      <alignment horizontal="center" vertical="center" wrapText="1"/>
    </xf>
    <xf numFmtId="0" fontId="21" fillId="0" borderId="0" xfId="3" applyFont="1" applyAlignment="1">
      <alignment horizontal="justify" vertical="center"/>
    </xf>
    <xf numFmtId="0" fontId="7" fillId="0" borderId="0" xfId="3" applyFont="1" applyAlignment="1">
      <alignment horizontal="justify"/>
    </xf>
    <xf numFmtId="0" fontId="24" fillId="0" borderId="4" xfId="0" applyFont="1" applyBorder="1" applyAlignment="1">
      <alignment horizontal="center" vertical="center" wrapText="1"/>
    </xf>
    <xf numFmtId="0" fontId="3" fillId="2" borderId="35" xfId="0" applyFont="1" applyFill="1" applyBorder="1" applyAlignment="1" applyProtection="1">
      <alignment horizontal="center" vertical="center" wrapText="1"/>
      <protection locked="0"/>
    </xf>
    <xf numFmtId="0" fontId="3" fillId="2" borderId="36" xfId="0" applyFont="1" applyFill="1" applyBorder="1" applyAlignment="1" applyProtection="1">
      <alignment horizontal="center" vertical="center" wrapText="1"/>
      <protection locked="0"/>
    </xf>
    <xf numFmtId="0" fontId="25" fillId="2" borderId="4" xfId="0" applyFont="1" applyFill="1" applyBorder="1" applyAlignment="1" applyProtection="1">
      <alignment horizontal="center" vertical="center" wrapText="1"/>
      <protection locked="0"/>
    </xf>
    <xf numFmtId="49" fontId="26" fillId="0" borderId="4" xfId="0" applyNumberFormat="1" applyFont="1" applyBorder="1" applyAlignment="1">
      <alignment vertical="center" wrapText="1"/>
    </xf>
    <xf numFmtId="0" fontId="26" fillId="0" borderId="4" xfId="0" applyFont="1" applyBorder="1" applyAlignment="1">
      <alignment vertical="center" wrapText="1"/>
    </xf>
    <xf numFmtId="0" fontId="10" fillId="0" borderId="4" xfId="0" applyFont="1" applyBorder="1" applyAlignment="1">
      <alignment horizontal="center" vertical="center" wrapText="1"/>
    </xf>
    <xf numFmtId="0" fontId="25" fillId="2" borderId="45" xfId="0" applyFont="1" applyFill="1" applyBorder="1" applyAlignment="1" applyProtection="1">
      <alignment horizontal="center" vertical="center" wrapText="1"/>
      <protection locked="0"/>
    </xf>
    <xf numFmtId="49" fontId="27" fillId="0" borderId="45" xfId="0" applyNumberFormat="1" applyFont="1" applyBorder="1" applyAlignment="1">
      <alignment vertical="center" wrapText="1"/>
    </xf>
    <xf numFmtId="0" fontId="27" fillId="0" borderId="45" xfId="0" applyFont="1" applyBorder="1" applyAlignment="1">
      <alignment vertical="center" wrapText="1"/>
    </xf>
    <xf numFmtId="0" fontId="6" fillId="15" borderId="62" xfId="0" applyFont="1" applyFill="1" applyBorder="1" applyAlignment="1">
      <alignment horizontal="center" vertical="center" wrapText="1"/>
    </xf>
    <xf numFmtId="0" fontId="6" fillId="15" borderId="63" xfId="0" applyFont="1" applyFill="1" applyBorder="1" applyAlignment="1">
      <alignment horizontal="center" vertical="center" wrapText="1"/>
    </xf>
    <xf numFmtId="0" fontId="20" fillId="13" borderId="53" xfId="0" applyFont="1" applyFill="1" applyBorder="1" applyAlignment="1">
      <alignment horizontal="left" vertical="center" wrapText="1"/>
    </xf>
    <xf numFmtId="0" fontId="20" fillId="0" borderId="54" xfId="0" applyFont="1" applyBorder="1" applyAlignment="1">
      <alignment horizontal="left" vertical="center" wrapText="1"/>
    </xf>
    <xf numFmtId="0" fontId="20" fillId="13" borderId="56" xfId="0" applyFont="1" applyFill="1" applyBorder="1" applyAlignment="1">
      <alignment horizontal="center" vertical="center" wrapText="1"/>
    </xf>
    <xf numFmtId="0" fontId="20" fillId="13" borderId="57" xfId="0" applyFont="1" applyFill="1" applyBorder="1" applyAlignment="1">
      <alignment horizontal="center" vertical="center" wrapText="1"/>
    </xf>
    <xf numFmtId="0" fontId="20" fillId="13" borderId="58" xfId="0" applyFont="1" applyFill="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18" fillId="12" borderId="43" xfId="0" applyFont="1" applyFill="1" applyBorder="1" applyAlignment="1">
      <alignment horizontal="center" vertical="center" wrapText="1"/>
    </xf>
    <xf numFmtId="0" fontId="18" fillId="12" borderId="46" xfId="0" applyFont="1" applyFill="1" applyBorder="1" applyAlignment="1">
      <alignment horizontal="center" vertical="center" wrapText="1"/>
    </xf>
    <xf numFmtId="0" fontId="18" fillId="12" borderId="41" xfId="0" applyFont="1" applyFill="1" applyBorder="1" applyAlignment="1">
      <alignment horizontal="center" vertical="center" wrapText="1"/>
    </xf>
    <xf numFmtId="0" fontId="18" fillId="12" borderId="2" xfId="0" applyFont="1" applyFill="1" applyBorder="1" applyAlignment="1">
      <alignment horizontal="center" vertical="center" wrapText="1"/>
    </xf>
    <xf numFmtId="0" fontId="18" fillId="12" borderId="5" xfId="0" applyFont="1" applyFill="1" applyBorder="1" applyAlignment="1">
      <alignment horizontal="center" vertical="center" wrapText="1"/>
    </xf>
    <xf numFmtId="0" fontId="18" fillId="12" borderId="8" xfId="0" applyFont="1" applyFill="1" applyBorder="1" applyAlignment="1">
      <alignment horizontal="center" vertical="center" wrapText="1"/>
    </xf>
    <xf numFmtId="0" fontId="20" fillId="13" borderId="51" xfId="0" applyFont="1" applyFill="1" applyBorder="1" applyAlignment="1">
      <alignment horizontal="center" vertical="center" wrapText="1"/>
    </xf>
    <xf numFmtId="0" fontId="20" fillId="13" borderId="52" xfId="0" applyFont="1" applyFill="1" applyBorder="1" applyAlignment="1">
      <alignment horizontal="center" vertical="center" wrapText="1"/>
    </xf>
    <xf numFmtId="0" fontId="20" fillId="0" borderId="53" xfId="0" applyFont="1" applyBorder="1" applyAlignment="1">
      <alignment horizontal="left" vertical="center" wrapText="1"/>
    </xf>
    <xf numFmtId="1" fontId="20" fillId="13" borderId="56" xfId="0" applyNumberFormat="1" applyFont="1" applyFill="1" applyBorder="1" applyAlignment="1">
      <alignment horizontal="center" vertical="center" wrapText="1"/>
    </xf>
    <xf numFmtId="1" fontId="20" fillId="13" borderId="67" xfId="0" applyNumberFormat="1" applyFont="1" applyFill="1" applyBorder="1" applyAlignment="1">
      <alignment horizontal="center" vertical="center" wrapText="1"/>
    </xf>
    <xf numFmtId="1" fontId="20" fillId="13" borderId="68" xfId="0" applyNumberFormat="1" applyFont="1" applyFill="1" applyBorder="1" applyAlignment="1">
      <alignment horizontal="center" vertical="center" wrapText="1"/>
    </xf>
    <xf numFmtId="0" fontId="20" fillId="13" borderId="67" xfId="0" applyFont="1" applyFill="1" applyBorder="1" applyAlignment="1">
      <alignment horizontal="left" vertical="center" wrapText="1"/>
    </xf>
    <xf numFmtId="0" fontId="20" fillId="13" borderId="68" xfId="0" applyFont="1" applyFill="1" applyBorder="1" applyAlignment="1">
      <alignment horizontal="left" vertical="center" wrapText="1"/>
    </xf>
    <xf numFmtId="0" fontId="20" fillId="13" borderId="10" xfId="0" applyFont="1" applyFill="1" applyBorder="1" applyAlignment="1">
      <alignment horizontal="left" vertical="center" wrapText="1"/>
    </xf>
    <xf numFmtId="1" fontId="20" fillId="13" borderId="57" xfId="0" applyNumberFormat="1" applyFont="1" applyFill="1" applyBorder="1" applyAlignment="1">
      <alignment horizontal="center" vertical="center" wrapText="1"/>
    </xf>
    <xf numFmtId="0" fontId="20" fillId="13" borderId="56" xfId="0" applyFont="1" applyFill="1" applyBorder="1" applyAlignment="1">
      <alignment horizontal="left" vertical="center" wrapText="1"/>
    </xf>
    <xf numFmtId="0" fontId="20" fillId="13" borderId="57" xfId="0" applyFont="1" applyFill="1" applyBorder="1" applyAlignment="1">
      <alignment horizontal="left" vertical="center" wrapText="1"/>
    </xf>
    <xf numFmtId="0" fontId="20" fillId="13" borderId="64" xfId="0" applyFont="1" applyFill="1" applyBorder="1" applyAlignment="1">
      <alignment horizontal="left" vertical="center" wrapText="1"/>
    </xf>
    <xf numFmtId="1" fontId="20" fillId="13" borderId="66" xfId="0" applyNumberFormat="1" applyFont="1" applyFill="1" applyBorder="1" applyAlignment="1">
      <alignment horizontal="center" vertical="center" wrapText="1"/>
    </xf>
    <xf numFmtId="1" fontId="20" fillId="13" borderId="65" xfId="0" applyNumberFormat="1" applyFont="1" applyFill="1" applyBorder="1" applyAlignment="1">
      <alignment horizontal="center" vertical="center" wrapText="1"/>
    </xf>
    <xf numFmtId="0" fontId="20" fillId="13" borderId="66" xfId="0" applyFont="1" applyFill="1" applyBorder="1" applyAlignment="1">
      <alignment horizontal="left" vertical="center" wrapText="1"/>
    </xf>
    <xf numFmtId="0" fontId="20" fillId="13" borderId="65" xfId="0" applyFont="1" applyFill="1" applyBorder="1" applyAlignment="1">
      <alignment horizontal="left" vertical="center" wrapText="1"/>
    </xf>
    <xf numFmtId="0" fontId="20" fillId="13" borderId="3" xfId="0" applyFont="1" applyFill="1" applyBorder="1" applyAlignment="1">
      <alignment horizontal="left" vertical="center" wrapText="1"/>
    </xf>
    <xf numFmtId="0" fontId="3" fillId="2" borderId="11" xfId="0" applyFont="1" applyFill="1" applyBorder="1" applyAlignment="1" applyProtection="1">
      <alignment horizontal="center" wrapText="1"/>
      <protection locked="0"/>
    </xf>
    <xf numFmtId="49" fontId="0" fillId="0" borderId="12" xfId="0" applyNumberFormat="1" applyFont="1" applyBorder="1" applyAlignment="1">
      <alignment wrapText="1"/>
    </xf>
    <xf numFmtId="0" fontId="0" fillId="0" borderId="12" xfId="0" applyFont="1" applyBorder="1" applyAlignment="1">
      <alignment wrapText="1"/>
    </xf>
    <xf numFmtId="0" fontId="3" fillId="2" borderId="13" xfId="0" applyFont="1" applyFill="1" applyBorder="1" applyAlignment="1" applyProtection="1">
      <alignment horizontal="center" vertical="center" wrapText="1"/>
      <protection locked="0"/>
    </xf>
    <xf numFmtId="49" fontId="7" fillId="0" borderId="14" xfId="0" applyNumberFormat="1" applyFont="1" applyBorder="1" applyAlignment="1">
      <alignment vertical="center" wrapText="1"/>
    </xf>
    <xf numFmtId="0" fontId="7" fillId="0" borderId="14" xfId="0" applyFont="1" applyBorder="1" applyAlignment="1">
      <alignment vertical="center" wrapText="1"/>
    </xf>
    <xf numFmtId="0" fontId="4" fillId="0" borderId="16" xfId="0" applyFont="1" applyBorder="1" applyAlignment="1">
      <alignment horizontal="center" wrapText="1"/>
    </xf>
    <xf numFmtId="0" fontId="4" fillId="0" borderId="17" xfId="0" applyFont="1" applyBorder="1" applyAlignment="1">
      <alignment horizontal="center" wrapText="1"/>
    </xf>
    <xf numFmtId="0" fontId="4" fillId="0" borderId="18" xfId="0" applyFont="1" applyBorder="1" applyAlignment="1">
      <alignment horizont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3" fillId="2" borderId="4" xfId="0" applyFont="1" applyFill="1" applyBorder="1" applyAlignment="1" applyProtection="1">
      <alignment horizontal="center" wrapText="1"/>
      <protection locked="0"/>
    </xf>
    <xf numFmtId="0" fontId="3" fillId="2" borderId="4" xfId="0" applyFont="1" applyFill="1" applyBorder="1" applyAlignment="1" applyProtection="1">
      <alignment horizontal="center" vertical="center" wrapText="1"/>
      <protection locked="0"/>
    </xf>
    <xf numFmtId="0" fontId="4" fillId="0" borderId="4" xfId="0" applyFont="1" applyBorder="1" applyAlignment="1">
      <alignment horizontal="center" wrapText="1"/>
    </xf>
    <xf numFmtId="0" fontId="4" fillId="0" borderId="4" xfId="0" applyFont="1" applyBorder="1" applyAlignment="1">
      <alignment horizontal="center" vertical="center" wrapText="1"/>
    </xf>
    <xf numFmtId="0" fontId="8" fillId="10" borderId="31" xfId="2" applyFont="1" applyFill="1" applyBorder="1" applyAlignment="1">
      <alignment horizontal="center" vertical="center"/>
    </xf>
    <xf numFmtId="0" fontId="8" fillId="10" borderId="17" xfId="2" applyFont="1" applyFill="1" applyBorder="1" applyAlignment="1">
      <alignment horizontal="center" vertical="center"/>
    </xf>
    <xf numFmtId="0" fontId="8" fillId="10" borderId="18" xfId="2" applyFont="1" applyFill="1" applyBorder="1" applyAlignment="1">
      <alignment horizontal="center" vertical="center"/>
    </xf>
    <xf numFmtId="0" fontId="3" fillId="8" borderId="32" xfId="2" applyFont="1" applyFill="1" applyBorder="1" applyAlignment="1">
      <alignment horizontal="left" vertical="center" wrapText="1"/>
    </xf>
    <xf numFmtId="0" fontId="3" fillId="8" borderId="28" xfId="2" applyFont="1" applyFill="1" applyBorder="1" applyAlignment="1">
      <alignment horizontal="left" vertical="center" wrapText="1"/>
    </xf>
    <xf numFmtId="0" fontId="12" fillId="8" borderId="33" xfId="2" applyFont="1" applyFill="1" applyBorder="1" applyAlignment="1">
      <alignment horizontal="center" vertical="center" wrapText="1"/>
    </xf>
    <xf numFmtId="0" fontId="12" fillId="8" borderId="22" xfId="2" applyFont="1" applyFill="1" applyBorder="1" applyAlignment="1">
      <alignment horizontal="center" vertical="center" wrapText="1"/>
    </xf>
    <xf numFmtId="0" fontId="12" fillId="8" borderId="23" xfId="2" applyFont="1" applyFill="1" applyBorder="1" applyAlignment="1">
      <alignment horizontal="center" vertical="center" wrapText="1"/>
    </xf>
    <xf numFmtId="0" fontId="8" fillId="7" borderId="34" xfId="2" applyFont="1" applyFill="1" applyBorder="1" applyAlignment="1">
      <alignment horizontal="center" vertical="center"/>
    </xf>
    <xf numFmtId="0" fontId="8" fillId="7" borderId="22" xfId="2" applyFont="1" applyFill="1" applyBorder="1" applyAlignment="1">
      <alignment horizontal="center" vertical="center"/>
    </xf>
    <xf numFmtId="0" fontId="8" fillId="7" borderId="23" xfId="2" applyFont="1" applyFill="1" applyBorder="1" applyAlignment="1">
      <alignment horizontal="center" vertical="center"/>
    </xf>
    <xf numFmtId="0" fontId="11" fillId="0" borderId="2" xfId="2" applyFont="1" applyBorder="1" applyAlignment="1">
      <alignment horizontal="center" vertical="center" wrapText="1"/>
    </xf>
    <xf numFmtId="0" fontId="11" fillId="0" borderId="1" xfId="2" applyFont="1" applyBorder="1" applyAlignment="1">
      <alignment horizontal="center" vertical="center" wrapText="1"/>
    </xf>
    <xf numFmtId="0" fontId="11" fillId="0" borderId="3" xfId="2" applyFont="1" applyBorder="1" applyAlignment="1">
      <alignment horizontal="center" vertical="center" wrapText="1"/>
    </xf>
    <xf numFmtId="0" fontId="11" fillId="0" borderId="5" xfId="2" applyFont="1" applyBorder="1" applyAlignment="1">
      <alignment horizontal="center" vertical="center" wrapText="1"/>
    </xf>
    <xf numFmtId="0" fontId="11" fillId="0" borderId="0" xfId="2" applyFont="1" applyAlignment="1">
      <alignment horizontal="center" vertical="center" wrapText="1"/>
    </xf>
    <xf numFmtId="0" fontId="11" fillId="0" borderId="6" xfId="2" applyFont="1" applyBorder="1" applyAlignment="1">
      <alignment horizontal="center" vertical="center" wrapText="1"/>
    </xf>
    <xf numFmtId="0" fontId="11" fillId="0" borderId="8" xfId="2" applyFont="1" applyBorder="1" applyAlignment="1">
      <alignment horizontal="center" vertical="center" wrapText="1"/>
    </xf>
    <xf numFmtId="0" fontId="11" fillId="0" borderId="9" xfId="2" applyFont="1" applyBorder="1" applyAlignment="1">
      <alignment horizontal="center" vertical="center" wrapText="1"/>
    </xf>
    <xf numFmtId="0" fontId="11" fillId="0" borderId="10" xfId="2" applyFont="1" applyBorder="1" applyAlignment="1">
      <alignment horizontal="center" vertical="center" wrapText="1"/>
    </xf>
    <xf numFmtId="0" fontId="3" fillId="8" borderId="24" xfId="2" applyFont="1" applyFill="1" applyBorder="1" applyAlignment="1">
      <alignment horizontal="left" vertical="center" wrapText="1"/>
    </xf>
    <xf numFmtId="0" fontId="12" fillId="8" borderId="25" xfId="2" applyFont="1" applyFill="1" applyBorder="1" applyAlignment="1">
      <alignment horizontal="center" vertical="center" wrapText="1"/>
    </xf>
    <xf numFmtId="0" fontId="12" fillId="8" borderId="26" xfId="2" applyFont="1" applyFill="1" applyBorder="1" applyAlignment="1">
      <alignment horizontal="center" vertical="center" wrapText="1"/>
    </xf>
    <xf numFmtId="0" fontId="12" fillId="8" borderId="27" xfId="2" applyFont="1" applyFill="1" applyBorder="1" applyAlignment="1">
      <alignment horizontal="center" vertical="center" wrapText="1"/>
    </xf>
  </cellXfs>
  <cellStyles count="4">
    <cellStyle name="Normale" xfId="0" builtinId="0"/>
    <cellStyle name="Normale 2" xfId="1" xr:uid="{00000000-0005-0000-0000-000001000000}"/>
    <cellStyle name="Normale 3" xfId="2" xr:uid="{00000000-0005-0000-0000-000002000000}"/>
    <cellStyle name="Normale 4" xfId="3" xr:uid="{00000000-0005-0000-0000-000003000000}"/>
  </cellStyles>
  <dxfs count="4">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3962400</xdr:colOff>
      <xdr:row>0</xdr:row>
      <xdr:rowOff>123825</xdr:rowOff>
    </xdr:from>
    <xdr:to>
      <xdr:col>3</xdr:col>
      <xdr:colOff>3448050</xdr:colOff>
      <xdr:row>0</xdr:row>
      <xdr:rowOff>419100</xdr:rowOff>
    </xdr:to>
    <xdr:pic>
      <xdr:nvPicPr>
        <xdr:cNvPr id="2" name="Picture 5">
          <a:extLst>
            <a:ext uri="{FF2B5EF4-FFF2-40B4-BE49-F238E27FC236}">
              <a16:creationId xmlns:a16="http://schemas.microsoft.com/office/drawing/2014/main" id="{BE6E059E-EBBA-4582-A85D-A320D8B736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1120140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123825</xdr:rowOff>
    </xdr:from>
    <xdr:to>
      <xdr:col>3</xdr:col>
      <xdr:colOff>3448050</xdr:colOff>
      <xdr:row>0</xdr:row>
      <xdr:rowOff>419100</xdr:rowOff>
    </xdr:to>
    <xdr:pic>
      <xdr:nvPicPr>
        <xdr:cNvPr id="3" name="Picture 6">
          <a:extLst>
            <a:ext uri="{FF2B5EF4-FFF2-40B4-BE49-F238E27FC236}">
              <a16:creationId xmlns:a16="http://schemas.microsoft.com/office/drawing/2014/main" id="{A433206B-F0DA-431B-8027-14A3EAB8CD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1120140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123825</xdr:rowOff>
    </xdr:from>
    <xdr:to>
      <xdr:col>3</xdr:col>
      <xdr:colOff>3448050</xdr:colOff>
      <xdr:row>0</xdr:row>
      <xdr:rowOff>419100</xdr:rowOff>
    </xdr:to>
    <xdr:pic>
      <xdr:nvPicPr>
        <xdr:cNvPr id="4" name="Picture 7">
          <a:extLst>
            <a:ext uri="{FF2B5EF4-FFF2-40B4-BE49-F238E27FC236}">
              <a16:creationId xmlns:a16="http://schemas.microsoft.com/office/drawing/2014/main" id="{5A98800D-9369-472C-98BF-839009E35F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1120140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1362076</xdr:colOff>
      <xdr:row>0</xdr:row>
      <xdr:rowOff>19050</xdr:rowOff>
    </xdr:from>
    <xdr:to>
      <xdr:col>2</xdr:col>
      <xdr:colOff>5105400</xdr:colOff>
      <xdr:row>1</xdr:row>
      <xdr:rowOff>1193</xdr:rowOff>
    </xdr:to>
    <xdr:pic>
      <xdr:nvPicPr>
        <xdr:cNvPr id="5" name="Immagine 6" descr="Logo DGSIA">
          <a:extLst>
            <a:ext uri="{FF2B5EF4-FFF2-40B4-BE49-F238E27FC236}">
              <a16:creationId xmlns:a16="http://schemas.microsoft.com/office/drawing/2014/main" id="{620FBF59-E5D2-4CC4-8F69-B632909F9A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57326" y="19050"/>
          <a:ext cx="5829299" cy="16490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it-c0147\%25%25%20Guida%20Strumenti\Program%20Files\Compuware\QACenter%20Portal\qacenterportal\Planning\Templates\AQW%20Workbench_TDT_8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it-c0147\%25%25%20Guida%20Strumenti\&amp;&amp;%20Progetti%20in%20corso\CONSIP\Documento%20Standard%20metodologia%20di%20test\CONSIP%20Allegato%201%20Tabella%20dei%20Test%20-%20Codice%20di%20Test%20070315_02%20con%20mac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Weighting and Counts"/>
      <sheetName val="Test Decision"/>
      <sheetName val="Test Conditions"/>
      <sheetName val="Internal Transfer Lookup"/>
      <sheetName val="SyncData"/>
    </sheetNames>
    <sheetDataSet>
      <sheetData sheetId="0" refreshError="1"/>
      <sheetData sheetId="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Planning List View"/>
      <sheetName val="Test Plan (copy)"/>
      <sheetName val="Test Plan (tree)"/>
      <sheetName val="Copertina"/>
      <sheetName val="Istruzioni"/>
      <sheetName val="Tabella dei test"/>
      <sheetName val="Codice di test"/>
      <sheetName val="Standard Layout"/>
      <sheetName val="Test Planning Setup"/>
      <sheetName val="Users"/>
      <sheetName val="Raw_Data_In"/>
      <sheetName val="Raw Data Out"/>
      <sheetName val="DeletedReqs"/>
      <sheetName val="QACP_Project_Setup"/>
      <sheetName val="QACPRiskFactorWeights"/>
      <sheetName val="Error Log"/>
      <sheetName val="Calc_WS"/>
      <sheetName val="temp_users"/>
      <sheetName val="temp ws"/>
      <sheetName val="Business Rules"/>
      <sheetName val="ClipBoard"/>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ow r="2">
          <cell r="A2" t="str">
            <v>Admin</v>
          </cell>
        </row>
        <row r="3">
          <cell r="A3" t="str">
            <v>Unassigned</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tabSelected="1" workbookViewId="0">
      <selection activeCell="B9" sqref="B9:C9"/>
    </sheetView>
  </sheetViews>
  <sheetFormatPr defaultRowHeight="120.75" customHeight="1" x14ac:dyDescent="0.25"/>
  <cols>
    <col min="1" max="1" width="1.42578125" style="9" customWidth="1"/>
    <col min="2" max="2" width="31.28515625" style="9" customWidth="1"/>
    <col min="3" max="3" width="94.7109375" style="9" customWidth="1"/>
    <col min="4" max="4" width="51.7109375" style="9" customWidth="1"/>
    <col min="5" max="256" width="9.140625" style="9"/>
    <col min="257" max="257" width="1.42578125" style="9" customWidth="1"/>
    <col min="258" max="258" width="31.28515625" style="9" customWidth="1"/>
    <col min="259" max="259" width="83.5703125" style="9" bestFit="1" customWidth="1"/>
    <col min="260" max="260" width="51.7109375" style="9" customWidth="1"/>
    <col min="261" max="512" width="9.140625" style="9"/>
    <col min="513" max="513" width="1.42578125" style="9" customWidth="1"/>
    <col min="514" max="514" width="31.28515625" style="9" customWidth="1"/>
    <col min="515" max="515" width="83.5703125" style="9" bestFit="1" customWidth="1"/>
    <col min="516" max="516" width="51.7109375" style="9" customWidth="1"/>
    <col min="517" max="768" width="9.140625" style="9"/>
    <col min="769" max="769" width="1.42578125" style="9" customWidth="1"/>
    <col min="770" max="770" width="31.28515625" style="9" customWidth="1"/>
    <col min="771" max="771" width="83.5703125" style="9" bestFit="1" customWidth="1"/>
    <col min="772" max="772" width="51.7109375" style="9" customWidth="1"/>
    <col min="773" max="1024" width="9.140625" style="9"/>
    <col min="1025" max="1025" width="1.42578125" style="9" customWidth="1"/>
    <col min="1026" max="1026" width="31.28515625" style="9" customWidth="1"/>
    <col min="1027" max="1027" width="83.5703125" style="9" bestFit="1" customWidth="1"/>
    <col min="1028" max="1028" width="51.7109375" style="9" customWidth="1"/>
    <col min="1029" max="1280" width="9.140625" style="9"/>
    <col min="1281" max="1281" width="1.42578125" style="9" customWidth="1"/>
    <col min="1282" max="1282" width="31.28515625" style="9" customWidth="1"/>
    <col min="1283" max="1283" width="83.5703125" style="9" bestFit="1" customWidth="1"/>
    <col min="1284" max="1284" width="51.7109375" style="9" customWidth="1"/>
    <col min="1285" max="1536" width="9.140625" style="9"/>
    <col min="1537" max="1537" width="1.42578125" style="9" customWidth="1"/>
    <col min="1538" max="1538" width="31.28515625" style="9" customWidth="1"/>
    <col min="1539" max="1539" width="83.5703125" style="9" bestFit="1" customWidth="1"/>
    <col min="1540" max="1540" width="51.7109375" style="9" customWidth="1"/>
    <col min="1541" max="1792" width="9.140625" style="9"/>
    <col min="1793" max="1793" width="1.42578125" style="9" customWidth="1"/>
    <col min="1794" max="1794" width="31.28515625" style="9" customWidth="1"/>
    <col min="1795" max="1795" width="83.5703125" style="9" bestFit="1" customWidth="1"/>
    <col min="1796" max="1796" width="51.7109375" style="9" customWidth="1"/>
    <col min="1797" max="2048" width="9.140625" style="9"/>
    <col min="2049" max="2049" width="1.42578125" style="9" customWidth="1"/>
    <col min="2050" max="2050" width="31.28515625" style="9" customWidth="1"/>
    <col min="2051" max="2051" width="83.5703125" style="9" bestFit="1" customWidth="1"/>
    <col min="2052" max="2052" width="51.7109375" style="9" customWidth="1"/>
    <col min="2053" max="2304" width="9.140625" style="9"/>
    <col min="2305" max="2305" width="1.42578125" style="9" customWidth="1"/>
    <col min="2306" max="2306" width="31.28515625" style="9" customWidth="1"/>
    <col min="2307" max="2307" width="83.5703125" style="9" bestFit="1" customWidth="1"/>
    <col min="2308" max="2308" width="51.7109375" style="9" customWidth="1"/>
    <col min="2309" max="2560" width="9.140625" style="9"/>
    <col min="2561" max="2561" width="1.42578125" style="9" customWidth="1"/>
    <col min="2562" max="2562" width="31.28515625" style="9" customWidth="1"/>
    <col min="2563" max="2563" width="83.5703125" style="9" bestFit="1" customWidth="1"/>
    <col min="2564" max="2564" width="51.7109375" style="9" customWidth="1"/>
    <col min="2565" max="2816" width="9.140625" style="9"/>
    <col min="2817" max="2817" width="1.42578125" style="9" customWidth="1"/>
    <col min="2818" max="2818" width="31.28515625" style="9" customWidth="1"/>
    <col min="2819" max="2819" width="83.5703125" style="9" bestFit="1" customWidth="1"/>
    <col min="2820" max="2820" width="51.7109375" style="9" customWidth="1"/>
    <col min="2821" max="3072" width="9.140625" style="9"/>
    <col min="3073" max="3073" width="1.42578125" style="9" customWidth="1"/>
    <col min="3074" max="3074" width="31.28515625" style="9" customWidth="1"/>
    <col min="3075" max="3075" width="83.5703125" style="9" bestFit="1" customWidth="1"/>
    <col min="3076" max="3076" width="51.7109375" style="9" customWidth="1"/>
    <col min="3077" max="3328" width="9.140625" style="9"/>
    <col min="3329" max="3329" width="1.42578125" style="9" customWidth="1"/>
    <col min="3330" max="3330" width="31.28515625" style="9" customWidth="1"/>
    <col min="3331" max="3331" width="83.5703125" style="9" bestFit="1" customWidth="1"/>
    <col min="3332" max="3332" width="51.7109375" style="9" customWidth="1"/>
    <col min="3333" max="3584" width="9.140625" style="9"/>
    <col min="3585" max="3585" width="1.42578125" style="9" customWidth="1"/>
    <col min="3586" max="3586" width="31.28515625" style="9" customWidth="1"/>
    <col min="3587" max="3587" width="83.5703125" style="9" bestFit="1" customWidth="1"/>
    <col min="3588" max="3588" width="51.7109375" style="9" customWidth="1"/>
    <col min="3589" max="3840" width="9.140625" style="9"/>
    <col min="3841" max="3841" width="1.42578125" style="9" customWidth="1"/>
    <col min="3842" max="3842" width="31.28515625" style="9" customWidth="1"/>
    <col min="3843" max="3843" width="83.5703125" style="9" bestFit="1" customWidth="1"/>
    <col min="3844" max="3844" width="51.7109375" style="9" customWidth="1"/>
    <col min="3845" max="4096" width="9.140625" style="9"/>
    <col min="4097" max="4097" width="1.42578125" style="9" customWidth="1"/>
    <col min="4098" max="4098" width="31.28515625" style="9" customWidth="1"/>
    <col min="4099" max="4099" width="83.5703125" style="9" bestFit="1" customWidth="1"/>
    <col min="4100" max="4100" width="51.7109375" style="9" customWidth="1"/>
    <col min="4101" max="4352" width="9.140625" style="9"/>
    <col min="4353" max="4353" width="1.42578125" style="9" customWidth="1"/>
    <col min="4354" max="4354" width="31.28515625" style="9" customWidth="1"/>
    <col min="4355" max="4355" width="83.5703125" style="9" bestFit="1" customWidth="1"/>
    <col min="4356" max="4356" width="51.7109375" style="9" customWidth="1"/>
    <col min="4357" max="4608" width="9.140625" style="9"/>
    <col min="4609" max="4609" width="1.42578125" style="9" customWidth="1"/>
    <col min="4610" max="4610" width="31.28515625" style="9" customWidth="1"/>
    <col min="4611" max="4611" width="83.5703125" style="9" bestFit="1" customWidth="1"/>
    <col min="4612" max="4612" width="51.7109375" style="9" customWidth="1"/>
    <col min="4613" max="4864" width="9.140625" style="9"/>
    <col min="4865" max="4865" width="1.42578125" style="9" customWidth="1"/>
    <col min="4866" max="4866" width="31.28515625" style="9" customWidth="1"/>
    <col min="4867" max="4867" width="83.5703125" style="9" bestFit="1" customWidth="1"/>
    <col min="4868" max="4868" width="51.7109375" style="9" customWidth="1"/>
    <col min="4869" max="5120" width="9.140625" style="9"/>
    <col min="5121" max="5121" width="1.42578125" style="9" customWidth="1"/>
    <col min="5122" max="5122" width="31.28515625" style="9" customWidth="1"/>
    <col min="5123" max="5123" width="83.5703125" style="9" bestFit="1" customWidth="1"/>
    <col min="5124" max="5124" width="51.7109375" style="9" customWidth="1"/>
    <col min="5125" max="5376" width="9.140625" style="9"/>
    <col min="5377" max="5377" width="1.42578125" style="9" customWidth="1"/>
    <col min="5378" max="5378" width="31.28515625" style="9" customWidth="1"/>
    <col min="5379" max="5379" width="83.5703125" style="9" bestFit="1" customWidth="1"/>
    <col min="5380" max="5380" width="51.7109375" style="9" customWidth="1"/>
    <col min="5381" max="5632" width="9.140625" style="9"/>
    <col min="5633" max="5633" width="1.42578125" style="9" customWidth="1"/>
    <col min="5634" max="5634" width="31.28515625" style="9" customWidth="1"/>
    <col min="5635" max="5635" width="83.5703125" style="9" bestFit="1" customWidth="1"/>
    <col min="5636" max="5636" width="51.7109375" style="9" customWidth="1"/>
    <col min="5637" max="5888" width="9.140625" style="9"/>
    <col min="5889" max="5889" width="1.42578125" style="9" customWidth="1"/>
    <col min="5890" max="5890" width="31.28515625" style="9" customWidth="1"/>
    <col min="5891" max="5891" width="83.5703125" style="9" bestFit="1" customWidth="1"/>
    <col min="5892" max="5892" width="51.7109375" style="9" customWidth="1"/>
    <col min="5893" max="6144" width="9.140625" style="9"/>
    <col min="6145" max="6145" width="1.42578125" style="9" customWidth="1"/>
    <col min="6146" max="6146" width="31.28515625" style="9" customWidth="1"/>
    <col min="6147" max="6147" width="83.5703125" style="9" bestFit="1" customWidth="1"/>
    <col min="6148" max="6148" width="51.7109375" style="9" customWidth="1"/>
    <col min="6149" max="6400" width="9.140625" style="9"/>
    <col min="6401" max="6401" width="1.42578125" style="9" customWidth="1"/>
    <col min="6402" max="6402" width="31.28515625" style="9" customWidth="1"/>
    <col min="6403" max="6403" width="83.5703125" style="9" bestFit="1" customWidth="1"/>
    <col min="6404" max="6404" width="51.7109375" style="9" customWidth="1"/>
    <col min="6405" max="6656" width="9.140625" style="9"/>
    <col min="6657" max="6657" width="1.42578125" style="9" customWidth="1"/>
    <col min="6658" max="6658" width="31.28515625" style="9" customWidth="1"/>
    <col min="6659" max="6659" width="83.5703125" style="9" bestFit="1" customWidth="1"/>
    <col min="6660" max="6660" width="51.7109375" style="9" customWidth="1"/>
    <col min="6661" max="6912" width="9.140625" style="9"/>
    <col min="6913" max="6913" width="1.42578125" style="9" customWidth="1"/>
    <col min="6914" max="6914" width="31.28515625" style="9" customWidth="1"/>
    <col min="6915" max="6915" width="83.5703125" style="9" bestFit="1" customWidth="1"/>
    <col min="6916" max="6916" width="51.7109375" style="9" customWidth="1"/>
    <col min="6917" max="7168" width="9.140625" style="9"/>
    <col min="7169" max="7169" width="1.42578125" style="9" customWidth="1"/>
    <col min="7170" max="7170" width="31.28515625" style="9" customWidth="1"/>
    <col min="7171" max="7171" width="83.5703125" style="9" bestFit="1" customWidth="1"/>
    <col min="7172" max="7172" width="51.7109375" style="9" customWidth="1"/>
    <col min="7173" max="7424" width="9.140625" style="9"/>
    <col min="7425" max="7425" width="1.42578125" style="9" customWidth="1"/>
    <col min="7426" max="7426" width="31.28515625" style="9" customWidth="1"/>
    <col min="7427" max="7427" width="83.5703125" style="9" bestFit="1" customWidth="1"/>
    <col min="7428" max="7428" width="51.7109375" style="9" customWidth="1"/>
    <col min="7429" max="7680" width="9.140625" style="9"/>
    <col min="7681" max="7681" width="1.42578125" style="9" customWidth="1"/>
    <col min="7682" max="7682" width="31.28515625" style="9" customWidth="1"/>
    <col min="7683" max="7683" width="83.5703125" style="9" bestFit="1" customWidth="1"/>
    <col min="7684" max="7684" width="51.7109375" style="9" customWidth="1"/>
    <col min="7685" max="7936" width="9.140625" style="9"/>
    <col min="7937" max="7937" width="1.42578125" style="9" customWidth="1"/>
    <col min="7938" max="7938" width="31.28515625" style="9" customWidth="1"/>
    <col min="7939" max="7939" width="83.5703125" style="9" bestFit="1" customWidth="1"/>
    <col min="7940" max="7940" width="51.7109375" style="9" customWidth="1"/>
    <col min="7941" max="8192" width="9.140625" style="9"/>
    <col min="8193" max="8193" width="1.42578125" style="9" customWidth="1"/>
    <col min="8194" max="8194" width="31.28515625" style="9" customWidth="1"/>
    <col min="8195" max="8195" width="83.5703125" style="9" bestFit="1" customWidth="1"/>
    <col min="8196" max="8196" width="51.7109375" style="9" customWidth="1"/>
    <col min="8197" max="8448" width="9.140625" style="9"/>
    <col min="8449" max="8449" width="1.42578125" style="9" customWidth="1"/>
    <col min="8450" max="8450" width="31.28515625" style="9" customWidth="1"/>
    <col min="8451" max="8451" width="83.5703125" style="9" bestFit="1" customWidth="1"/>
    <col min="8452" max="8452" width="51.7109375" style="9" customWidth="1"/>
    <col min="8453" max="8704" width="9.140625" style="9"/>
    <col min="8705" max="8705" width="1.42578125" style="9" customWidth="1"/>
    <col min="8706" max="8706" width="31.28515625" style="9" customWidth="1"/>
    <col min="8707" max="8707" width="83.5703125" style="9" bestFit="1" customWidth="1"/>
    <col min="8708" max="8708" width="51.7109375" style="9" customWidth="1"/>
    <col min="8709" max="8960" width="9.140625" style="9"/>
    <col min="8961" max="8961" width="1.42578125" style="9" customWidth="1"/>
    <col min="8962" max="8962" width="31.28515625" style="9" customWidth="1"/>
    <col min="8963" max="8963" width="83.5703125" style="9" bestFit="1" customWidth="1"/>
    <col min="8964" max="8964" width="51.7109375" style="9" customWidth="1"/>
    <col min="8965" max="9216" width="9.140625" style="9"/>
    <col min="9217" max="9217" width="1.42578125" style="9" customWidth="1"/>
    <col min="9218" max="9218" width="31.28515625" style="9" customWidth="1"/>
    <col min="9219" max="9219" width="83.5703125" style="9" bestFit="1" customWidth="1"/>
    <col min="9220" max="9220" width="51.7109375" style="9" customWidth="1"/>
    <col min="9221" max="9472" width="9.140625" style="9"/>
    <col min="9473" max="9473" width="1.42578125" style="9" customWidth="1"/>
    <col min="9474" max="9474" width="31.28515625" style="9" customWidth="1"/>
    <col min="9475" max="9475" width="83.5703125" style="9" bestFit="1" customWidth="1"/>
    <col min="9476" max="9476" width="51.7109375" style="9" customWidth="1"/>
    <col min="9477" max="9728" width="9.140625" style="9"/>
    <col min="9729" max="9729" width="1.42578125" style="9" customWidth="1"/>
    <col min="9730" max="9730" width="31.28515625" style="9" customWidth="1"/>
    <col min="9731" max="9731" width="83.5703125" style="9" bestFit="1" customWidth="1"/>
    <col min="9732" max="9732" width="51.7109375" style="9" customWidth="1"/>
    <col min="9733" max="9984" width="9.140625" style="9"/>
    <col min="9985" max="9985" width="1.42578125" style="9" customWidth="1"/>
    <col min="9986" max="9986" width="31.28515625" style="9" customWidth="1"/>
    <col min="9987" max="9987" width="83.5703125" style="9" bestFit="1" customWidth="1"/>
    <col min="9988" max="9988" width="51.7109375" style="9" customWidth="1"/>
    <col min="9989" max="10240" width="9.140625" style="9"/>
    <col min="10241" max="10241" width="1.42578125" style="9" customWidth="1"/>
    <col min="10242" max="10242" width="31.28515625" style="9" customWidth="1"/>
    <col min="10243" max="10243" width="83.5703125" style="9" bestFit="1" customWidth="1"/>
    <col min="10244" max="10244" width="51.7109375" style="9" customWidth="1"/>
    <col min="10245" max="10496" width="9.140625" style="9"/>
    <col min="10497" max="10497" width="1.42578125" style="9" customWidth="1"/>
    <col min="10498" max="10498" width="31.28515625" style="9" customWidth="1"/>
    <col min="10499" max="10499" width="83.5703125" style="9" bestFit="1" customWidth="1"/>
    <col min="10500" max="10500" width="51.7109375" style="9" customWidth="1"/>
    <col min="10501" max="10752" width="9.140625" style="9"/>
    <col min="10753" max="10753" width="1.42578125" style="9" customWidth="1"/>
    <col min="10754" max="10754" width="31.28515625" style="9" customWidth="1"/>
    <col min="10755" max="10755" width="83.5703125" style="9" bestFit="1" customWidth="1"/>
    <col min="10756" max="10756" width="51.7109375" style="9" customWidth="1"/>
    <col min="10757" max="11008" width="9.140625" style="9"/>
    <col min="11009" max="11009" width="1.42578125" style="9" customWidth="1"/>
    <col min="11010" max="11010" width="31.28515625" style="9" customWidth="1"/>
    <col min="11011" max="11011" width="83.5703125" style="9" bestFit="1" customWidth="1"/>
    <col min="11012" max="11012" width="51.7109375" style="9" customWidth="1"/>
    <col min="11013" max="11264" width="9.140625" style="9"/>
    <col min="11265" max="11265" width="1.42578125" style="9" customWidth="1"/>
    <col min="11266" max="11266" width="31.28515625" style="9" customWidth="1"/>
    <col min="11267" max="11267" width="83.5703125" style="9" bestFit="1" customWidth="1"/>
    <col min="11268" max="11268" width="51.7109375" style="9" customWidth="1"/>
    <col min="11269" max="11520" width="9.140625" style="9"/>
    <col min="11521" max="11521" width="1.42578125" style="9" customWidth="1"/>
    <col min="11522" max="11522" width="31.28515625" style="9" customWidth="1"/>
    <col min="11523" max="11523" width="83.5703125" style="9" bestFit="1" customWidth="1"/>
    <col min="11524" max="11524" width="51.7109375" style="9" customWidth="1"/>
    <col min="11525" max="11776" width="9.140625" style="9"/>
    <col min="11777" max="11777" width="1.42578125" style="9" customWidth="1"/>
    <col min="11778" max="11778" width="31.28515625" style="9" customWidth="1"/>
    <col min="11779" max="11779" width="83.5703125" style="9" bestFit="1" customWidth="1"/>
    <col min="11780" max="11780" width="51.7109375" style="9" customWidth="1"/>
    <col min="11781" max="12032" width="9.140625" style="9"/>
    <col min="12033" max="12033" width="1.42578125" style="9" customWidth="1"/>
    <col min="12034" max="12034" width="31.28515625" style="9" customWidth="1"/>
    <col min="12035" max="12035" width="83.5703125" style="9" bestFit="1" customWidth="1"/>
    <col min="12036" max="12036" width="51.7109375" style="9" customWidth="1"/>
    <col min="12037" max="12288" width="9.140625" style="9"/>
    <col min="12289" max="12289" width="1.42578125" style="9" customWidth="1"/>
    <col min="12290" max="12290" width="31.28515625" style="9" customWidth="1"/>
    <col min="12291" max="12291" width="83.5703125" style="9" bestFit="1" customWidth="1"/>
    <col min="12292" max="12292" width="51.7109375" style="9" customWidth="1"/>
    <col min="12293" max="12544" width="9.140625" style="9"/>
    <col min="12545" max="12545" width="1.42578125" style="9" customWidth="1"/>
    <col min="12546" max="12546" width="31.28515625" style="9" customWidth="1"/>
    <col min="12547" max="12547" width="83.5703125" style="9" bestFit="1" customWidth="1"/>
    <col min="12548" max="12548" width="51.7109375" style="9" customWidth="1"/>
    <col min="12549" max="12800" width="9.140625" style="9"/>
    <col min="12801" max="12801" width="1.42578125" style="9" customWidth="1"/>
    <col min="12802" max="12802" width="31.28515625" style="9" customWidth="1"/>
    <col min="12803" max="12803" width="83.5703125" style="9" bestFit="1" customWidth="1"/>
    <col min="12804" max="12804" width="51.7109375" style="9" customWidth="1"/>
    <col min="12805" max="13056" width="9.140625" style="9"/>
    <col min="13057" max="13057" width="1.42578125" style="9" customWidth="1"/>
    <col min="13058" max="13058" width="31.28515625" style="9" customWidth="1"/>
    <col min="13059" max="13059" width="83.5703125" style="9" bestFit="1" customWidth="1"/>
    <col min="13060" max="13060" width="51.7109375" style="9" customWidth="1"/>
    <col min="13061" max="13312" width="9.140625" style="9"/>
    <col min="13313" max="13313" width="1.42578125" style="9" customWidth="1"/>
    <col min="13314" max="13314" width="31.28515625" style="9" customWidth="1"/>
    <col min="13315" max="13315" width="83.5703125" style="9" bestFit="1" customWidth="1"/>
    <col min="13316" max="13316" width="51.7109375" style="9" customWidth="1"/>
    <col min="13317" max="13568" width="9.140625" style="9"/>
    <col min="13569" max="13569" width="1.42578125" style="9" customWidth="1"/>
    <col min="13570" max="13570" width="31.28515625" style="9" customWidth="1"/>
    <col min="13571" max="13571" width="83.5703125" style="9" bestFit="1" customWidth="1"/>
    <col min="13572" max="13572" width="51.7109375" style="9" customWidth="1"/>
    <col min="13573" max="13824" width="9.140625" style="9"/>
    <col min="13825" max="13825" width="1.42578125" style="9" customWidth="1"/>
    <col min="13826" max="13826" width="31.28515625" style="9" customWidth="1"/>
    <col min="13827" max="13827" width="83.5703125" style="9" bestFit="1" customWidth="1"/>
    <col min="13828" max="13828" width="51.7109375" style="9" customWidth="1"/>
    <col min="13829" max="14080" width="9.140625" style="9"/>
    <col min="14081" max="14081" width="1.42578125" style="9" customWidth="1"/>
    <col min="14082" max="14082" width="31.28515625" style="9" customWidth="1"/>
    <col min="14083" max="14083" width="83.5703125" style="9" bestFit="1" customWidth="1"/>
    <col min="14084" max="14084" width="51.7109375" style="9" customWidth="1"/>
    <col min="14085" max="14336" width="9.140625" style="9"/>
    <col min="14337" max="14337" width="1.42578125" style="9" customWidth="1"/>
    <col min="14338" max="14338" width="31.28515625" style="9" customWidth="1"/>
    <col min="14339" max="14339" width="83.5703125" style="9" bestFit="1" customWidth="1"/>
    <col min="14340" max="14340" width="51.7109375" style="9" customWidth="1"/>
    <col min="14341" max="14592" width="9.140625" style="9"/>
    <col min="14593" max="14593" width="1.42578125" style="9" customWidth="1"/>
    <col min="14594" max="14594" width="31.28515625" style="9" customWidth="1"/>
    <col min="14595" max="14595" width="83.5703125" style="9" bestFit="1" customWidth="1"/>
    <col min="14596" max="14596" width="51.7109375" style="9" customWidth="1"/>
    <col min="14597" max="14848" width="9.140625" style="9"/>
    <col min="14849" max="14849" width="1.42578125" style="9" customWidth="1"/>
    <col min="14850" max="14850" width="31.28515625" style="9" customWidth="1"/>
    <col min="14851" max="14851" width="83.5703125" style="9" bestFit="1" customWidth="1"/>
    <col min="14852" max="14852" width="51.7109375" style="9" customWidth="1"/>
    <col min="14853" max="15104" width="9.140625" style="9"/>
    <col min="15105" max="15105" width="1.42578125" style="9" customWidth="1"/>
    <col min="15106" max="15106" width="31.28515625" style="9" customWidth="1"/>
    <col min="15107" max="15107" width="83.5703125" style="9" bestFit="1" customWidth="1"/>
    <col min="15108" max="15108" width="51.7109375" style="9" customWidth="1"/>
    <col min="15109" max="15360" width="9.140625" style="9"/>
    <col min="15361" max="15361" width="1.42578125" style="9" customWidth="1"/>
    <col min="15362" max="15362" width="31.28515625" style="9" customWidth="1"/>
    <col min="15363" max="15363" width="83.5703125" style="9" bestFit="1" customWidth="1"/>
    <col min="15364" max="15364" width="51.7109375" style="9" customWidth="1"/>
    <col min="15365" max="15616" width="9.140625" style="9"/>
    <col min="15617" max="15617" width="1.42578125" style="9" customWidth="1"/>
    <col min="15618" max="15618" width="31.28515625" style="9" customWidth="1"/>
    <col min="15619" max="15619" width="83.5703125" style="9" bestFit="1" customWidth="1"/>
    <col min="15620" max="15620" width="51.7109375" style="9" customWidth="1"/>
    <col min="15621" max="15872" width="9.140625" style="9"/>
    <col min="15873" max="15873" width="1.42578125" style="9" customWidth="1"/>
    <col min="15874" max="15874" width="31.28515625" style="9" customWidth="1"/>
    <col min="15875" max="15875" width="83.5703125" style="9" bestFit="1" customWidth="1"/>
    <col min="15876" max="15876" width="51.7109375" style="9" customWidth="1"/>
    <col min="15877" max="16128" width="9.140625" style="9"/>
    <col min="16129" max="16129" width="1.42578125" style="9" customWidth="1"/>
    <col min="16130" max="16130" width="31.28515625" style="9" customWidth="1"/>
    <col min="16131" max="16131" width="83.5703125" style="9" bestFit="1" customWidth="1"/>
    <col min="16132" max="16132" width="51.7109375" style="9" customWidth="1"/>
    <col min="16133" max="16384" width="9.140625" style="9"/>
  </cols>
  <sheetData>
    <row r="1" spans="1:4" ht="131.25" customHeight="1" x14ac:dyDescent="0.45">
      <c r="A1" s="8"/>
    </row>
    <row r="2" spans="1:4" ht="56.25" customHeight="1" x14ac:dyDescent="0.45">
      <c r="A2" s="8"/>
      <c r="B2" s="104" t="s">
        <v>44</v>
      </c>
      <c r="C2" s="105"/>
    </row>
    <row r="3" spans="1:4" ht="16.5" customHeight="1" x14ac:dyDescent="0.45">
      <c r="A3" s="8"/>
      <c r="B3" s="42" t="s">
        <v>0</v>
      </c>
      <c r="C3" s="50" t="s">
        <v>220</v>
      </c>
    </row>
    <row r="4" spans="1:4" ht="16.5" customHeight="1" x14ac:dyDescent="0.45">
      <c r="A4" s="8"/>
      <c r="B4" s="42" t="s">
        <v>1</v>
      </c>
      <c r="C4" s="50" t="s">
        <v>218</v>
      </c>
    </row>
    <row r="5" spans="1:4" ht="18.75" customHeight="1" x14ac:dyDescent="0.45">
      <c r="A5" s="8"/>
      <c r="B5" s="42" t="s">
        <v>2</v>
      </c>
      <c r="C5" s="50" t="s">
        <v>198</v>
      </c>
    </row>
    <row r="6" spans="1:4" ht="15" customHeight="1" x14ac:dyDescent="0.45">
      <c r="A6" s="8"/>
      <c r="B6" s="42" t="s">
        <v>3</v>
      </c>
      <c r="C6" s="51">
        <v>44347</v>
      </c>
    </row>
    <row r="7" spans="1:4" ht="16.5" customHeight="1" x14ac:dyDescent="0.45">
      <c r="A7" s="8"/>
      <c r="B7" s="42" t="s">
        <v>4</v>
      </c>
      <c r="C7" s="50" t="s">
        <v>219</v>
      </c>
    </row>
    <row r="8" spans="1:4" ht="16.5" customHeight="1" x14ac:dyDescent="0.45">
      <c r="A8" s="8"/>
      <c r="B8" s="42" t="s">
        <v>5</v>
      </c>
      <c r="C8" s="50" t="s">
        <v>86</v>
      </c>
    </row>
    <row r="9" spans="1:4" ht="120.75" customHeight="1" x14ac:dyDescent="0.45">
      <c r="A9" s="8"/>
      <c r="B9" s="103" t="s">
        <v>6</v>
      </c>
      <c r="C9" s="103"/>
      <c r="D9" s="10"/>
    </row>
    <row r="61" ht="15" x14ac:dyDescent="0.25"/>
  </sheetData>
  <mergeCells count="2">
    <mergeCell ref="B9:C9"/>
    <mergeCell ref="B2:C2"/>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14"/>
  <sheetViews>
    <sheetView zoomScale="77" zoomScaleNormal="77" workbookViewId="0">
      <selection activeCell="K1" sqref="K1"/>
    </sheetView>
  </sheetViews>
  <sheetFormatPr defaultRowHeight="15" x14ac:dyDescent="0.25"/>
  <cols>
    <col min="1" max="1" width="12.140625" style="1" bestFit="1" customWidth="1"/>
    <col min="2" max="2" width="16.5703125" style="1" customWidth="1"/>
    <col min="3" max="3" width="21.7109375" style="1" bestFit="1" customWidth="1"/>
    <col min="4" max="4" width="12.7109375" style="1" bestFit="1" customWidth="1"/>
    <col min="5" max="5" width="31.85546875" style="1" customWidth="1"/>
    <col min="6" max="6" width="15.5703125" style="1" customWidth="1"/>
    <col min="7" max="7" width="44.85546875" style="1" customWidth="1"/>
    <col min="8" max="8" width="12" style="1" bestFit="1" customWidth="1"/>
    <col min="9" max="9" width="17.42578125" style="1" bestFit="1" customWidth="1"/>
    <col min="10" max="10" width="10.140625" style="1" customWidth="1"/>
    <col min="11" max="11" width="11.28515625" style="1" bestFit="1" customWidth="1"/>
    <col min="12" max="16384" width="9.140625" style="1"/>
  </cols>
  <sheetData>
    <row r="1" spans="1:11" ht="32.25" customHeight="1" x14ac:dyDescent="0.25">
      <c r="A1" s="107" t="s">
        <v>4</v>
      </c>
      <c r="B1" s="108"/>
      <c r="C1" s="106" t="str">
        <f>Copertina!C7</f>
        <v>MEV-Integrazione SIES-ADN (PRE-GOLIVE)</v>
      </c>
      <c r="D1" s="106"/>
      <c r="E1" s="106"/>
      <c r="F1" s="106"/>
      <c r="G1" s="106"/>
      <c r="H1" s="106"/>
      <c r="I1" s="106"/>
      <c r="J1" s="106"/>
    </row>
    <row r="2" spans="1:11" ht="32.25" customHeight="1" x14ac:dyDescent="0.25">
      <c r="A2" s="107" t="s">
        <v>12</v>
      </c>
      <c r="B2" s="108"/>
      <c r="C2" s="106" t="str">
        <f>Copertina!C3</f>
        <v>SIUT-SIE-CT-1.1-20210531-Allegato_al_piano_test_MEV-Integrazione SIES-ADN (PRE-GOLIVE).xlsx</v>
      </c>
      <c r="D2" s="106"/>
      <c r="E2" s="106"/>
      <c r="F2" s="106"/>
      <c r="G2" s="106"/>
      <c r="H2" s="106"/>
      <c r="I2" s="106"/>
      <c r="J2" s="106"/>
    </row>
    <row r="3" spans="1:11" ht="40.5" customHeight="1" x14ac:dyDescent="0.25">
      <c r="A3" s="2" t="s">
        <v>7</v>
      </c>
      <c r="B3" s="2" t="s">
        <v>32</v>
      </c>
      <c r="C3" s="3" t="s">
        <v>33</v>
      </c>
      <c r="D3" s="3" t="s">
        <v>31</v>
      </c>
      <c r="E3" s="3" t="s">
        <v>30</v>
      </c>
      <c r="F3" s="4" t="s">
        <v>8</v>
      </c>
      <c r="G3" s="5" t="s">
        <v>29</v>
      </c>
      <c r="H3" s="6" t="s">
        <v>9</v>
      </c>
      <c r="I3" s="7" t="s">
        <v>10</v>
      </c>
      <c r="J3" s="4" t="s">
        <v>11</v>
      </c>
    </row>
    <row r="4" spans="1:11" ht="60.75" customHeight="1" x14ac:dyDescent="0.25">
      <c r="A4" s="71" t="s">
        <v>87</v>
      </c>
      <c r="B4" s="69" t="s">
        <v>88</v>
      </c>
      <c r="C4" s="69" t="s">
        <v>88</v>
      </c>
      <c r="D4" s="71" t="s">
        <v>79</v>
      </c>
      <c r="E4" s="52" t="s">
        <v>136</v>
      </c>
      <c r="F4" s="71" t="s">
        <v>80</v>
      </c>
      <c r="G4" s="52" t="s">
        <v>144</v>
      </c>
      <c r="H4" s="70">
        <v>1</v>
      </c>
      <c r="I4" s="70" t="s">
        <v>24</v>
      </c>
      <c r="J4" s="68"/>
      <c r="K4" s="48"/>
    </row>
    <row r="5" spans="1:11" ht="63.75" customHeight="1" x14ac:dyDescent="0.25">
      <c r="A5" s="71" t="s">
        <v>87</v>
      </c>
      <c r="B5" s="69" t="s">
        <v>88</v>
      </c>
      <c r="C5" s="69" t="s">
        <v>88</v>
      </c>
      <c r="D5" s="71" t="s">
        <v>81</v>
      </c>
      <c r="E5" s="52" t="s">
        <v>89</v>
      </c>
      <c r="F5" s="71" t="s">
        <v>84</v>
      </c>
      <c r="G5" s="52" t="s">
        <v>143</v>
      </c>
      <c r="H5" s="70">
        <v>2</v>
      </c>
      <c r="I5" s="70" t="s">
        <v>25</v>
      </c>
      <c r="J5" s="68"/>
      <c r="K5" s="48"/>
    </row>
    <row r="6" spans="1:11" ht="65.25" customHeight="1" x14ac:dyDescent="0.25">
      <c r="A6" s="71" t="s">
        <v>87</v>
      </c>
      <c r="B6" s="69" t="s">
        <v>88</v>
      </c>
      <c r="C6" s="69" t="s">
        <v>88</v>
      </c>
      <c r="D6" s="71" t="s">
        <v>82</v>
      </c>
      <c r="E6" s="52" t="s">
        <v>150</v>
      </c>
      <c r="F6" s="71" t="s">
        <v>83</v>
      </c>
      <c r="G6" s="52" t="s">
        <v>151</v>
      </c>
      <c r="H6" s="70">
        <v>3</v>
      </c>
      <c r="I6" s="70" t="s">
        <v>26</v>
      </c>
      <c r="J6" s="68"/>
      <c r="K6" s="48"/>
    </row>
    <row r="7" spans="1:11" ht="63.75" customHeight="1" x14ac:dyDescent="0.25">
      <c r="A7" s="71" t="s">
        <v>87</v>
      </c>
      <c r="B7" s="69" t="s">
        <v>88</v>
      </c>
      <c r="C7" s="69" t="s">
        <v>88</v>
      </c>
      <c r="D7" s="71" t="s">
        <v>85</v>
      </c>
      <c r="E7" s="52" t="s">
        <v>90</v>
      </c>
      <c r="F7" s="71" t="s">
        <v>93</v>
      </c>
      <c r="G7" s="52" t="s">
        <v>95</v>
      </c>
      <c r="H7" s="70">
        <v>3</v>
      </c>
      <c r="I7" s="70" t="s">
        <v>26</v>
      </c>
      <c r="J7" s="68"/>
      <c r="K7" s="48"/>
    </row>
    <row r="8" spans="1:11" ht="57" customHeight="1" x14ac:dyDescent="0.25">
      <c r="A8" s="71" t="s">
        <v>87</v>
      </c>
      <c r="B8" s="69" t="s">
        <v>88</v>
      </c>
      <c r="C8" s="69" t="s">
        <v>88</v>
      </c>
      <c r="D8" s="71" t="s">
        <v>92</v>
      </c>
      <c r="E8" s="52" t="s">
        <v>91</v>
      </c>
      <c r="F8" s="71" t="s">
        <v>94</v>
      </c>
      <c r="G8" s="52" t="s">
        <v>96</v>
      </c>
      <c r="H8" s="70">
        <v>3</v>
      </c>
      <c r="I8" s="70" t="s">
        <v>26</v>
      </c>
      <c r="J8" s="68"/>
      <c r="K8" s="48"/>
    </row>
    <row r="9" spans="1:11" ht="60.75" customHeight="1" x14ac:dyDescent="0.25">
      <c r="A9" s="71" t="s">
        <v>87</v>
      </c>
      <c r="B9" s="69" t="s">
        <v>88</v>
      </c>
      <c r="C9" s="69" t="s">
        <v>88</v>
      </c>
      <c r="D9" s="71" t="s">
        <v>152</v>
      </c>
      <c r="E9" s="52" t="s">
        <v>156</v>
      </c>
      <c r="F9" s="71" t="s">
        <v>155</v>
      </c>
      <c r="G9" s="52" t="s">
        <v>157</v>
      </c>
      <c r="H9" s="70">
        <v>2</v>
      </c>
      <c r="I9" s="70" t="s">
        <v>25</v>
      </c>
      <c r="J9" s="68"/>
      <c r="K9" s="48"/>
    </row>
    <row r="10" spans="1:11" ht="71.25" customHeight="1" x14ac:dyDescent="0.25">
      <c r="A10" s="71" t="s">
        <v>87</v>
      </c>
      <c r="B10" s="69" t="s">
        <v>88</v>
      </c>
      <c r="C10" s="69" t="s">
        <v>88</v>
      </c>
      <c r="D10" s="71" t="s">
        <v>153</v>
      </c>
      <c r="E10" s="52" t="s">
        <v>158</v>
      </c>
      <c r="F10" s="71" t="s">
        <v>159</v>
      </c>
      <c r="G10" s="52" t="s">
        <v>167</v>
      </c>
      <c r="H10" s="70">
        <v>2</v>
      </c>
      <c r="I10" s="70" t="s">
        <v>25</v>
      </c>
      <c r="J10" s="68"/>
      <c r="K10" s="48"/>
    </row>
    <row r="11" spans="1:11" ht="63" customHeight="1" x14ac:dyDescent="0.25">
      <c r="A11" s="71" t="s">
        <v>87</v>
      </c>
      <c r="B11" s="69" t="s">
        <v>88</v>
      </c>
      <c r="C11" s="69" t="s">
        <v>88</v>
      </c>
      <c r="D11" s="102" t="s">
        <v>154</v>
      </c>
      <c r="E11" s="52" t="s">
        <v>183</v>
      </c>
      <c r="F11" s="102" t="s">
        <v>160</v>
      </c>
      <c r="G11" s="52" t="s">
        <v>184</v>
      </c>
      <c r="H11" s="70">
        <v>2</v>
      </c>
      <c r="I11" s="70" t="s">
        <v>25</v>
      </c>
      <c r="J11" s="68"/>
    </row>
    <row r="12" spans="1:11" ht="62.25" customHeight="1" x14ac:dyDescent="0.25">
      <c r="A12" s="71" t="s">
        <v>87</v>
      </c>
      <c r="B12" s="69" t="s">
        <v>88</v>
      </c>
      <c r="C12" s="69" t="s">
        <v>88</v>
      </c>
      <c r="D12" s="71" t="s">
        <v>168</v>
      </c>
      <c r="E12" s="52" t="s">
        <v>175</v>
      </c>
      <c r="F12" s="71" t="s">
        <v>169</v>
      </c>
      <c r="G12" s="52" t="s">
        <v>197</v>
      </c>
      <c r="H12" s="70">
        <v>2</v>
      </c>
      <c r="I12" s="70" t="s">
        <v>25</v>
      </c>
      <c r="J12" s="68"/>
    </row>
    <row r="13" spans="1:11" ht="59.25" customHeight="1" x14ac:dyDescent="0.25">
      <c r="A13" s="71" t="s">
        <v>87</v>
      </c>
      <c r="B13" s="69" t="s">
        <v>88</v>
      </c>
      <c r="C13" s="69" t="s">
        <v>88</v>
      </c>
      <c r="D13" s="71" t="s">
        <v>170</v>
      </c>
      <c r="E13" s="52" t="s">
        <v>212</v>
      </c>
      <c r="F13" s="71" t="s">
        <v>171</v>
      </c>
      <c r="G13" s="52" t="s">
        <v>213</v>
      </c>
      <c r="H13" s="70">
        <v>4</v>
      </c>
      <c r="I13" s="70" t="s">
        <v>26</v>
      </c>
      <c r="J13" s="68"/>
    </row>
    <row r="14" spans="1:11" ht="70.5" customHeight="1" x14ac:dyDescent="0.25">
      <c r="A14" s="71" t="s">
        <v>87</v>
      </c>
      <c r="B14" s="69" t="s">
        <v>88</v>
      </c>
      <c r="C14" s="69" t="s">
        <v>88</v>
      </c>
      <c r="D14" s="71" t="s">
        <v>172</v>
      </c>
      <c r="E14" s="52" t="s">
        <v>174</v>
      </c>
      <c r="F14" s="71" t="s">
        <v>173</v>
      </c>
      <c r="G14" s="52" t="s">
        <v>217</v>
      </c>
      <c r="H14" s="70">
        <v>4</v>
      </c>
      <c r="I14" s="70" t="s">
        <v>26</v>
      </c>
      <c r="J14" s="68"/>
    </row>
  </sheetData>
  <mergeCells count="4">
    <mergeCell ref="C1:J1"/>
    <mergeCell ref="C2:J2"/>
    <mergeCell ref="A1:B1"/>
    <mergeCell ref="A2:B2"/>
  </mergeCells>
  <phoneticPr fontId="23" type="noConversion"/>
  <pageMargins left="0.7" right="0.7" top="0.75" bottom="0.75" header="0.3" footer="0.3"/>
  <pageSetup paperSize="9" scale="76" fitToHeight="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19"/>
  <sheetViews>
    <sheetView zoomScale="71" zoomScaleNormal="71" workbookViewId="0">
      <selection activeCell="I1" sqref="I1"/>
    </sheetView>
  </sheetViews>
  <sheetFormatPr defaultRowHeight="15" x14ac:dyDescent="0.25"/>
  <cols>
    <col min="1" max="1" width="23.140625" style="1" bestFit="1" customWidth="1"/>
    <col min="2" max="2" width="10.42578125" style="1" customWidth="1"/>
    <col min="3" max="3" width="20.85546875" style="1" customWidth="1"/>
    <col min="4" max="4" width="46.140625" style="1" customWidth="1"/>
    <col min="5" max="5" width="30.140625" style="1" customWidth="1"/>
    <col min="6" max="6" width="51.140625" style="1" customWidth="1"/>
    <col min="7" max="7" width="9.140625" style="1" customWidth="1"/>
    <col min="8" max="8" width="11.5703125" style="1" customWidth="1"/>
    <col min="9" max="16384" width="9.140625" style="1"/>
  </cols>
  <sheetData>
    <row r="1" spans="1:7" ht="27.75" customHeight="1" x14ac:dyDescent="0.25">
      <c r="A1" s="109" t="s">
        <v>4</v>
      </c>
      <c r="B1" s="110"/>
      <c r="C1" s="111"/>
      <c r="D1" s="112" t="str">
        <f>Copertina!C7</f>
        <v>MEV-Integrazione SIES-ADN (PRE-GOLIVE)</v>
      </c>
      <c r="E1" s="112"/>
      <c r="F1" s="112"/>
      <c r="G1" s="112"/>
    </row>
    <row r="2" spans="1:7" ht="32.25" customHeight="1" thickBot="1" x14ac:dyDescent="0.3">
      <c r="A2" s="113" t="s">
        <v>12</v>
      </c>
      <c r="B2" s="114"/>
      <c r="C2" s="115"/>
      <c r="D2" s="112" t="str">
        <f>Copertina!C3</f>
        <v>SIUT-SIE-CT-1.1-20210531-Allegato_al_piano_test_MEV-Integrazione SIES-ADN (PRE-GOLIVE).xlsx</v>
      </c>
      <c r="E2" s="112"/>
      <c r="F2" s="112"/>
      <c r="G2" s="112"/>
    </row>
    <row r="3" spans="1:7" s="58" customFormat="1" ht="30.75" customHeight="1" x14ac:dyDescent="0.25">
      <c r="A3" s="72" t="s">
        <v>13</v>
      </c>
      <c r="B3" s="116" t="s">
        <v>28</v>
      </c>
      <c r="C3" s="117"/>
      <c r="D3" s="116" t="s">
        <v>30</v>
      </c>
      <c r="E3" s="117"/>
      <c r="F3" s="116" t="s">
        <v>29</v>
      </c>
      <c r="G3" s="117"/>
    </row>
    <row r="4" spans="1:7" s="41" customFormat="1" ht="58.5" customHeight="1" thickBot="1" x14ac:dyDescent="0.3">
      <c r="A4" s="57" t="str">
        <f>TabellaTest!F4</f>
        <v>TF001.UC01</v>
      </c>
      <c r="B4" s="131" t="str">
        <f>TabellaTest!C4</f>
        <v>REQ-SIC-003</v>
      </c>
      <c r="C4" s="132"/>
      <c r="D4" s="118" t="str">
        <f>TabellaTest!E4</f>
        <v>Verifica accesso al sistema SIES dopo associazione utenza ADN e SIES</v>
      </c>
      <c r="E4" s="133"/>
      <c r="F4" s="118" t="str">
        <f>TabellaTest!G4</f>
        <v>Verifica: verificare che l'utenza ADN venga associata all' utenza SIES e si acceda correttamente all'applicativo.</v>
      </c>
      <c r="G4" s="119"/>
    </row>
    <row r="5" spans="1:7" ht="30" x14ac:dyDescent="0.25">
      <c r="A5" s="127"/>
      <c r="B5" s="73" t="s">
        <v>34</v>
      </c>
      <c r="C5" s="74" t="s">
        <v>35</v>
      </c>
      <c r="D5" s="53" t="s">
        <v>36</v>
      </c>
      <c r="E5" s="53" t="s">
        <v>37</v>
      </c>
      <c r="F5" s="53" t="s">
        <v>38</v>
      </c>
      <c r="G5" s="54" t="s">
        <v>11</v>
      </c>
    </row>
    <row r="6" spans="1:7" ht="69.75" customHeight="1" x14ac:dyDescent="0.25">
      <c r="A6" s="125"/>
      <c r="B6" s="75" t="s">
        <v>39</v>
      </c>
      <c r="C6" s="76" t="s">
        <v>40</v>
      </c>
      <c r="D6" s="77" t="s">
        <v>97</v>
      </c>
      <c r="E6" s="77" t="s">
        <v>98</v>
      </c>
      <c r="F6" s="77" t="s">
        <v>99</v>
      </c>
      <c r="G6" s="55"/>
    </row>
    <row r="7" spans="1:7" ht="56.25" customHeight="1" x14ac:dyDescent="0.25">
      <c r="A7" s="125"/>
      <c r="B7" s="75" t="s">
        <v>39</v>
      </c>
      <c r="C7" s="76" t="s">
        <v>41</v>
      </c>
      <c r="D7" s="77" t="s">
        <v>100</v>
      </c>
      <c r="E7" s="77"/>
      <c r="F7" s="49"/>
      <c r="G7" s="55"/>
    </row>
    <row r="8" spans="1:7" ht="48" customHeight="1" x14ac:dyDescent="0.25">
      <c r="A8" s="125"/>
      <c r="B8" s="78" t="s">
        <v>101</v>
      </c>
      <c r="C8" s="79" t="s">
        <v>43</v>
      </c>
      <c r="D8" s="77" t="s">
        <v>145</v>
      </c>
      <c r="E8" s="80"/>
      <c r="F8" s="77" t="s">
        <v>102</v>
      </c>
      <c r="G8" s="55" t="s">
        <v>50</v>
      </c>
    </row>
    <row r="9" spans="1:7" ht="57" customHeight="1" x14ac:dyDescent="0.25">
      <c r="A9" s="125"/>
      <c r="B9" s="78" t="s">
        <v>103</v>
      </c>
      <c r="C9" s="79" t="s">
        <v>43</v>
      </c>
      <c r="D9" s="77" t="s">
        <v>125</v>
      </c>
      <c r="E9" s="49"/>
      <c r="F9" s="77" t="s">
        <v>146</v>
      </c>
      <c r="G9" s="55" t="s">
        <v>50</v>
      </c>
    </row>
    <row r="10" spans="1:7" ht="30.75" customHeight="1" x14ac:dyDescent="0.25">
      <c r="A10" s="125"/>
      <c r="B10" s="78" t="s">
        <v>104</v>
      </c>
      <c r="C10" s="79" t="s">
        <v>43</v>
      </c>
      <c r="D10" s="77" t="s">
        <v>126</v>
      </c>
      <c r="E10" s="77"/>
      <c r="F10" s="77"/>
      <c r="G10" s="55"/>
    </row>
    <row r="11" spans="1:7" ht="46.5" customHeight="1" thickBot="1" x14ac:dyDescent="0.3">
      <c r="A11" s="126"/>
      <c r="B11" s="81" t="s">
        <v>105</v>
      </c>
      <c r="C11" s="82" t="s">
        <v>106</v>
      </c>
      <c r="D11" s="83" t="s">
        <v>107</v>
      </c>
      <c r="E11" s="83"/>
      <c r="F11" s="83"/>
      <c r="G11" s="56" t="s">
        <v>50</v>
      </c>
    </row>
    <row r="12" spans="1:7" s="41" customFormat="1" ht="61.5" customHeight="1" thickBot="1" x14ac:dyDescent="0.3">
      <c r="A12" s="62" t="str">
        <f>TabellaTest!F5</f>
        <v>TF001.UC02</v>
      </c>
      <c r="B12" s="120" t="str">
        <f>TabellaTest!C5</f>
        <v>REQ-SIC-003</v>
      </c>
      <c r="C12" s="121"/>
      <c r="D12" s="122" t="str">
        <f>TabellaTest!E5</f>
        <v>Verifica configurazione utenza ADN e SIES</v>
      </c>
      <c r="E12" s="123"/>
      <c r="F12" s="122" t="str">
        <f>TabellaTest!G5</f>
        <v xml:space="preserve">Verifica: verificare che accedendo all'applicativo SIES tramite utenza ADN è possibile configurare più utenze SIES associate alla stessa utenza ADN </v>
      </c>
      <c r="G12" s="124"/>
    </row>
    <row r="13" spans="1:7" ht="30" x14ac:dyDescent="0.25">
      <c r="A13" s="60"/>
      <c r="B13" s="63" t="s">
        <v>34</v>
      </c>
      <c r="C13" s="64" t="s">
        <v>35</v>
      </c>
      <c r="D13" s="53" t="s">
        <v>36</v>
      </c>
      <c r="E13" s="53" t="s">
        <v>37</v>
      </c>
      <c r="F13" s="53" t="s">
        <v>38</v>
      </c>
      <c r="G13" s="54" t="s">
        <v>11</v>
      </c>
    </row>
    <row r="14" spans="1:7" ht="70.5" customHeight="1" x14ac:dyDescent="0.25">
      <c r="A14" s="60"/>
      <c r="B14" s="75" t="s">
        <v>39</v>
      </c>
      <c r="C14" s="76" t="s">
        <v>40</v>
      </c>
      <c r="D14" s="77" t="s">
        <v>97</v>
      </c>
      <c r="E14" s="77" t="s">
        <v>98</v>
      </c>
      <c r="F14" s="77" t="s">
        <v>99</v>
      </c>
      <c r="G14" s="55"/>
    </row>
    <row r="15" spans="1:7" ht="38.25" x14ac:dyDescent="0.25">
      <c r="A15" s="60"/>
      <c r="B15" s="75" t="s">
        <v>39</v>
      </c>
      <c r="C15" s="76" t="s">
        <v>41</v>
      </c>
      <c r="D15" s="77" t="s">
        <v>100</v>
      </c>
      <c r="E15" s="77"/>
      <c r="F15" s="49"/>
      <c r="G15" s="55"/>
    </row>
    <row r="16" spans="1:7" ht="55.5" customHeight="1" x14ac:dyDescent="0.25">
      <c r="A16" s="60"/>
      <c r="B16" s="78" t="s">
        <v>101</v>
      </c>
      <c r="C16" s="79" t="s">
        <v>43</v>
      </c>
      <c r="D16" s="77" t="s">
        <v>137</v>
      </c>
      <c r="E16" s="80"/>
      <c r="F16" s="77" t="s">
        <v>147</v>
      </c>
      <c r="G16" s="55" t="s">
        <v>50</v>
      </c>
    </row>
    <row r="17" spans="1:7" ht="45.75" customHeight="1" x14ac:dyDescent="0.25">
      <c r="A17" s="60"/>
      <c r="B17" s="78" t="s">
        <v>103</v>
      </c>
      <c r="C17" s="79" t="s">
        <v>43</v>
      </c>
      <c r="D17" s="77" t="s">
        <v>145</v>
      </c>
      <c r="E17" s="80"/>
      <c r="F17" s="77" t="s">
        <v>102</v>
      </c>
      <c r="G17" s="55" t="s">
        <v>50</v>
      </c>
    </row>
    <row r="18" spans="1:7" ht="69" customHeight="1" x14ac:dyDescent="0.25">
      <c r="A18" s="60"/>
      <c r="B18" s="78" t="s">
        <v>104</v>
      </c>
      <c r="C18" s="79" t="s">
        <v>43</v>
      </c>
      <c r="D18" s="77" t="s">
        <v>125</v>
      </c>
      <c r="E18" s="49"/>
      <c r="F18" s="77" t="s">
        <v>146</v>
      </c>
      <c r="G18" s="55" t="s">
        <v>50</v>
      </c>
    </row>
    <row r="19" spans="1:7" ht="43.5" customHeight="1" x14ac:dyDescent="0.25">
      <c r="A19" s="60"/>
      <c r="B19" s="78" t="s">
        <v>108</v>
      </c>
      <c r="C19" s="79" t="s">
        <v>43</v>
      </c>
      <c r="D19" s="77" t="s">
        <v>126</v>
      </c>
      <c r="E19" s="77"/>
      <c r="F19" s="77"/>
      <c r="G19" s="55"/>
    </row>
    <row r="20" spans="1:7" ht="48.75" customHeight="1" thickBot="1" x14ac:dyDescent="0.3">
      <c r="A20" s="61"/>
      <c r="B20" s="81" t="s">
        <v>105</v>
      </c>
      <c r="C20" s="82" t="s">
        <v>106</v>
      </c>
      <c r="D20" s="83" t="s">
        <v>107</v>
      </c>
      <c r="E20" s="83"/>
      <c r="F20" s="83"/>
      <c r="G20" s="56" t="s">
        <v>50</v>
      </c>
    </row>
    <row r="21" spans="1:7" s="41" customFormat="1" ht="54" customHeight="1" thickBot="1" x14ac:dyDescent="0.3">
      <c r="A21" s="62" t="str">
        <f>TabellaTest!F6</f>
        <v>TF002.UC03</v>
      </c>
      <c r="B21" s="120" t="str">
        <f>TabellaTest!C6</f>
        <v>REQ-SIC-003</v>
      </c>
      <c r="C21" s="121"/>
      <c r="D21" s="122" t="str">
        <f>TabellaTest!E6</f>
        <v>Verifica di avvenuto trasferimento di un titolo di classe 1 da SIES a NSC</v>
      </c>
      <c r="E21" s="123"/>
      <c r="F21" s="122" t="str">
        <f>TabellaTest!G6</f>
        <v>Verifica: verificare che venga trasferito correttamente un titolo di classe 1 dal sistema SIES al sistema NSC</v>
      </c>
      <c r="G21" s="124"/>
    </row>
    <row r="22" spans="1:7" ht="41.25" customHeight="1" x14ac:dyDescent="0.25">
      <c r="A22" s="59"/>
      <c r="B22" s="63" t="s">
        <v>34</v>
      </c>
      <c r="C22" s="64" t="s">
        <v>35</v>
      </c>
      <c r="D22" s="53" t="s">
        <v>36</v>
      </c>
      <c r="E22" s="53" t="s">
        <v>37</v>
      </c>
      <c r="F22" s="53" t="s">
        <v>38</v>
      </c>
      <c r="G22" s="54" t="s">
        <v>11</v>
      </c>
    </row>
    <row r="23" spans="1:7" ht="45.75" customHeight="1" x14ac:dyDescent="0.25">
      <c r="A23" s="60"/>
      <c r="B23" s="75" t="s">
        <v>39</v>
      </c>
      <c r="C23" s="76" t="s">
        <v>40</v>
      </c>
      <c r="D23" s="77" t="s">
        <v>109</v>
      </c>
      <c r="E23" s="77" t="s">
        <v>98</v>
      </c>
      <c r="F23" s="77" t="s">
        <v>99</v>
      </c>
      <c r="G23" s="55"/>
    </row>
    <row r="24" spans="1:7" ht="47.25" customHeight="1" x14ac:dyDescent="0.25">
      <c r="A24" s="60"/>
      <c r="B24" s="75" t="s">
        <v>39</v>
      </c>
      <c r="C24" s="76" t="s">
        <v>41</v>
      </c>
      <c r="D24" s="77" t="s">
        <v>100</v>
      </c>
      <c r="E24" s="77"/>
      <c r="F24" s="49"/>
      <c r="G24" s="55"/>
    </row>
    <row r="25" spans="1:7" ht="40.5" customHeight="1" x14ac:dyDescent="0.25">
      <c r="A25" s="60"/>
      <c r="B25" s="78" t="s">
        <v>101</v>
      </c>
      <c r="C25" s="79" t="s">
        <v>43</v>
      </c>
      <c r="D25" s="77" t="s">
        <v>138</v>
      </c>
      <c r="E25" s="80"/>
      <c r="F25" s="77" t="s">
        <v>148</v>
      </c>
      <c r="G25" s="55" t="s">
        <v>50</v>
      </c>
    </row>
    <row r="26" spans="1:7" ht="44.25" customHeight="1" x14ac:dyDescent="0.25">
      <c r="A26" s="60"/>
      <c r="B26" s="78" t="s">
        <v>103</v>
      </c>
      <c r="C26" s="79" t="s">
        <v>43</v>
      </c>
      <c r="D26" s="77" t="s">
        <v>127</v>
      </c>
      <c r="E26" s="80"/>
      <c r="F26" s="77"/>
      <c r="G26" s="55"/>
    </row>
    <row r="27" spans="1:7" ht="42.75" customHeight="1" x14ac:dyDescent="0.25">
      <c r="A27" s="60"/>
      <c r="B27" s="78" t="s">
        <v>104</v>
      </c>
      <c r="C27" s="79" t="s">
        <v>43</v>
      </c>
      <c r="D27" s="77" t="s">
        <v>111</v>
      </c>
      <c r="E27" s="77"/>
      <c r="F27" s="49"/>
      <c r="G27" s="55"/>
    </row>
    <row r="28" spans="1:7" ht="27.75" customHeight="1" x14ac:dyDescent="0.25">
      <c r="A28" s="60"/>
      <c r="B28" s="78" t="s">
        <v>108</v>
      </c>
      <c r="C28" s="79" t="s">
        <v>43</v>
      </c>
      <c r="D28" s="77" t="s">
        <v>139</v>
      </c>
      <c r="E28" s="80"/>
      <c r="F28" s="77" t="s">
        <v>128</v>
      </c>
      <c r="G28" s="55" t="s">
        <v>50</v>
      </c>
    </row>
    <row r="29" spans="1:7" ht="45.75" customHeight="1" x14ac:dyDescent="0.25">
      <c r="A29" s="60"/>
      <c r="B29" s="78" t="s">
        <v>112</v>
      </c>
      <c r="C29" s="79" t="s">
        <v>43</v>
      </c>
      <c r="D29" s="77" t="s">
        <v>140</v>
      </c>
      <c r="E29" s="80"/>
      <c r="F29" s="77" t="s">
        <v>113</v>
      </c>
      <c r="G29" s="55" t="s">
        <v>50</v>
      </c>
    </row>
    <row r="30" spans="1:7" ht="46.5" customHeight="1" x14ac:dyDescent="0.25">
      <c r="A30" s="60"/>
      <c r="B30" s="78" t="s">
        <v>114</v>
      </c>
      <c r="C30" s="79" t="s">
        <v>43</v>
      </c>
      <c r="D30" s="77" t="s">
        <v>129</v>
      </c>
      <c r="E30" s="80"/>
      <c r="F30" s="77"/>
      <c r="G30" s="55"/>
    </row>
    <row r="31" spans="1:7" ht="51.75" customHeight="1" thickBot="1" x14ac:dyDescent="0.3">
      <c r="A31" s="61"/>
      <c r="B31" s="81" t="s">
        <v>105</v>
      </c>
      <c r="C31" s="82" t="s">
        <v>106</v>
      </c>
      <c r="D31" s="83" t="s">
        <v>115</v>
      </c>
      <c r="E31" s="84"/>
      <c r="F31" s="83"/>
      <c r="G31" s="56" t="s">
        <v>50</v>
      </c>
    </row>
    <row r="32" spans="1:7" s="41" customFormat="1" ht="57.75" customHeight="1" thickBot="1" x14ac:dyDescent="0.3">
      <c r="A32" s="62" t="str">
        <f>TabellaTest!F7</f>
        <v>TF001.UC04</v>
      </c>
      <c r="B32" s="120" t="str">
        <f>TabellaTest!C7</f>
        <v>REQ-SIC-003</v>
      </c>
      <c r="C32" s="121"/>
      <c r="D32" s="122" t="str">
        <f>TabellaTest!E7</f>
        <v>Verifica di avvenuto trasferimento di un foglio complementare da SIES a NSC</v>
      </c>
      <c r="E32" s="123"/>
      <c r="F32" s="122" t="str">
        <f>TabellaTest!G7</f>
        <v>Verifica: verificare che venga trasferito correttamente un foglio complementare dal sistema SIES al sistema NSC</v>
      </c>
      <c r="G32" s="124"/>
    </row>
    <row r="33" spans="1:7" ht="30" x14ac:dyDescent="0.25">
      <c r="A33" s="128"/>
      <c r="B33" s="65" t="s">
        <v>34</v>
      </c>
      <c r="C33" s="66" t="s">
        <v>35</v>
      </c>
      <c r="D33" s="66" t="s">
        <v>36</v>
      </c>
      <c r="E33" s="66" t="s">
        <v>37</v>
      </c>
      <c r="F33" s="66" t="s">
        <v>38</v>
      </c>
      <c r="G33" s="67" t="s">
        <v>11</v>
      </c>
    </row>
    <row r="34" spans="1:7" ht="44.25" customHeight="1" x14ac:dyDescent="0.25">
      <c r="A34" s="129"/>
      <c r="B34" s="75" t="s">
        <v>39</v>
      </c>
      <c r="C34" s="76" t="s">
        <v>40</v>
      </c>
      <c r="D34" s="77" t="s">
        <v>109</v>
      </c>
      <c r="E34" s="77" t="s">
        <v>98</v>
      </c>
      <c r="F34" s="77" t="s">
        <v>99</v>
      </c>
      <c r="G34" s="55"/>
    </row>
    <row r="35" spans="1:7" ht="48.75" customHeight="1" x14ac:dyDescent="0.25">
      <c r="A35" s="129"/>
      <c r="B35" s="75" t="s">
        <v>39</v>
      </c>
      <c r="C35" s="76" t="s">
        <v>41</v>
      </c>
      <c r="D35" s="77" t="s">
        <v>100</v>
      </c>
      <c r="E35" s="77"/>
      <c r="F35" s="49"/>
      <c r="G35" s="55"/>
    </row>
    <row r="36" spans="1:7" ht="49.5" customHeight="1" x14ac:dyDescent="0.25">
      <c r="A36" s="129"/>
      <c r="B36" s="78" t="s">
        <v>101</v>
      </c>
      <c r="C36" s="79" t="s">
        <v>43</v>
      </c>
      <c r="D36" s="77" t="s">
        <v>116</v>
      </c>
      <c r="E36" s="80"/>
      <c r="F36" s="77" t="s">
        <v>149</v>
      </c>
      <c r="G36" s="55" t="s">
        <v>50</v>
      </c>
    </row>
    <row r="37" spans="1:7" ht="36" customHeight="1" x14ac:dyDescent="0.25">
      <c r="A37" s="129"/>
      <c r="B37" s="78" t="s">
        <v>103</v>
      </c>
      <c r="C37" s="79" t="s">
        <v>43</v>
      </c>
      <c r="D37" s="77" t="s">
        <v>127</v>
      </c>
      <c r="E37" s="80"/>
      <c r="F37" s="77"/>
      <c r="G37" s="55"/>
    </row>
    <row r="38" spans="1:7" ht="51" customHeight="1" x14ac:dyDescent="0.25">
      <c r="A38" s="129"/>
      <c r="B38" s="78" t="s">
        <v>104</v>
      </c>
      <c r="C38" s="79" t="s">
        <v>43</v>
      </c>
      <c r="D38" s="77" t="s">
        <v>117</v>
      </c>
      <c r="E38" s="77"/>
      <c r="F38" s="49"/>
      <c r="G38" s="55"/>
    </row>
    <row r="39" spans="1:7" ht="43.5" customHeight="1" x14ac:dyDescent="0.25">
      <c r="A39" s="129"/>
      <c r="B39" s="85">
        <v>4</v>
      </c>
      <c r="C39" s="86" t="s">
        <v>42</v>
      </c>
      <c r="D39" s="87" t="s">
        <v>118</v>
      </c>
      <c r="E39" s="80"/>
      <c r="F39" s="77" t="s">
        <v>130</v>
      </c>
      <c r="G39" s="55" t="s">
        <v>50</v>
      </c>
    </row>
    <row r="40" spans="1:7" ht="38.25" customHeight="1" x14ac:dyDescent="0.25">
      <c r="A40" s="129"/>
      <c r="B40" s="78" t="s">
        <v>112</v>
      </c>
      <c r="C40" s="79" t="s">
        <v>43</v>
      </c>
      <c r="D40" s="77" t="s">
        <v>141</v>
      </c>
      <c r="E40" s="80"/>
      <c r="F40" s="77" t="s">
        <v>128</v>
      </c>
      <c r="G40" s="55" t="s">
        <v>50</v>
      </c>
    </row>
    <row r="41" spans="1:7" ht="54" customHeight="1" x14ac:dyDescent="0.25">
      <c r="A41" s="129"/>
      <c r="B41" s="78" t="s">
        <v>114</v>
      </c>
      <c r="C41" s="79" t="s">
        <v>43</v>
      </c>
      <c r="D41" s="77" t="s">
        <v>131</v>
      </c>
      <c r="E41" s="80"/>
      <c r="F41" s="77" t="s">
        <v>132</v>
      </c>
      <c r="G41" s="55" t="s">
        <v>50</v>
      </c>
    </row>
    <row r="42" spans="1:7" ht="40.5" customHeight="1" x14ac:dyDescent="0.25">
      <c r="A42" s="129"/>
      <c r="B42" s="78" t="s">
        <v>119</v>
      </c>
      <c r="C42" s="79" t="s">
        <v>43</v>
      </c>
      <c r="D42" s="77" t="s">
        <v>120</v>
      </c>
      <c r="E42" s="80"/>
      <c r="F42" s="77" t="s">
        <v>133</v>
      </c>
      <c r="G42" s="55" t="s">
        <v>50</v>
      </c>
    </row>
    <row r="43" spans="1:7" ht="41.25" customHeight="1" x14ac:dyDescent="0.25">
      <c r="A43" s="129"/>
      <c r="B43" s="78" t="s">
        <v>121</v>
      </c>
      <c r="C43" s="79" t="s">
        <v>43</v>
      </c>
      <c r="D43" s="77" t="s">
        <v>134</v>
      </c>
      <c r="E43" s="80"/>
      <c r="F43" s="77"/>
      <c r="G43" s="55"/>
    </row>
    <row r="44" spans="1:7" ht="63" customHeight="1" thickBot="1" x14ac:dyDescent="0.3">
      <c r="A44" s="130"/>
      <c r="B44" s="81" t="s">
        <v>105</v>
      </c>
      <c r="C44" s="82" t="s">
        <v>106</v>
      </c>
      <c r="D44" s="83" t="s">
        <v>122</v>
      </c>
      <c r="E44" s="84"/>
      <c r="F44" s="83"/>
      <c r="G44" s="56" t="s">
        <v>50</v>
      </c>
    </row>
    <row r="45" spans="1:7" s="41" customFormat="1" ht="56.25" customHeight="1" thickBot="1" x14ac:dyDescent="0.3">
      <c r="A45" s="62" t="str">
        <f>TabellaTest!F8</f>
        <v>TF002.UC05</v>
      </c>
      <c r="B45" s="120" t="str">
        <f>TabellaTest!C8</f>
        <v>REQ-SIC-003</v>
      </c>
      <c r="C45" s="121"/>
      <c r="D45" s="122" t="str">
        <f>TabellaTest!E8</f>
        <v>Verifica accesso al modulo web di interconnessione SIES-NSC</v>
      </c>
      <c r="E45" s="123"/>
      <c r="F45" s="122" t="str">
        <f>TabellaTest!G8</f>
        <v>Verifica: verificare che l'accesso al modulo web di interconnessione SIES-NSC avvenga correttamente</v>
      </c>
      <c r="G45" s="124"/>
    </row>
    <row r="46" spans="1:7" ht="30" x14ac:dyDescent="0.25">
      <c r="A46" s="125"/>
      <c r="B46" s="63" t="s">
        <v>34</v>
      </c>
      <c r="C46" s="64" t="s">
        <v>35</v>
      </c>
      <c r="D46" s="53" t="s">
        <v>36</v>
      </c>
      <c r="E46" s="53" t="s">
        <v>37</v>
      </c>
      <c r="F46" s="53" t="s">
        <v>38</v>
      </c>
      <c r="G46" s="54" t="s">
        <v>11</v>
      </c>
    </row>
    <row r="47" spans="1:7" ht="49.5" customHeight="1" x14ac:dyDescent="0.25">
      <c r="A47" s="125"/>
      <c r="B47" s="75" t="s">
        <v>39</v>
      </c>
      <c r="C47" s="76" t="s">
        <v>40</v>
      </c>
      <c r="D47" s="77" t="s">
        <v>109</v>
      </c>
      <c r="E47" s="77" t="s">
        <v>98</v>
      </c>
      <c r="F47" s="77" t="s">
        <v>99</v>
      </c>
      <c r="G47" s="55"/>
    </row>
    <row r="48" spans="1:7" ht="42.75" customHeight="1" x14ac:dyDescent="0.25">
      <c r="A48" s="125"/>
      <c r="B48" s="75" t="s">
        <v>39</v>
      </c>
      <c r="C48" s="76" t="s">
        <v>41</v>
      </c>
      <c r="D48" s="77" t="s">
        <v>100</v>
      </c>
      <c r="E48" s="77"/>
      <c r="F48" s="49"/>
      <c r="G48" s="55"/>
    </row>
    <row r="49" spans="1:7" ht="45.75" customHeight="1" x14ac:dyDescent="0.25">
      <c r="A49" s="125"/>
      <c r="B49" s="78" t="s">
        <v>101</v>
      </c>
      <c r="C49" s="79" t="s">
        <v>43</v>
      </c>
      <c r="D49" s="77" t="s">
        <v>110</v>
      </c>
      <c r="E49" s="80"/>
      <c r="F49" s="77" t="s">
        <v>148</v>
      </c>
      <c r="G49" s="55" t="s">
        <v>50</v>
      </c>
    </row>
    <row r="50" spans="1:7" ht="33.75" customHeight="1" x14ac:dyDescent="0.25">
      <c r="A50" s="125"/>
      <c r="B50" s="78" t="s">
        <v>103</v>
      </c>
      <c r="C50" s="79" t="s">
        <v>43</v>
      </c>
      <c r="D50" s="77" t="s">
        <v>127</v>
      </c>
      <c r="E50" s="80"/>
      <c r="F50" s="77"/>
      <c r="G50" s="55"/>
    </row>
    <row r="51" spans="1:7" ht="36.75" customHeight="1" x14ac:dyDescent="0.25">
      <c r="A51" s="125"/>
      <c r="B51" s="78" t="s">
        <v>104</v>
      </c>
      <c r="C51" s="79" t="s">
        <v>43</v>
      </c>
      <c r="D51" s="77" t="s">
        <v>111</v>
      </c>
      <c r="E51" s="77"/>
      <c r="F51" s="49"/>
      <c r="G51" s="55"/>
    </row>
    <row r="52" spans="1:7" ht="37.5" customHeight="1" x14ac:dyDescent="0.25">
      <c r="A52" s="125"/>
      <c r="B52" s="85">
        <v>4</v>
      </c>
      <c r="C52" s="86" t="s">
        <v>42</v>
      </c>
      <c r="D52" s="87" t="s">
        <v>123</v>
      </c>
      <c r="E52" s="80"/>
      <c r="F52" s="77" t="s">
        <v>135</v>
      </c>
      <c r="G52" s="55" t="s">
        <v>50</v>
      </c>
    </row>
    <row r="53" spans="1:7" ht="36" customHeight="1" x14ac:dyDescent="0.25">
      <c r="A53" s="125"/>
      <c r="B53" s="78" t="s">
        <v>112</v>
      </c>
      <c r="C53" s="79" t="s">
        <v>43</v>
      </c>
      <c r="D53" s="77" t="s">
        <v>142</v>
      </c>
      <c r="E53" s="80"/>
      <c r="F53" s="77"/>
      <c r="G53" s="55"/>
    </row>
    <row r="54" spans="1:7" ht="45" customHeight="1" thickBot="1" x14ac:dyDescent="0.3">
      <c r="A54" s="126"/>
      <c r="B54" s="81" t="s">
        <v>105</v>
      </c>
      <c r="C54" s="82" t="s">
        <v>106</v>
      </c>
      <c r="D54" s="83" t="s">
        <v>124</v>
      </c>
      <c r="E54" s="84"/>
      <c r="F54" s="83"/>
      <c r="G54" s="56" t="s">
        <v>50</v>
      </c>
    </row>
    <row r="55" spans="1:7" s="41" customFormat="1" ht="66.75" customHeight="1" thickBot="1" x14ac:dyDescent="0.3">
      <c r="A55" s="62" t="str">
        <f>TabellaTest!F9</f>
        <v>TF001.UC06</v>
      </c>
      <c r="B55" s="134" t="str">
        <f>TabellaTest!C9</f>
        <v>REQ-SIC-003</v>
      </c>
      <c r="C55" s="121"/>
      <c r="D55" s="122" t="str">
        <f>TabellaTest!E9</f>
        <v>Verifica configurazione utenza ADN e SIES con utenza/password errate</v>
      </c>
      <c r="E55" s="123"/>
      <c r="F55" s="122" t="str">
        <f>TabellaTest!G9</f>
        <v>Verifica: verificare il comportamento del sistema dopo accesso tramite utenza ADN quando sia prova a configurare un'utenza/password SIES errate</v>
      </c>
      <c r="G55" s="124"/>
    </row>
    <row r="56" spans="1:7" ht="30" x14ac:dyDescent="0.25">
      <c r="A56" s="88"/>
      <c r="B56" s="63" t="s">
        <v>34</v>
      </c>
      <c r="C56" s="64" t="s">
        <v>35</v>
      </c>
      <c r="D56" s="53" t="s">
        <v>36</v>
      </c>
      <c r="E56" s="53" t="s">
        <v>37</v>
      </c>
      <c r="F56" s="53" t="s">
        <v>38</v>
      </c>
      <c r="G56" s="54" t="s">
        <v>11</v>
      </c>
    </row>
    <row r="57" spans="1:7" ht="70.5" customHeight="1" x14ac:dyDescent="0.25">
      <c r="A57" s="88"/>
      <c r="B57" s="75" t="s">
        <v>39</v>
      </c>
      <c r="C57" s="76" t="s">
        <v>40</v>
      </c>
      <c r="D57" s="77" t="s">
        <v>97</v>
      </c>
      <c r="E57" s="77" t="s">
        <v>98</v>
      </c>
      <c r="F57" s="77" t="s">
        <v>99</v>
      </c>
      <c r="G57" s="55"/>
    </row>
    <row r="58" spans="1:7" ht="38.25" x14ac:dyDescent="0.25">
      <c r="A58" s="88"/>
      <c r="B58" s="75" t="s">
        <v>39</v>
      </c>
      <c r="C58" s="76" t="s">
        <v>41</v>
      </c>
      <c r="D58" s="77" t="s">
        <v>100</v>
      </c>
      <c r="E58" s="77"/>
      <c r="F58" s="49"/>
      <c r="G58" s="55"/>
    </row>
    <row r="59" spans="1:7" ht="55.5" customHeight="1" x14ac:dyDescent="0.25">
      <c r="A59" s="88"/>
      <c r="B59" s="78" t="s">
        <v>101</v>
      </c>
      <c r="C59" s="79" t="s">
        <v>43</v>
      </c>
      <c r="D59" s="77" t="s">
        <v>137</v>
      </c>
      <c r="E59" s="80"/>
      <c r="F59" s="77" t="s">
        <v>147</v>
      </c>
      <c r="G59" s="55" t="s">
        <v>50</v>
      </c>
    </row>
    <row r="60" spans="1:7" ht="45.75" customHeight="1" x14ac:dyDescent="0.25">
      <c r="A60" s="88"/>
      <c r="B60" s="78" t="s">
        <v>103</v>
      </c>
      <c r="C60" s="79" t="s">
        <v>43</v>
      </c>
      <c r="D60" s="77" t="s">
        <v>145</v>
      </c>
      <c r="E60" s="80"/>
      <c r="F60" s="77" t="s">
        <v>102</v>
      </c>
      <c r="G60" s="55" t="s">
        <v>50</v>
      </c>
    </row>
    <row r="61" spans="1:7" ht="69" customHeight="1" x14ac:dyDescent="0.25">
      <c r="A61" s="88"/>
      <c r="B61" s="78" t="s">
        <v>104</v>
      </c>
      <c r="C61" s="79" t="s">
        <v>43</v>
      </c>
      <c r="D61" s="77" t="s">
        <v>162</v>
      </c>
      <c r="E61" s="49"/>
      <c r="F61" s="77" t="s">
        <v>161</v>
      </c>
      <c r="G61" s="55" t="s">
        <v>50</v>
      </c>
    </row>
    <row r="62" spans="1:7" ht="72" customHeight="1" thickBot="1" x14ac:dyDescent="0.3">
      <c r="A62" s="89"/>
      <c r="B62" s="81" t="s">
        <v>105</v>
      </c>
      <c r="C62" s="82" t="s">
        <v>106</v>
      </c>
      <c r="D62" s="83" t="s">
        <v>163</v>
      </c>
      <c r="E62" s="83"/>
      <c r="F62" s="83"/>
      <c r="G62" s="56" t="s">
        <v>50</v>
      </c>
    </row>
    <row r="63" spans="1:7" s="41" customFormat="1" ht="60" customHeight="1" thickBot="1" x14ac:dyDescent="0.3">
      <c r="A63" s="62" t="str">
        <f>TabellaTest!F10</f>
        <v>TF001.UC07</v>
      </c>
      <c r="B63" s="134" t="str">
        <f>TabellaTest!C10</f>
        <v>REQ-SIC-003</v>
      </c>
      <c r="C63" s="121"/>
      <c r="D63" s="122" t="str">
        <f>TabellaTest!E10</f>
        <v>Verifica configurazione utenza ADN e SIES con utenza non valida</v>
      </c>
      <c r="E63" s="123"/>
      <c r="F63" s="122" t="str">
        <f>TabellaTest!G10</f>
        <v>Verifica: verificare il comportamento del sistema dopo accesso tramite utenza ADN quando sia prova a configurare un'utenza disabilitata</v>
      </c>
      <c r="G63" s="124"/>
    </row>
    <row r="64" spans="1:7" ht="30" x14ac:dyDescent="0.25">
      <c r="A64" s="88"/>
      <c r="B64" s="63" t="s">
        <v>34</v>
      </c>
      <c r="C64" s="64" t="s">
        <v>35</v>
      </c>
      <c r="D64" s="53" t="s">
        <v>36</v>
      </c>
      <c r="E64" s="53" t="s">
        <v>37</v>
      </c>
      <c r="F64" s="53" t="s">
        <v>38</v>
      </c>
      <c r="G64" s="54" t="s">
        <v>11</v>
      </c>
    </row>
    <row r="65" spans="1:7" ht="70.5" customHeight="1" x14ac:dyDescent="0.25">
      <c r="A65" s="88"/>
      <c r="B65" s="75" t="s">
        <v>39</v>
      </c>
      <c r="C65" s="76" t="s">
        <v>40</v>
      </c>
      <c r="D65" s="77" t="s">
        <v>97</v>
      </c>
      <c r="E65" s="77" t="s">
        <v>98</v>
      </c>
      <c r="F65" s="77" t="s">
        <v>99</v>
      </c>
      <c r="G65" s="55"/>
    </row>
    <row r="66" spans="1:7" ht="38.25" x14ac:dyDescent="0.25">
      <c r="A66" s="88"/>
      <c r="B66" s="75" t="s">
        <v>39</v>
      </c>
      <c r="C66" s="76" t="s">
        <v>41</v>
      </c>
      <c r="D66" s="77" t="s">
        <v>100</v>
      </c>
      <c r="E66" s="77"/>
      <c r="F66" s="49"/>
      <c r="G66" s="55"/>
    </row>
    <row r="67" spans="1:7" ht="55.5" customHeight="1" x14ac:dyDescent="0.25">
      <c r="A67" s="88"/>
      <c r="B67" s="78" t="s">
        <v>101</v>
      </c>
      <c r="C67" s="79" t="s">
        <v>43</v>
      </c>
      <c r="D67" s="77" t="s">
        <v>137</v>
      </c>
      <c r="E67" s="80"/>
      <c r="F67" s="77" t="s">
        <v>147</v>
      </c>
      <c r="G67" s="55" t="s">
        <v>50</v>
      </c>
    </row>
    <row r="68" spans="1:7" ht="45.75" customHeight="1" x14ac:dyDescent="0.25">
      <c r="A68" s="88"/>
      <c r="B68" s="78" t="s">
        <v>103</v>
      </c>
      <c r="C68" s="79" t="s">
        <v>43</v>
      </c>
      <c r="D68" s="77" t="s">
        <v>145</v>
      </c>
      <c r="E68" s="80"/>
      <c r="F68" s="77" t="s">
        <v>102</v>
      </c>
      <c r="G68" s="55" t="s">
        <v>50</v>
      </c>
    </row>
    <row r="69" spans="1:7" ht="69" customHeight="1" x14ac:dyDescent="0.25">
      <c r="A69" s="88"/>
      <c r="B69" s="78" t="s">
        <v>104</v>
      </c>
      <c r="C69" s="79" t="s">
        <v>43</v>
      </c>
      <c r="D69" s="77" t="s">
        <v>164</v>
      </c>
      <c r="E69" s="49"/>
      <c r="F69" s="77" t="s">
        <v>165</v>
      </c>
      <c r="G69" s="55" t="s">
        <v>50</v>
      </c>
    </row>
    <row r="70" spans="1:7" ht="48.75" customHeight="1" thickBot="1" x14ac:dyDescent="0.3">
      <c r="A70" s="89"/>
      <c r="B70" s="81" t="s">
        <v>105</v>
      </c>
      <c r="C70" s="82" t="s">
        <v>106</v>
      </c>
      <c r="D70" s="93" t="s">
        <v>166</v>
      </c>
      <c r="E70" s="83"/>
      <c r="F70" s="83"/>
      <c r="G70" s="56" t="s">
        <v>50</v>
      </c>
    </row>
    <row r="71" spans="1:7" s="41" customFormat="1" ht="61.5" customHeight="1" thickBot="1" x14ac:dyDescent="0.3">
      <c r="A71" s="62" t="str">
        <f>TabellaTest!F11</f>
        <v>TF001.UC08</v>
      </c>
      <c r="B71" s="134" t="str">
        <f>TabellaTest!C11</f>
        <v>REQ-SIC-003</v>
      </c>
      <c r="C71" s="140"/>
      <c r="D71" s="141" t="str">
        <f>TabellaTest!E11</f>
        <v>Verifica creazione nuova utenza SIES</v>
      </c>
      <c r="E71" s="142"/>
      <c r="F71" s="141" t="str">
        <f>TabellaTest!G11</f>
        <v>Verifica: Verificare che nel caso sia stata creata una nuova utenza SIES l'utente ADN possa associarla correttamente.</v>
      </c>
      <c r="G71" s="143"/>
    </row>
    <row r="72" spans="1:7" ht="30" x14ac:dyDescent="0.25">
      <c r="A72" s="90"/>
      <c r="B72" s="63" t="s">
        <v>34</v>
      </c>
      <c r="C72" s="64" t="s">
        <v>35</v>
      </c>
      <c r="D72" s="53" t="s">
        <v>36</v>
      </c>
      <c r="E72" s="53" t="s">
        <v>37</v>
      </c>
      <c r="F72" s="53" t="s">
        <v>38</v>
      </c>
      <c r="G72" s="54" t="s">
        <v>11</v>
      </c>
    </row>
    <row r="73" spans="1:7" ht="82.5" customHeight="1" x14ac:dyDescent="0.25">
      <c r="A73" s="90"/>
      <c r="B73" s="75" t="s">
        <v>39</v>
      </c>
      <c r="C73" s="76" t="s">
        <v>40</v>
      </c>
      <c r="D73" s="77" t="s">
        <v>181</v>
      </c>
      <c r="E73" s="77" t="s">
        <v>98</v>
      </c>
      <c r="F73" s="77" t="s">
        <v>99</v>
      </c>
      <c r="G73" s="55"/>
    </row>
    <row r="74" spans="1:7" ht="51.75" customHeight="1" x14ac:dyDescent="0.25">
      <c r="A74" s="90"/>
      <c r="B74" s="75" t="s">
        <v>39</v>
      </c>
      <c r="C74" s="76" t="s">
        <v>41</v>
      </c>
      <c r="D74" s="77" t="s">
        <v>100</v>
      </c>
      <c r="E74" s="77"/>
      <c r="F74" s="49"/>
      <c r="G74" s="55"/>
    </row>
    <row r="75" spans="1:7" ht="55.5" customHeight="1" x14ac:dyDescent="0.25">
      <c r="A75" s="90"/>
      <c r="B75" s="78" t="s">
        <v>101</v>
      </c>
      <c r="C75" s="79" t="s">
        <v>43</v>
      </c>
      <c r="D75" s="77" t="s">
        <v>190</v>
      </c>
      <c r="E75" s="80"/>
      <c r="F75" s="77" t="s">
        <v>182</v>
      </c>
      <c r="G75" s="55" t="s">
        <v>50</v>
      </c>
    </row>
    <row r="76" spans="1:7" ht="45.75" customHeight="1" x14ac:dyDescent="0.25">
      <c r="A76" s="90"/>
      <c r="B76" s="78" t="s">
        <v>103</v>
      </c>
      <c r="C76" s="79" t="s">
        <v>43</v>
      </c>
      <c r="D76" s="77" t="s">
        <v>145</v>
      </c>
      <c r="E76" s="80"/>
      <c r="F76" s="77" t="s">
        <v>102</v>
      </c>
      <c r="G76" s="55" t="s">
        <v>50</v>
      </c>
    </row>
    <row r="77" spans="1:7" ht="69" customHeight="1" x14ac:dyDescent="0.25">
      <c r="A77" s="90"/>
      <c r="B77" s="78" t="s">
        <v>104</v>
      </c>
      <c r="C77" s="79" t="s">
        <v>43</v>
      </c>
      <c r="D77" s="77" t="s">
        <v>176</v>
      </c>
      <c r="E77" s="49"/>
      <c r="F77" s="77" t="s">
        <v>177</v>
      </c>
      <c r="G77" s="55" t="s">
        <v>50</v>
      </c>
    </row>
    <row r="78" spans="1:7" ht="48" customHeight="1" x14ac:dyDescent="0.25">
      <c r="A78" s="90"/>
      <c r="B78" s="78" t="s">
        <v>108</v>
      </c>
      <c r="C78" s="79" t="s">
        <v>43</v>
      </c>
      <c r="D78" s="77" t="s">
        <v>178</v>
      </c>
      <c r="E78" s="49"/>
      <c r="F78" s="77" t="s">
        <v>199</v>
      </c>
      <c r="G78" s="55" t="s">
        <v>50</v>
      </c>
    </row>
    <row r="79" spans="1:7" ht="48" customHeight="1" x14ac:dyDescent="0.25">
      <c r="A79" s="101"/>
      <c r="B79" s="78" t="s">
        <v>112</v>
      </c>
      <c r="C79" s="79" t="s">
        <v>43</v>
      </c>
      <c r="D79" s="77" t="s">
        <v>201</v>
      </c>
      <c r="E79" s="49"/>
      <c r="F79" s="77" t="s">
        <v>200</v>
      </c>
      <c r="G79" s="55" t="s">
        <v>50</v>
      </c>
    </row>
    <row r="80" spans="1:7" ht="43.5" customHeight="1" x14ac:dyDescent="0.25">
      <c r="A80" s="90"/>
      <c r="B80" s="78" t="s">
        <v>114</v>
      </c>
      <c r="C80" s="79" t="s">
        <v>43</v>
      </c>
      <c r="D80" s="77" t="s">
        <v>179</v>
      </c>
      <c r="E80" s="77"/>
      <c r="F80" s="77"/>
      <c r="G80" s="55"/>
    </row>
    <row r="81" spans="1:7" ht="48.75" customHeight="1" thickBot="1" x14ac:dyDescent="0.3">
      <c r="A81" s="91"/>
      <c r="B81" s="81" t="s">
        <v>105</v>
      </c>
      <c r="C81" s="82" t="s">
        <v>106</v>
      </c>
      <c r="D81" s="83" t="s">
        <v>202</v>
      </c>
      <c r="E81" s="83"/>
      <c r="F81" s="83"/>
      <c r="G81" s="56" t="s">
        <v>50</v>
      </c>
    </row>
    <row r="82" spans="1:7" ht="54.75" customHeight="1" thickBot="1" x14ac:dyDescent="0.3">
      <c r="A82" s="62" t="str">
        <f>TabellaTest!F12</f>
        <v>TF001.UC09</v>
      </c>
      <c r="B82" s="144" t="str">
        <f>TabellaTest!C12</f>
        <v>REQ-SIC-003</v>
      </c>
      <c r="C82" s="145"/>
      <c r="D82" s="146" t="str">
        <f>TabellaTest!E12</f>
        <v>Verifica modifica utenza SIES</v>
      </c>
      <c r="E82" s="147"/>
      <c r="F82" s="146" t="str">
        <f>TabellaTest!G12</f>
        <v>Verifica: Verificare che nel caso sia stata modificata una utenza SIES l'accesso sia congruente alla modifica effettuata.</v>
      </c>
      <c r="G82" s="148"/>
    </row>
    <row r="83" spans="1:7" ht="82.5" customHeight="1" x14ac:dyDescent="0.25">
      <c r="A83" s="128"/>
      <c r="B83" s="96" t="s">
        <v>39</v>
      </c>
      <c r="C83" s="97" t="s">
        <v>40</v>
      </c>
      <c r="D83" s="98" t="s">
        <v>97</v>
      </c>
      <c r="E83" s="98" t="s">
        <v>98</v>
      </c>
      <c r="F83" s="98" t="s">
        <v>99</v>
      </c>
      <c r="G83" s="100"/>
    </row>
    <row r="84" spans="1:7" ht="51.75" customHeight="1" x14ac:dyDescent="0.25">
      <c r="A84" s="129"/>
      <c r="B84" s="75" t="s">
        <v>39</v>
      </c>
      <c r="C84" s="76" t="s">
        <v>41</v>
      </c>
      <c r="D84" s="77" t="s">
        <v>100</v>
      </c>
      <c r="E84" s="77"/>
      <c r="F84" s="49"/>
      <c r="G84" s="55"/>
    </row>
    <row r="85" spans="1:7" ht="55.5" customHeight="1" x14ac:dyDescent="0.25">
      <c r="A85" s="129"/>
      <c r="B85" s="78" t="s">
        <v>101</v>
      </c>
      <c r="C85" s="79" t="s">
        <v>43</v>
      </c>
      <c r="D85" s="77" t="s">
        <v>137</v>
      </c>
      <c r="E85" s="80"/>
      <c r="F85" s="77" t="s">
        <v>147</v>
      </c>
      <c r="G85" s="55" t="s">
        <v>50</v>
      </c>
    </row>
    <row r="86" spans="1:7" ht="45.75" customHeight="1" x14ac:dyDescent="0.25">
      <c r="A86" s="129"/>
      <c r="B86" s="78" t="s">
        <v>103</v>
      </c>
      <c r="C86" s="79" t="s">
        <v>43</v>
      </c>
      <c r="D86" s="77" t="s">
        <v>189</v>
      </c>
      <c r="E86" s="80"/>
      <c r="F86" s="77"/>
      <c r="G86" s="55" t="s">
        <v>50</v>
      </c>
    </row>
    <row r="87" spans="1:7" ht="66.75" customHeight="1" x14ac:dyDescent="0.25">
      <c r="A87" s="129"/>
      <c r="B87" s="99" t="s">
        <v>105</v>
      </c>
      <c r="C87" s="94" t="s">
        <v>106</v>
      </c>
      <c r="D87" s="77" t="s">
        <v>188</v>
      </c>
      <c r="E87" s="77"/>
      <c r="F87" s="77"/>
      <c r="G87" s="55" t="s">
        <v>50</v>
      </c>
    </row>
    <row r="88" spans="1:7" ht="48" customHeight="1" x14ac:dyDescent="0.25">
      <c r="A88" s="129"/>
      <c r="B88" s="78" t="s">
        <v>104</v>
      </c>
      <c r="C88" s="79" t="s">
        <v>43</v>
      </c>
      <c r="D88" s="77" t="s">
        <v>203</v>
      </c>
      <c r="E88" s="77"/>
      <c r="F88" s="77" t="s">
        <v>147</v>
      </c>
      <c r="G88" s="55" t="s">
        <v>50</v>
      </c>
    </row>
    <row r="89" spans="1:7" ht="56.25" customHeight="1" x14ac:dyDescent="0.25">
      <c r="A89" s="129"/>
      <c r="B89" s="78" t="s">
        <v>108</v>
      </c>
      <c r="C89" s="79" t="s">
        <v>43</v>
      </c>
      <c r="D89" s="77" t="s">
        <v>214</v>
      </c>
      <c r="E89" s="49"/>
      <c r="F89" s="77"/>
      <c r="G89" s="55"/>
    </row>
    <row r="90" spans="1:7" ht="43.5" customHeight="1" x14ac:dyDescent="0.25">
      <c r="A90" s="129"/>
      <c r="B90" s="78" t="s">
        <v>112</v>
      </c>
      <c r="C90" s="79" t="s">
        <v>43</v>
      </c>
      <c r="D90" s="77" t="s">
        <v>187</v>
      </c>
      <c r="E90" s="77"/>
      <c r="F90" s="77"/>
      <c r="G90" s="55"/>
    </row>
    <row r="91" spans="1:7" ht="69" customHeight="1" thickBot="1" x14ac:dyDescent="0.3">
      <c r="A91" s="130"/>
      <c r="B91" s="81" t="s">
        <v>105</v>
      </c>
      <c r="C91" s="82" t="s">
        <v>106</v>
      </c>
      <c r="D91" s="83" t="s">
        <v>188</v>
      </c>
      <c r="E91" s="83"/>
      <c r="F91" s="83"/>
      <c r="G91" s="56" t="s">
        <v>50</v>
      </c>
    </row>
    <row r="92" spans="1:7" ht="60" customHeight="1" thickBot="1" x14ac:dyDescent="0.3">
      <c r="A92" s="62" t="str">
        <f>TabellaTest!F13</f>
        <v>TF001.UC10</v>
      </c>
      <c r="B92" s="144" t="str">
        <f>TabellaTest!C13</f>
        <v>REQ-SIC-003</v>
      </c>
      <c r="C92" s="145"/>
      <c r="D92" s="146" t="str">
        <f>TabellaTest!E13</f>
        <v>Verifica disabilitazione utenza SIES</v>
      </c>
      <c r="E92" s="147"/>
      <c r="F92" s="146" t="str">
        <f>TabellaTest!G13</f>
        <v>Verifica: Verificare che nel caso sia stata disabilitata una utenza SIES l'utente ADN non possa più utilizzarla dal giorno successivo.</v>
      </c>
      <c r="G92" s="148"/>
    </row>
    <row r="93" spans="1:7" ht="82.5" customHeight="1" x14ac:dyDescent="0.25">
      <c r="A93" s="128"/>
      <c r="B93" s="96" t="s">
        <v>39</v>
      </c>
      <c r="C93" s="97" t="s">
        <v>40</v>
      </c>
      <c r="D93" s="98" t="s">
        <v>97</v>
      </c>
      <c r="E93" s="98" t="s">
        <v>98</v>
      </c>
      <c r="F93" s="98" t="s">
        <v>99</v>
      </c>
      <c r="G93" s="100"/>
    </row>
    <row r="94" spans="1:7" ht="51.75" customHeight="1" x14ac:dyDescent="0.25">
      <c r="A94" s="129"/>
      <c r="B94" s="75" t="s">
        <v>39</v>
      </c>
      <c r="C94" s="76" t="s">
        <v>41</v>
      </c>
      <c r="D94" s="77" t="s">
        <v>100</v>
      </c>
      <c r="E94" s="77"/>
      <c r="F94" s="49"/>
      <c r="G94" s="55"/>
    </row>
    <row r="95" spans="1:7" ht="55.5" customHeight="1" x14ac:dyDescent="0.25">
      <c r="A95" s="129"/>
      <c r="B95" s="78" t="s">
        <v>101</v>
      </c>
      <c r="C95" s="79" t="s">
        <v>43</v>
      </c>
      <c r="D95" s="77" t="s">
        <v>190</v>
      </c>
      <c r="E95" s="80"/>
      <c r="F95" s="77" t="s">
        <v>147</v>
      </c>
      <c r="G95" s="55" t="s">
        <v>50</v>
      </c>
    </row>
    <row r="96" spans="1:7" ht="55.5" customHeight="1" x14ac:dyDescent="0.25">
      <c r="A96" s="129"/>
      <c r="B96" s="78" t="s">
        <v>103</v>
      </c>
      <c r="C96" s="79" t="s">
        <v>43</v>
      </c>
      <c r="D96" s="77" t="s">
        <v>208</v>
      </c>
      <c r="E96" s="80"/>
      <c r="F96" s="77" t="s">
        <v>209</v>
      </c>
      <c r="G96" s="55" t="s">
        <v>50</v>
      </c>
    </row>
    <row r="97" spans="1:7" ht="44.25" customHeight="1" x14ac:dyDescent="0.25">
      <c r="A97" s="129"/>
      <c r="B97" s="78" t="s">
        <v>104</v>
      </c>
      <c r="C97" s="79" t="s">
        <v>43</v>
      </c>
      <c r="D97" s="77" t="s">
        <v>185</v>
      </c>
      <c r="E97" s="80"/>
      <c r="F97" s="77"/>
      <c r="G97" s="55"/>
    </row>
    <row r="98" spans="1:7" ht="48.75" customHeight="1" x14ac:dyDescent="0.25">
      <c r="A98" s="129"/>
      <c r="B98" s="99" t="s">
        <v>105</v>
      </c>
      <c r="C98" s="94" t="s">
        <v>106</v>
      </c>
      <c r="D98" s="95" t="s">
        <v>216</v>
      </c>
      <c r="E98" s="77"/>
      <c r="F98" s="77"/>
      <c r="G98" s="55" t="s">
        <v>50</v>
      </c>
    </row>
    <row r="99" spans="1:7" ht="42.75" customHeight="1" x14ac:dyDescent="0.25">
      <c r="A99" s="129"/>
      <c r="B99" s="78" t="s">
        <v>108</v>
      </c>
      <c r="C99" s="79" t="s">
        <v>43</v>
      </c>
      <c r="D99" s="77" t="s">
        <v>186</v>
      </c>
      <c r="E99" s="77"/>
      <c r="F99" s="77" t="s">
        <v>97</v>
      </c>
      <c r="G99" s="55" t="s">
        <v>50</v>
      </c>
    </row>
    <row r="100" spans="1:7" ht="60.75" customHeight="1" x14ac:dyDescent="0.25">
      <c r="A100" s="129"/>
      <c r="B100" s="78" t="s">
        <v>112</v>
      </c>
      <c r="C100" s="79" t="s">
        <v>43</v>
      </c>
      <c r="D100" s="77" t="s">
        <v>211</v>
      </c>
      <c r="E100" s="77"/>
      <c r="F100" s="77"/>
      <c r="G100" s="55"/>
    </row>
    <row r="101" spans="1:7" ht="55.5" customHeight="1" x14ac:dyDescent="0.25">
      <c r="A101" s="129"/>
      <c r="B101" s="78" t="s">
        <v>114</v>
      </c>
      <c r="C101" s="79" t="s">
        <v>43</v>
      </c>
      <c r="D101" s="77" t="s">
        <v>98</v>
      </c>
      <c r="E101" s="80"/>
      <c r="F101" s="77" t="s">
        <v>99</v>
      </c>
      <c r="G101" s="55" t="s">
        <v>50</v>
      </c>
    </row>
    <row r="102" spans="1:7" ht="59.25" customHeight="1" x14ac:dyDescent="0.25">
      <c r="A102" s="129"/>
      <c r="B102" s="78" t="s">
        <v>119</v>
      </c>
      <c r="C102" s="79" t="s">
        <v>43</v>
      </c>
      <c r="D102" s="77" t="s">
        <v>100</v>
      </c>
      <c r="E102" s="80"/>
      <c r="F102" s="77"/>
      <c r="G102" s="55"/>
    </row>
    <row r="103" spans="1:7" ht="85.5" customHeight="1" thickBot="1" x14ac:dyDescent="0.3">
      <c r="A103" s="130"/>
      <c r="B103" s="81" t="s">
        <v>105</v>
      </c>
      <c r="C103" s="82" t="s">
        <v>106</v>
      </c>
      <c r="D103" s="83" t="s">
        <v>215</v>
      </c>
      <c r="E103" s="83"/>
      <c r="F103" s="83"/>
      <c r="G103" s="56" t="s">
        <v>50</v>
      </c>
    </row>
    <row r="104" spans="1:7" ht="72" customHeight="1" thickBot="1" x14ac:dyDescent="0.3">
      <c r="A104" s="62" t="str">
        <f>TabellaTest!F14</f>
        <v>TF001.UC11</v>
      </c>
      <c r="B104" s="135" t="str">
        <f>TabellaTest!C14</f>
        <v>REQ-SIC-003</v>
      </c>
      <c r="C104" s="136"/>
      <c r="D104" s="137" t="str">
        <f>TabellaTest!E14</f>
        <v>Verifica reset password utenza SIES</v>
      </c>
      <c r="E104" s="138"/>
      <c r="F104" s="137" t="str">
        <f>TabellaTest!G14</f>
        <v>Verifica: Verificare che nel caso sia stato effettuato il reset password di una utenza SIES, il sistema richieda di associare nuovamente l'utenza ed il cambio password prima di fare accedere al sistema.</v>
      </c>
      <c r="G104" s="139"/>
    </row>
    <row r="105" spans="1:7" ht="30" x14ac:dyDescent="0.25">
      <c r="A105" s="90"/>
      <c r="B105" s="63" t="s">
        <v>34</v>
      </c>
      <c r="C105" s="64" t="s">
        <v>35</v>
      </c>
      <c r="D105" s="53" t="s">
        <v>36</v>
      </c>
      <c r="E105" s="53" t="s">
        <v>37</v>
      </c>
      <c r="F105" s="53" t="s">
        <v>38</v>
      </c>
      <c r="G105" s="54" t="s">
        <v>11</v>
      </c>
    </row>
    <row r="106" spans="1:7" ht="82.5" customHeight="1" x14ac:dyDescent="0.25">
      <c r="A106" s="90"/>
      <c r="B106" s="75" t="s">
        <v>39</v>
      </c>
      <c r="C106" s="76" t="s">
        <v>40</v>
      </c>
      <c r="D106" s="77" t="s">
        <v>193</v>
      </c>
      <c r="E106" s="77" t="s">
        <v>98</v>
      </c>
      <c r="F106" s="77" t="s">
        <v>99</v>
      </c>
      <c r="G106" s="55"/>
    </row>
    <row r="107" spans="1:7" ht="51.75" customHeight="1" x14ac:dyDescent="0.25">
      <c r="A107" s="90"/>
      <c r="B107" s="75" t="s">
        <v>39</v>
      </c>
      <c r="C107" s="76" t="s">
        <v>41</v>
      </c>
      <c r="D107" s="77" t="s">
        <v>100</v>
      </c>
      <c r="E107" s="77"/>
      <c r="F107" s="49"/>
      <c r="G107" s="55"/>
    </row>
    <row r="108" spans="1:7" ht="55.5" customHeight="1" x14ac:dyDescent="0.25">
      <c r="A108" s="90"/>
      <c r="B108" s="78" t="s">
        <v>101</v>
      </c>
      <c r="C108" s="79" t="s">
        <v>43</v>
      </c>
      <c r="D108" s="77" t="s">
        <v>190</v>
      </c>
      <c r="E108" s="80"/>
      <c r="F108" s="77" t="s">
        <v>147</v>
      </c>
      <c r="G108" s="55" t="s">
        <v>50</v>
      </c>
    </row>
    <row r="109" spans="1:7" ht="51.75" customHeight="1" x14ac:dyDescent="0.25">
      <c r="A109" s="90"/>
      <c r="B109" s="78" t="s">
        <v>103</v>
      </c>
      <c r="C109" s="79" t="s">
        <v>43</v>
      </c>
      <c r="D109" s="77" t="s">
        <v>191</v>
      </c>
      <c r="E109" s="80"/>
      <c r="F109" s="77" t="s">
        <v>210</v>
      </c>
      <c r="G109" s="55" t="s">
        <v>50</v>
      </c>
    </row>
    <row r="110" spans="1:7" ht="45.75" customHeight="1" x14ac:dyDescent="0.25">
      <c r="A110" s="90"/>
      <c r="B110" s="78" t="s">
        <v>104</v>
      </c>
      <c r="C110" s="79" t="s">
        <v>43</v>
      </c>
      <c r="D110" s="77" t="s">
        <v>192</v>
      </c>
      <c r="E110" s="80"/>
      <c r="F110" s="77"/>
      <c r="G110" s="55"/>
    </row>
    <row r="111" spans="1:7" ht="48.75" customHeight="1" x14ac:dyDescent="0.25">
      <c r="A111" s="92"/>
      <c r="B111" s="99" t="s">
        <v>105</v>
      </c>
      <c r="C111" s="94" t="s">
        <v>106</v>
      </c>
      <c r="D111" s="95" t="s">
        <v>204</v>
      </c>
      <c r="E111" s="77"/>
      <c r="F111" s="77"/>
      <c r="G111" s="55" t="s">
        <v>50</v>
      </c>
    </row>
    <row r="112" spans="1:7" ht="53.25" customHeight="1" x14ac:dyDescent="0.25">
      <c r="A112" s="92"/>
      <c r="B112" s="78" t="s">
        <v>108</v>
      </c>
      <c r="C112" s="79" t="s">
        <v>43</v>
      </c>
      <c r="D112" s="77" t="s">
        <v>205</v>
      </c>
      <c r="E112" s="77"/>
      <c r="F112" s="77" t="s">
        <v>97</v>
      </c>
      <c r="G112" s="55" t="s">
        <v>50</v>
      </c>
    </row>
    <row r="113" spans="1:7" ht="55.5" customHeight="1" x14ac:dyDescent="0.25">
      <c r="A113" s="92"/>
      <c r="B113" s="78" t="s">
        <v>112</v>
      </c>
      <c r="C113" s="79" t="s">
        <v>43</v>
      </c>
      <c r="D113" s="77" t="s">
        <v>98</v>
      </c>
      <c r="E113" s="80"/>
      <c r="F113" s="77" t="s">
        <v>99</v>
      </c>
      <c r="G113" s="55" t="s">
        <v>50</v>
      </c>
    </row>
    <row r="114" spans="1:7" ht="59.25" customHeight="1" x14ac:dyDescent="0.25">
      <c r="A114" s="92"/>
      <c r="B114" s="78" t="s">
        <v>114</v>
      </c>
      <c r="C114" s="79" t="s">
        <v>43</v>
      </c>
      <c r="D114" s="77" t="s">
        <v>100</v>
      </c>
      <c r="E114" s="80"/>
      <c r="F114" s="77"/>
      <c r="G114" s="55"/>
    </row>
    <row r="115" spans="1:7" ht="48" customHeight="1" x14ac:dyDescent="0.25">
      <c r="A115" s="92"/>
      <c r="B115" s="78" t="s">
        <v>119</v>
      </c>
      <c r="C115" s="79" t="s">
        <v>43</v>
      </c>
      <c r="D115" s="77" t="s">
        <v>145</v>
      </c>
      <c r="E115" s="80"/>
      <c r="F115" s="77" t="s">
        <v>102</v>
      </c>
      <c r="G115" s="55" t="s">
        <v>50</v>
      </c>
    </row>
    <row r="116" spans="1:7" ht="59.25" customHeight="1" x14ac:dyDescent="0.25">
      <c r="A116" s="92"/>
      <c r="B116" s="78" t="s">
        <v>121</v>
      </c>
      <c r="C116" s="79" t="s">
        <v>43</v>
      </c>
      <c r="D116" s="77" t="s">
        <v>206</v>
      </c>
      <c r="E116" s="80"/>
      <c r="F116" s="77" t="s">
        <v>194</v>
      </c>
      <c r="G116" s="55" t="s">
        <v>50</v>
      </c>
    </row>
    <row r="117" spans="1:7" ht="55.5" customHeight="1" x14ac:dyDescent="0.25">
      <c r="A117" s="90"/>
      <c r="B117" s="78" t="s">
        <v>195</v>
      </c>
      <c r="C117" s="79" t="s">
        <v>43</v>
      </c>
      <c r="D117" s="77" t="s">
        <v>178</v>
      </c>
      <c r="E117" s="49"/>
      <c r="F117" s="77" t="s">
        <v>180</v>
      </c>
      <c r="G117" s="55" t="s">
        <v>50</v>
      </c>
    </row>
    <row r="118" spans="1:7" ht="51.75" customHeight="1" x14ac:dyDescent="0.25">
      <c r="A118" s="90"/>
      <c r="B118" s="78" t="s">
        <v>196</v>
      </c>
      <c r="C118" s="79" t="s">
        <v>43</v>
      </c>
      <c r="D118" s="77" t="s">
        <v>207</v>
      </c>
      <c r="E118" s="77"/>
      <c r="F118" s="77"/>
      <c r="G118" s="55"/>
    </row>
    <row r="119" spans="1:7" ht="59.25" customHeight="1" thickBot="1" x14ac:dyDescent="0.3">
      <c r="A119" s="91"/>
      <c r="B119" s="81" t="s">
        <v>105</v>
      </c>
      <c r="C119" s="82" t="s">
        <v>106</v>
      </c>
      <c r="D119" s="93" t="s">
        <v>216</v>
      </c>
      <c r="E119" s="83"/>
      <c r="F119" s="83"/>
      <c r="G119" s="56" t="s">
        <v>50</v>
      </c>
    </row>
  </sheetData>
  <autoFilter ref="A3:G3" xr:uid="{00000000-0009-0000-0000-000002000000}">
    <filterColumn colId="1" showButton="0"/>
    <filterColumn colId="3" showButton="0"/>
    <filterColumn colId="5" showButton="0"/>
  </autoFilter>
  <mergeCells count="45">
    <mergeCell ref="A93:A103"/>
    <mergeCell ref="A83:A91"/>
    <mergeCell ref="B92:C92"/>
    <mergeCell ref="D92:E92"/>
    <mergeCell ref="F92:G92"/>
    <mergeCell ref="B104:C104"/>
    <mergeCell ref="D104:E104"/>
    <mergeCell ref="F104:G104"/>
    <mergeCell ref="B71:C71"/>
    <mergeCell ref="D71:E71"/>
    <mergeCell ref="F71:G71"/>
    <mergeCell ref="B82:C82"/>
    <mergeCell ref="D82:E82"/>
    <mergeCell ref="F82:G82"/>
    <mergeCell ref="B55:C55"/>
    <mergeCell ref="D55:E55"/>
    <mergeCell ref="F55:G55"/>
    <mergeCell ref="B63:C63"/>
    <mergeCell ref="D63:E63"/>
    <mergeCell ref="F63:G63"/>
    <mergeCell ref="A46:A54"/>
    <mergeCell ref="A5:A11"/>
    <mergeCell ref="A33:A44"/>
    <mergeCell ref="B4:C4"/>
    <mergeCell ref="D4:E4"/>
    <mergeCell ref="F4:G4"/>
    <mergeCell ref="B32:C32"/>
    <mergeCell ref="D32:E32"/>
    <mergeCell ref="F32:G32"/>
    <mergeCell ref="B45:C45"/>
    <mergeCell ref="D45:E45"/>
    <mergeCell ref="F45:G45"/>
    <mergeCell ref="B12:C12"/>
    <mergeCell ref="D12:E12"/>
    <mergeCell ref="F12:G12"/>
    <mergeCell ref="B21:C21"/>
    <mergeCell ref="D21:E21"/>
    <mergeCell ref="F21:G21"/>
    <mergeCell ref="A1:C1"/>
    <mergeCell ref="D1:G1"/>
    <mergeCell ref="A2:C2"/>
    <mergeCell ref="D2:G2"/>
    <mergeCell ref="B3:C3"/>
    <mergeCell ref="D3:E3"/>
    <mergeCell ref="F3:G3"/>
  </mergeCells>
  <phoneticPr fontId="23" type="noConversion"/>
  <pageMargins left="0.70866141732283472" right="0.70866141732283472" top="0.74803149606299213" bottom="0.74803149606299213" header="0.31496062992125984" footer="0.31496062992125984"/>
  <pageSetup paperSize="9" scale="9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zoomScaleNormal="100" workbookViewId="0">
      <selection activeCell="I1" sqref="I1"/>
    </sheetView>
  </sheetViews>
  <sheetFormatPr defaultRowHeight="12.75" x14ac:dyDescent="0.25"/>
  <cols>
    <col min="1" max="1" width="4" style="17" bestFit="1" customWidth="1"/>
    <col min="2" max="2" width="21.28515625" style="17" customWidth="1"/>
    <col min="3" max="3" width="22.7109375" style="17" bestFit="1" customWidth="1"/>
    <col min="4" max="4" width="32.5703125" style="17" customWidth="1"/>
    <col min="5" max="5" width="57.28515625" style="17" customWidth="1"/>
    <col min="6" max="6" width="15.5703125" style="18" customWidth="1"/>
    <col min="7" max="7" width="17.7109375" style="17" customWidth="1"/>
    <col min="8" max="254" width="9.140625" style="17"/>
    <col min="255" max="255" width="4" style="17" bestFit="1" customWidth="1"/>
    <col min="256" max="256" width="26.7109375" style="17" bestFit="1" customWidth="1"/>
    <col min="257" max="257" width="22.7109375" style="17" bestFit="1" customWidth="1"/>
    <col min="258" max="258" width="32.5703125" style="17" customWidth="1"/>
    <col min="259" max="259" width="57.28515625" style="17" customWidth="1"/>
    <col min="260" max="260" width="15.5703125" style="17" customWidth="1"/>
    <col min="261" max="261" width="16.7109375" style="17" customWidth="1"/>
    <col min="262" max="510" width="9.140625" style="17"/>
    <col min="511" max="511" width="4" style="17" bestFit="1" customWidth="1"/>
    <col min="512" max="512" width="26.7109375" style="17" bestFit="1" customWidth="1"/>
    <col min="513" max="513" width="22.7109375" style="17" bestFit="1" customWidth="1"/>
    <col min="514" max="514" width="32.5703125" style="17" customWidth="1"/>
    <col min="515" max="515" width="57.28515625" style="17" customWidth="1"/>
    <col min="516" max="516" width="15.5703125" style="17" customWidth="1"/>
    <col min="517" max="517" width="16.7109375" style="17" customWidth="1"/>
    <col min="518" max="766" width="9.140625" style="17"/>
    <col min="767" max="767" width="4" style="17" bestFit="1" customWidth="1"/>
    <col min="768" max="768" width="26.7109375" style="17" bestFit="1" customWidth="1"/>
    <col min="769" max="769" width="22.7109375" style="17" bestFit="1" customWidth="1"/>
    <col min="770" max="770" width="32.5703125" style="17" customWidth="1"/>
    <col min="771" max="771" width="57.28515625" style="17" customWidth="1"/>
    <col min="772" max="772" width="15.5703125" style="17" customWidth="1"/>
    <col min="773" max="773" width="16.7109375" style="17" customWidth="1"/>
    <col min="774" max="1022" width="9.140625" style="17"/>
    <col min="1023" max="1023" width="4" style="17" bestFit="1" customWidth="1"/>
    <col min="1024" max="1024" width="26.7109375" style="17" bestFit="1" customWidth="1"/>
    <col min="1025" max="1025" width="22.7109375" style="17" bestFit="1" customWidth="1"/>
    <col min="1026" max="1026" width="32.5703125" style="17" customWidth="1"/>
    <col min="1027" max="1027" width="57.28515625" style="17" customWidth="1"/>
    <col min="1028" max="1028" width="15.5703125" style="17" customWidth="1"/>
    <col min="1029" max="1029" width="16.7109375" style="17" customWidth="1"/>
    <col min="1030" max="1278" width="9.140625" style="17"/>
    <col min="1279" max="1279" width="4" style="17" bestFit="1" customWidth="1"/>
    <col min="1280" max="1280" width="26.7109375" style="17" bestFit="1" customWidth="1"/>
    <col min="1281" max="1281" width="22.7109375" style="17" bestFit="1" customWidth="1"/>
    <col min="1282" max="1282" width="32.5703125" style="17" customWidth="1"/>
    <col min="1283" max="1283" width="57.28515625" style="17" customWidth="1"/>
    <col min="1284" max="1284" width="15.5703125" style="17" customWidth="1"/>
    <col min="1285" max="1285" width="16.7109375" style="17" customWidth="1"/>
    <col min="1286" max="1534" width="9.140625" style="17"/>
    <col min="1535" max="1535" width="4" style="17" bestFit="1" customWidth="1"/>
    <col min="1536" max="1536" width="26.7109375" style="17" bestFit="1" customWidth="1"/>
    <col min="1537" max="1537" width="22.7109375" style="17" bestFit="1" customWidth="1"/>
    <col min="1538" max="1538" width="32.5703125" style="17" customWidth="1"/>
    <col min="1539" max="1539" width="57.28515625" style="17" customWidth="1"/>
    <col min="1540" max="1540" width="15.5703125" style="17" customWidth="1"/>
    <col min="1541" max="1541" width="16.7109375" style="17" customWidth="1"/>
    <col min="1542" max="1790" width="9.140625" style="17"/>
    <col min="1791" max="1791" width="4" style="17" bestFit="1" customWidth="1"/>
    <col min="1792" max="1792" width="26.7109375" style="17" bestFit="1" customWidth="1"/>
    <col min="1793" max="1793" width="22.7109375" style="17" bestFit="1" customWidth="1"/>
    <col min="1794" max="1794" width="32.5703125" style="17" customWidth="1"/>
    <col min="1795" max="1795" width="57.28515625" style="17" customWidth="1"/>
    <col min="1796" max="1796" width="15.5703125" style="17" customWidth="1"/>
    <col min="1797" max="1797" width="16.7109375" style="17" customWidth="1"/>
    <col min="1798" max="2046" width="9.140625" style="17"/>
    <col min="2047" max="2047" width="4" style="17" bestFit="1" customWidth="1"/>
    <col min="2048" max="2048" width="26.7109375" style="17" bestFit="1" customWidth="1"/>
    <col min="2049" max="2049" width="22.7109375" style="17" bestFit="1" customWidth="1"/>
    <col min="2050" max="2050" width="32.5703125" style="17" customWidth="1"/>
    <col min="2051" max="2051" width="57.28515625" style="17" customWidth="1"/>
    <col min="2052" max="2052" width="15.5703125" style="17" customWidth="1"/>
    <col min="2053" max="2053" width="16.7109375" style="17" customWidth="1"/>
    <col min="2054" max="2302" width="9.140625" style="17"/>
    <col min="2303" max="2303" width="4" style="17" bestFit="1" customWidth="1"/>
    <col min="2304" max="2304" width="26.7109375" style="17" bestFit="1" customWidth="1"/>
    <col min="2305" max="2305" width="22.7109375" style="17" bestFit="1" customWidth="1"/>
    <col min="2306" max="2306" width="32.5703125" style="17" customWidth="1"/>
    <col min="2307" max="2307" width="57.28515625" style="17" customWidth="1"/>
    <col min="2308" max="2308" width="15.5703125" style="17" customWidth="1"/>
    <col min="2309" max="2309" width="16.7109375" style="17" customWidth="1"/>
    <col min="2310" max="2558" width="9.140625" style="17"/>
    <col min="2559" max="2559" width="4" style="17" bestFit="1" customWidth="1"/>
    <col min="2560" max="2560" width="26.7109375" style="17" bestFit="1" customWidth="1"/>
    <col min="2561" max="2561" width="22.7109375" style="17" bestFit="1" customWidth="1"/>
    <col min="2562" max="2562" width="32.5703125" style="17" customWidth="1"/>
    <col min="2563" max="2563" width="57.28515625" style="17" customWidth="1"/>
    <col min="2564" max="2564" width="15.5703125" style="17" customWidth="1"/>
    <col min="2565" max="2565" width="16.7109375" style="17" customWidth="1"/>
    <col min="2566" max="2814" width="9.140625" style="17"/>
    <col min="2815" max="2815" width="4" style="17" bestFit="1" customWidth="1"/>
    <col min="2816" max="2816" width="26.7109375" style="17" bestFit="1" customWidth="1"/>
    <col min="2817" max="2817" width="22.7109375" style="17" bestFit="1" customWidth="1"/>
    <col min="2818" max="2818" width="32.5703125" style="17" customWidth="1"/>
    <col min="2819" max="2819" width="57.28515625" style="17" customWidth="1"/>
    <col min="2820" max="2820" width="15.5703125" style="17" customWidth="1"/>
    <col min="2821" max="2821" width="16.7109375" style="17" customWidth="1"/>
    <col min="2822" max="3070" width="9.140625" style="17"/>
    <col min="3071" max="3071" width="4" style="17" bestFit="1" customWidth="1"/>
    <col min="3072" max="3072" width="26.7109375" style="17" bestFit="1" customWidth="1"/>
    <col min="3073" max="3073" width="22.7109375" style="17" bestFit="1" customWidth="1"/>
    <col min="3074" max="3074" width="32.5703125" style="17" customWidth="1"/>
    <col min="3075" max="3075" width="57.28515625" style="17" customWidth="1"/>
    <col min="3076" max="3076" width="15.5703125" style="17" customWidth="1"/>
    <col min="3077" max="3077" width="16.7109375" style="17" customWidth="1"/>
    <col min="3078" max="3326" width="9.140625" style="17"/>
    <col min="3327" max="3327" width="4" style="17" bestFit="1" customWidth="1"/>
    <col min="3328" max="3328" width="26.7109375" style="17" bestFit="1" customWidth="1"/>
    <col min="3329" max="3329" width="22.7109375" style="17" bestFit="1" customWidth="1"/>
    <col min="3330" max="3330" width="32.5703125" style="17" customWidth="1"/>
    <col min="3331" max="3331" width="57.28515625" style="17" customWidth="1"/>
    <col min="3332" max="3332" width="15.5703125" style="17" customWidth="1"/>
    <col min="3333" max="3333" width="16.7109375" style="17" customWidth="1"/>
    <col min="3334" max="3582" width="9.140625" style="17"/>
    <col min="3583" max="3583" width="4" style="17" bestFit="1" customWidth="1"/>
    <col min="3584" max="3584" width="26.7109375" style="17" bestFit="1" customWidth="1"/>
    <col min="3585" max="3585" width="22.7109375" style="17" bestFit="1" customWidth="1"/>
    <col min="3586" max="3586" width="32.5703125" style="17" customWidth="1"/>
    <col min="3587" max="3587" width="57.28515625" style="17" customWidth="1"/>
    <col min="3588" max="3588" width="15.5703125" style="17" customWidth="1"/>
    <col min="3589" max="3589" width="16.7109375" style="17" customWidth="1"/>
    <col min="3590" max="3838" width="9.140625" style="17"/>
    <col min="3839" max="3839" width="4" style="17" bestFit="1" customWidth="1"/>
    <col min="3840" max="3840" width="26.7109375" style="17" bestFit="1" customWidth="1"/>
    <col min="3841" max="3841" width="22.7109375" style="17" bestFit="1" customWidth="1"/>
    <col min="3842" max="3842" width="32.5703125" style="17" customWidth="1"/>
    <col min="3843" max="3843" width="57.28515625" style="17" customWidth="1"/>
    <col min="3844" max="3844" width="15.5703125" style="17" customWidth="1"/>
    <col min="3845" max="3845" width="16.7109375" style="17" customWidth="1"/>
    <col min="3846" max="4094" width="9.140625" style="17"/>
    <col min="4095" max="4095" width="4" style="17" bestFit="1" customWidth="1"/>
    <col min="4096" max="4096" width="26.7109375" style="17" bestFit="1" customWidth="1"/>
    <col min="4097" max="4097" width="22.7109375" style="17" bestFit="1" customWidth="1"/>
    <col min="4098" max="4098" width="32.5703125" style="17" customWidth="1"/>
    <col min="4099" max="4099" width="57.28515625" style="17" customWidth="1"/>
    <col min="4100" max="4100" width="15.5703125" style="17" customWidth="1"/>
    <col min="4101" max="4101" width="16.7109375" style="17" customWidth="1"/>
    <col min="4102" max="4350" width="9.140625" style="17"/>
    <col min="4351" max="4351" width="4" style="17" bestFit="1" customWidth="1"/>
    <col min="4352" max="4352" width="26.7109375" style="17" bestFit="1" customWidth="1"/>
    <col min="4353" max="4353" width="22.7109375" style="17" bestFit="1" customWidth="1"/>
    <col min="4354" max="4354" width="32.5703125" style="17" customWidth="1"/>
    <col min="4355" max="4355" width="57.28515625" style="17" customWidth="1"/>
    <col min="4356" max="4356" width="15.5703125" style="17" customWidth="1"/>
    <col min="4357" max="4357" width="16.7109375" style="17" customWidth="1"/>
    <col min="4358" max="4606" width="9.140625" style="17"/>
    <col min="4607" max="4607" width="4" style="17" bestFit="1" customWidth="1"/>
    <col min="4608" max="4608" width="26.7109375" style="17" bestFit="1" customWidth="1"/>
    <col min="4609" max="4609" width="22.7109375" style="17" bestFit="1" customWidth="1"/>
    <col min="4610" max="4610" width="32.5703125" style="17" customWidth="1"/>
    <col min="4611" max="4611" width="57.28515625" style="17" customWidth="1"/>
    <col min="4612" max="4612" width="15.5703125" style="17" customWidth="1"/>
    <col min="4613" max="4613" width="16.7109375" style="17" customWidth="1"/>
    <col min="4614" max="4862" width="9.140625" style="17"/>
    <col min="4863" max="4863" width="4" style="17" bestFit="1" customWidth="1"/>
    <col min="4864" max="4864" width="26.7109375" style="17" bestFit="1" customWidth="1"/>
    <col min="4865" max="4865" width="22.7109375" style="17" bestFit="1" customWidth="1"/>
    <col min="4866" max="4866" width="32.5703125" style="17" customWidth="1"/>
    <col min="4867" max="4867" width="57.28515625" style="17" customWidth="1"/>
    <col min="4868" max="4868" width="15.5703125" style="17" customWidth="1"/>
    <col min="4869" max="4869" width="16.7109375" style="17" customWidth="1"/>
    <col min="4870" max="5118" width="9.140625" style="17"/>
    <col min="5119" max="5119" width="4" style="17" bestFit="1" customWidth="1"/>
    <col min="5120" max="5120" width="26.7109375" style="17" bestFit="1" customWidth="1"/>
    <col min="5121" max="5121" width="22.7109375" style="17" bestFit="1" customWidth="1"/>
    <col min="5122" max="5122" width="32.5703125" style="17" customWidth="1"/>
    <col min="5123" max="5123" width="57.28515625" style="17" customWidth="1"/>
    <col min="5124" max="5124" width="15.5703125" style="17" customWidth="1"/>
    <col min="5125" max="5125" width="16.7109375" style="17" customWidth="1"/>
    <col min="5126" max="5374" width="9.140625" style="17"/>
    <col min="5375" max="5375" width="4" style="17" bestFit="1" customWidth="1"/>
    <col min="5376" max="5376" width="26.7109375" style="17" bestFit="1" customWidth="1"/>
    <col min="5377" max="5377" width="22.7109375" style="17" bestFit="1" customWidth="1"/>
    <col min="5378" max="5378" width="32.5703125" style="17" customWidth="1"/>
    <col min="5379" max="5379" width="57.28515625" style="17" customWidth="1"/>
    <col min="5380" max="5380" width="15.5703125" style="17" customWidth="1"/>
    <col min="5381" max="5381" width="16.7109375" style="17" customWidth="1"/>
    <col min="5382" max="5630" width="9.140625" style="17"/>
    <col min="5631" max="5631" width="4" style="17" bestFit="1" customWidth="1"/>
    <col min="5632" max="5632" width="26.7109375" style="17" bestFit="1" customWidth="1"/>
    <col min="5633" max="5633" width="22.7109375" style="17" bestFit="1" customWidth="1"/>
    <col min="5634" max="5634" width="32.5703125" style="17" customWidth="1"/>
    <col min="5635" max="5635" width="57.28515625" style="17" customWidth="1"/>
    <col min="5636" max="5636" width="15.5703125" style="17" customWidth="1"/>
    <col min="5637" max="5637" width="16.7109375" style="17" customWidth="1"/>
    <col min="5638" max="5886" width="9.140625" style="17"/>
    <col min="5887" max="5887" width="4" style="17" bestFit="1" customWidth="1"/>
    <col min="5888" max="5888" width="26.7109375" style="17" bestFit="1" customWidth="1"/>
    <col min="5889" max="5889" width="22.7109375" style="17" bestFit="1" customWidth="1"/>
    <col min="5890" max="5890" width="32.5703125" style="17" customWidth="1"/>
    <col min="5891" max="5891" width="57.28515625" style="17" customWidth="1"/>
    <col min="5892" max="5892" width="15.5703125" style="17" customWidth="1"/>
    <col min="5893" max="5893" width="16.7109375" style="17" customWidth="1"/>
    <col min="5894" max="6142" width="9.140625" style="17"/>
    <col min="6143" max="6143" width="4" style="17" bestFit="1" customWidth="1"/>
    <col min="6144" max="6144" width="26.7109375" style="17" bestFit="1" customWidth="1"/>
    <col min="6145" max="6145" width="22.7109375" style="17" bestFit="1" customWidth="1"/>
    <col min="6146" max="6146" width="32.5703125" style="17" customWidth="1"/>
    <col min="6147" max="6147" width="57.28515625" style="17" customWidth="1"/>
    <col min="6148" max="6148" width="15.5703125" style="17" customWidth="1"/>
    <col min="6149" max="6149" width="16.7109375" style="17" customWidth="1"/>
    <col min="6150" max="6398" width="9.140625" style="17"/>
    <col min="6399" max="6399" width="4" style="17" bestFit="1" customWidth="1"/>
    <col min="6400" max="6400" width="26.7109375" style="17" bestFit="1" customWidth="1"/>
    <col min="6401" max="6401" width="22.7109375" style="17" bestFit="1" customWidth="1"/>
    <col min="6402" max="6402" width="32.5703125" style="17" customWidth="1"/>
    <col min="6403" max="6403" width="57.28515625" style="17" customWidth="1"/>
    <col min="6404" max="6404" width="15.5703125" style="17" customWidth="1"/>
    <col min="6405" max="6405" width="16.7109375" style="17" customWidth="1"/>
    <col min="6406" max="6654" width="9.140625" style="17"/>
    <col min="6655" max="6655" width="4" style="17" bestFit="1" customWidth="1"/>
    <col min="6656" max="6656" width="26.7109375" style="17" bestFit="1" customWidth="1"/>
    <col min="6657" max="6657" width="22.7109375" style="17" bestFit="1" customWidth="1"/>
    <col min="6658" max="6658" width="32.5703125" style="17" customWidth="1"/>
    <col min="6659" max="6659" width="57.28515625" style="17" customWidth="1"/>
    <col min="6660" max="6660" width="15.5703125" style="17" customWidth="1"/>
    <col min="6661" max="6661" width="16.7109375" style="17" customWidth="1"/>
    <col min="6662" max="6910" width="9.140625" style="17"/>
    <col min="6911" max="6911" width="4" style="17" bestFit="1" customWidth="1"/>
    <col min="6912" max="6912" width="26.7109375" style="17" bestFit="1" customWidth="1"/>
    <col min="6913" max="6913" width="22.7109375" style="17" bestFit="1" customWidth="1"/>
    <col min="6914" max="6914" width="32.5703125" style="17" customWidth="1"/>
    <col min="6915" max="6915" width="57.28515625" style="17" customWidth="1"/>
    <col min="6916" max="6916" width="15.5703125" style="17" customWidth="1"/>
    <col min="6917" max="6917" width="16.7109375" style="17" customWidth="1"/>
    <col min="6918" max="7166" width="9.140625" style="17"/>
    <col min="7167" max="7167" width="4" style="17" bestFit="1" customWidth="1"/>
    <col min="7168" max="7168" width="26.7109375" style="17" bestFit="1" customWidth="1"/>
    <col min="7169" max="7169" width="22.7109375" style="17" bestFit="1" customWidth="1"/>
    <col min="7170" max="7170" width="32.5703125" style="17" customWidth="1"/>
    <col min="7171" max="7171" width="57.28515625" style="17" customWidth="1"/>
    <col min="7172" max="7172" width="15.5703125" style="17" customWidth="1"/>
    <col min="7173" max="7173" width="16.7109375" style="17" customWidth="1"/>
    <col min="7174" max="7422" width="9.140625" style="17"/>
    <col min="7423" max="7423" width="4" style="17" bestFit="1" customWidth="1"/>
    <col min="7424" max="7424" width="26.7109375" style="17" bestFit="1" customWidth="1"/>
    <col min="7425" max="7425" width="22.7109375" style="17" bestFit="1" customWidth="1"/>
    <col min="7426" max="7426" width="32.5703125" style="17" customWidth="1"/>
    <col min="7427" max="7427" width="57.28515625" style="17" customWidth="1"/>
    <col min="7428" max="7428" width="15.5703125" style="17" customWidth="1"/>
    <col min="7429" max="7429" width="16.7109375" style="17" customWidth="1"/>
    <col min="7430" max="7678" width="9.140625" style="17"/>
    <col min="7679" max="7679" width="4" style="17" bestFit="1" customWidth="1"/>
    <col min="7680" max="7680" width="26.7109375" style="17" bestFit="1" customWidth="1"/>
    <col min="7681" max="7681" width="22.7109375" style="17" bestFit="1" customWidth="1"/>
    <col min="7682" max="7682" width="32.5703125" style="17" customWidth="1"/>
    <col min="7683" max="7683" width="57.28515625" style="17" customWidth="1"/>
    <col min="7684" max="7684" width="15.5703125" style="17" customWidth="1"/>
    <col min="7685" max="7685" width="16.7109375" style="17" customWidth="1"/>
    <col min="7686" max="7934" width="9.140625" style="17"/>
    <col min="7935" max="7935" width="4" style="17" bestFit="1" customWidth="1"/>
    <col min="7936" max="7936" width="26.7109375" style="17" bestFit="1" customWidth="1"/>
    <col min="7937" max="7937" width="22.7109375" style="17" bestFit="1" customWidth="1"/>
    <col min="7938" max="7938" width="32.5703125" style="17" customWidth="1"/>
    <col min="7939" max="7939" width="57.28515625" style="17" customWidth="1"/>
    <col min="7940" max="7940" width="15.5703125" style="17" customWidth="1"/>
    <col min="7941" max="7941" width="16.7109375" style="17" customWidth="1"/>
    <col min="7942" max="8190" width="9.140625" style="17"/>
    <col min="8191" max="8191" width="4" style="17" bestFit="1" customWidth="1"/>
    <col min="8192" max="8192" width="26.7109375" style="17" bestFit="1" customWidth="1"/>
    <col min="8193" max="8193" width="22.7109375" style="17" bestFit="1" customWidth="1"/>
    <col min="8194" max="8194" width="32.5703125" style="17" customWidth="1"/>
    <col min="8195" max="8195" width="57.28515625" style="17" customWidth="1"/>
    <col min="8196" max="8196" width="15.5703125" style="17" customWidth="1"/>
    <col min="8197" max="8197" width="16.7109375" style="17" customWidth="1"/>
    <col min="8198" max="8446" width="9.140625" style="17"/>
    <col min="8447" max="8447" width="4" style="17" bestFit="1" customWidth="1"/>
    <col min="8448" max="8448" width="26.7109375" style="17" bestFit="1" customWidth="1"/>
    <col min="8449" max="8449" width="22.7109375" style="17" bestFit="1" customWidth="1"/>
    <col min="8450" max="8450" width="32.5703125" style="17" customWidth="1"/>
    <col min="8451" max="8451" width="57.28515625" style="17" customWidth="1"/>
    <col min="8452" max="8452" width="15.5703125" style="17" customWidth="1"/>
    <col min="8453" max="8453" width="16.7109375" style="17" customWidth="1"/>
    <col min="8454" max="8702" width="9.140625" style="17"/>
    <col min="8703" max="8703" width="4" style="17" bestFit="1" customWidth="1"/>
    <col min="8704" max="8704" width="26.7109375" style="17" bestFit="1" customWidth="1"/>
    <col min="8705" max="8705" width="22.7109375" style="17" bestFit="1" customWidth="1"/>
    <col min="8706" max="8706" width="32.5703125" style="17" customWidth="1"/>
    <col min="8707" max="8707" width="57.28515625" style="17" customWidth="1"/>
    <col min="8708" max="8708" width="15.5703125" style="17" customWidth="1"/>
    <col min="8709" max="8709" width="16.7109375" style="17" customWidth="1"/>
    <col min="8710" max="8958" width="9.140625" style="17"/>
    <col min="8959" max="8959" width="4" style="17" bestFit="1" customWidth="1"/>
    <col min="8960" max="8960" width="26.7109375" style="17" bestFit="1" customWidth="1"/>
    <col min="8961" max="8961" width="22.7109375" style="17" bestFit="1" customWidth="1"/>
    <col min="8962" max="8962" width="32.5703125" style="17" customWidth="1"/>
    <col min="8963" max="8963" width="57.28515625" style="17" customWidth="1"/>
    <col min="8964" max="8964" width="15.5703125" style="17" customWidth="1"/>
    <col min="8965" max="8965" width="16.7109375" style="17" customWidth="1"/>
    <col min="8966" max="9214" width="9.140625" style="17"/>
    <col min="9215" max="9215" width="4" style="17" bestFit="1" customWidth="1"/>
    <col min="9216" max="9216" width="26.7109375" style="17" bestFit="1" customWidth="1"/>
    <col min="9217" max="9217" width="22.7109375" style="17" bestFit="1" customWidth="1"/>
    <col min="9218" max="9218" width="32.5703125" style="17" customWidth="1"/>
    <col min="9219" max="9219" width="57.28515625" style="17" customWidth="1"/>
    <col min="9220" max="9220" width="15.5703125" style="17" customWidth="1"/>
    <col min="9221" max="9221" width="16.7109375" style="17" customWidth="1"/>
    <col min="9222" max="9470" width="9.140625" style="17"/>
    <col min="9471" max="9471" width="4" style="17" bestFit="1" customWidth="1"/>
    <col min="9472" max="9472" width="26.7109375" style="17" bestFit="1" customWidth="1"/>
    <col min="9473" max="9473" width="22.7109375" style="17" bestFit="1" customWidth="1"/>
    <col min="9474" max="9474" width="32.5703125" style="17" customWidth="1"/>
    <col min="9475" max="9475" width="57.28515625" style="17" customWidth="1"/>
    <col min="9476" max="9476" width="15.5703125" style="17" customWidth="1"/>
    <col min="9477" max="9477" width="16.7109375" style="17" customWidth="1"/>
    <col min="9478" max="9726" width="9.140625" style="17"/>
    <col min="9727" max="9727" width="4" style="17" bestFit="1" customWidth="1"/>
    <col min="9728" max="9728" width="26.7109375" style="17" bestFit="1" customWidth="1"/>
    <col min="9729" max="9729" width="22.7109375" style="17" bestFit="1" customWidth="1"/>
    <col min="9730" max="9730" width="32.5703125" style="17" customWidth="1"/>
    <col min="9731" max="9731" width="57.28515625" style="17" customWidth="1"/>
    <col min="9732" max="9732" width="15.5703125" style="17" customWidth="1"/>
    <col min="9733" max="9733" width="16.7109375" style="17" customWidth="1"/>
    <col min="9734" max="9982" width="9.140625" style="17"/>
    <col min="9983" max="9983" width="4" style="17" bestFit="1" customWidth="1"/>
    <col min="9984" max="9984" width="26.7109375" style="17" bestFit="1" customWidth="1"/>
    <col min="9985" max="9985" width="22.7109375" style="17" bestFit="1" customWidth="1"/>
    <col min="9986" max="9986" width="32.5703125" style="17" customWidth="1"/>
    <col min="9987" max="9987" width="57.28515625" style="17" customWidth="1"/>
    <col min="9988" max="9988" width="15.5703125" style="17" customWidth="1"/>
    <col min="9989" max="9989" width="16.7109375" style="17" customWidth="1"/>
    <col min="9990" max="10238" width="9.140625" style="17"/>
    <col min="10239" max="10239" width="4" style="17" bestFit="1" customWidth="1"/>
    <col min="10240" max="10240" width="26.7109375" style="17" bestFit="1" customWidth="1"/>
    <col min="10241" max="10241" width="22.7109375" style="17" bestFit="1" customWidth="1"/>
    <col min="10242" max="10242" width="32.5703125" style="17" customWidth="1"/>
    <col min="10243" max="10243" width="57.28515625" style="17" customWidth="1"/>
    <col min="10244" max="10244" width="15.5703125" style="17" customWidth="1"/>
    <col min="10245" max="10245" width="16.7109375" style="17" customWidth="1"/>
    <col min="10246" max="10494" width="9.140625" style="17"/>
    <col min="10495" max="10495" width="4" style="17" bestFit="1" customWidth="1"/>
    <col min="10496" max="10496" width="26.7109375" style="17" bestFit="1" customWidth="1"/>
    <col min="10497" max="10497" width="22.7109375" style="17" bestFit="1" customWidth="1"/>
    <col min="10498" max="10498" width="32.5703125" style="17" customWidth="1"/>
    <col min="10499" max="10499" width="57.28515625" style="17" customWidth="1"/>
    <col min="10500" max="10500" width="15.5703125" style="17" customWidth="1"/>
    <col min="10501" max="10501" width="16.7109375" style="17" customWidth="1"/>
    <col min="10502" max="10750" width="9.140625" style="17"/>
    <col min="10751" max="10751" width="4" style="17" bestFit="1" customWidth="1"/>
    <col min="10752" max="10752" width="26.7109375" style="17" bestFit="1" customWidth="1"/>
    <col min="10753" max="10753" width="22.7109375" style="17" bestFit="1" customWidth="1"/>
    <col min="10754" max="10754" width="32.5703125" style="17" customWidth="1"/>
    <col min="10755" max="10755" width="57.28515625" style="17" customWidth="1"/>
    <col min="10756" max="10756" width="15.5703125" style="17" customWidth="1"/>
    <col min="10757" max="10757" width="16.7109375" style="17" customWidth="1"/>
    <col min="10758" max="11006" width="9.140625" style="17"/>
    <col min="11007" max="11007" width="4" style="17" bestFit="1" customWidth="1"/>
    <col min="11008" max="11008" width="26.7109375" style="17" bestFit="1" customWidth="1"/>
    <col min="11009" max="11009" width="22.7109375" style="17" bestFit="1" customWidth="1"/>
    <col min="11010" max="11010" width="32.5703125" style="17" customWidth="1"/>
    <col min="11011" max="11011" width="57.28515625" style="17" customWidth="1"/>
    <col min="11012" max="11012" width="15.5703125" style="17" customWidth="1"/>
    <col min="11013" max="11013" width="16.7109375" style="17" customWidth="1"/>
    <col min="11014" max="11262" width="9.140625" style="17"/>
    <col min="11263" max="11263" width="4" style="17" bestFit="1" customWidth="1"/>
    <col min="11264" max="11264" width="26.7109375" style="17" bestFit="1" customWidth="1"/>
    <col min="11265" max="11265" width="22.7109375" style="17" bestFit="1" customWidth="1"/>
    <col min="11266" max="11266" width="32.5703125" style="17" customWidth="1"/>
    <col min="11267" max="11267" width="57.28515625" style="17" customWidth="1"/>
    <col min="11268" max="11268" width="15.5703125" style="17" customWidth="1"/>
    <col min="11269" max="11269" width="16.7109375" style="17" customWidth="1"/>
    <col min="11270" max="11518" width="9.140625" style="17"/>
    <col min="11519" max="11519" width="4" style="17" bestFit="1" customWidth="1"/>
    <col min="11520" max="11520" width="26.7109375" style="17" bestFit="1" customWidth="1"/>
    <col min="11521" max="11521" width="22.7109375" style="17" bestFit="1" customWidth="1"/>
    <col min="11522" max="11522" width="32.5703125" style="17" customWidth="1"/>
    <col min="11523" max="11523" width="57.28515625" style="17" customWidth="1"/>
    <col min="11524" max="11524" width="15.5703125" style="17" customWidth="1"/>
    <col min="11525" max="11525" width="16.7109375" style="17" customWidth="1"/>
    <col min="11526" max="11774" width="9.140625" style="17"/>
    <col min="11775" max="11775" width="4" style="17" bestFit="1" customWidth="1"/>
    <col min="11776" max="11776" width="26.7109375" style="17" bestFit="1" customWidth="1"/>
    <col min="11777" max="11777" width="22.7109375" style="17" bestFit="1" customWidth="1"/>
    <col min="11778" max="11778" width="32.5703125" style="17" customWidth="1"/>
    <col min="11779" max="11779" width="57.28515625" style="17" customWidth="1"/>
    <col min="11780" max="11780" width="15.5703125" style="17" customWidth="1"/>
    <col min="11781" max="11781" width="16.7109375" style="17" customWidth="1"/>
    <col min="11782" max="12030" width="9.140625" style="17"/>
    <col min="12031" max="12031" width="4" style="17" bestFit="1" customWidth="1"/>
    <col min="12032" max="12032" width="26.7109375" style="17" bestFit="1" customWidth="1"/>
    <col min="12033" max="12033" width="22.7109375" style="17" bestFit="1" customWidth="1"/>
    <col min="12034" max="12034" width="32.5703125" style="17" customWidth="1"/>
    <col min="12035" max="12035" width="57.28515625" style="17" customWidth="1"/>
    <col min="12036" max="12036" width="15.5703125" style="17" customWidth="1"/>
    <col min="12037" max="12037" width="16.7109375" style="17" customWidth="1"/>
    <col min="12038" max="12286" width="9.140625" style="17"/>
    <col min="12287" max="12287" width="4" style="17" bestFit="1" customWidth="1"/>
    <col min="12288" max="12288" width="26.7109375" style="17" bestFit="1" customWidth="1"/>
    <col min="12289" max="12289" width="22.7109375" style="17" bestFit="1" customWidth="1"/>
    <col min="12290" max="12290" width="32.5703125" style="17" customWidth="1"/>
    <col min="12291" max="12291" width="57.28515625" style="17" customWidth="1"/>
    <col min="12292" max="12292" width="15.5703125" style="17" customWidth="1"/>
    <col min="12293" max="12293" width="16.7109375" style="17" customWidth="1"/>
    <col min="12294" max="12542" width="9.140625" style="17"/>
    <col min="12543" max="12543" width="4" style="17" bestFit="1" customWidth="1"/>
    <col min="12544" max="12544" width="26.7109375" style="17" bestFit="1" customWidth="1"/>
    <col min="12545" max="12545" width="22.7109375" style="17" bestFit="1" customWidth="1"/>
    <col min="12546" max="12546" width="32.5703125" style="17" customWidth="1"/>
    <col min="12547" max="12547" width="57.28515625" style="17" customWidth="1"/>
    <col min="12548" max="12548" width="15.5703125" style="17" customWidth="1"/>
    <col min="12549" max="12549" width="16.7109375" style="17" customWidth="1"/>
    <col min="12550" max="12798" width="9.140625" style="17"/>
    <col min="12799" max="12799" width="4" style="17" bestFit="1" customWidth="1"/>
    <col min="12800" max="12800" width="26.7109375" style="17" bestFit="1" customWidth="1"/>
    <col min="12801" max="12801" width="22.7109375" style="17" bestFit="1" customWidth="1"/>
    <col min="12802" max="12802" width="32.5703125" style="17" customWidth="1"/>
    <col min="12803" max="12803" width="57.28515625" style="17" customWidth="1"/>
    <col min="12804" max="12804" width="15.5703125" style="17" customWidth="1"/>
    <col min="12805" max="12805" width="16.7109375" style="17" customWidth="1"/>
    <col min="12806" max="13054" width="9.140625" style="17"/>
    <col min="13055" max="13055" width="4" style="17" bestFit="1" customWidth="1"/>
    <col min="13056" max="13056" width="26.7109375" style="17" bestFit="1" customWidth="1"/>
    <col min="13057" max="13057" width="22.7109375" style="17" bestFit="1" customWidth="1"/>
    <col min="13058" max="13058" width="32.5703125" style="17" customWidth="1"/>
    <col min="13059" max="13059" width="57.28515625" style="17" customWidth="1"/>
    <col min="13060" max="13060" width="15.5703125" style="17" customWidth="1"/>
    <col min="13061" max="13061" width="16.7109375" style="17" customWidth="1"/>
    <col min="13062" max="13310" width="9.140625" style="17"/>
    <col min="13311" max="13311" width="4" style="17" bestFit="1" customWidth="1"/>
    <col min="13312" max="13312" width="26.7109375" style="17" bestFit="1" customWidth="1"/>
    <col min="13313" max="13313" width="22.7109375" style="17" bestFit="1" customWidth="1"/>
    <col min="13314" max="13314" width="32.5703125" style="17" customWidth="1"/>
    <col min="13315" max="13315" width="57.28515625" style="17" customWidth="1"/>
    <col min="13316" max="13316" width="15.5703125" style="17" customWidth="1"/>
    <col min="13317" max="13317" width="16.7109375" style="17" customWidth="1"/>
    <col min="13318" max="13566" width="9.140625" style="17"/>
    <col min="13567" max="13567" width="4" style="17" bestFit="1" customWidth="1"/>
    <col min="13568" max="13568" width="26.7109375" style="17" bestFit="1" customWidth="1"/>
    <col min="13569" max="13569" width="22.7109375" style="17" bestFit="1" customWidth="1"/>
    <col min="13570" max="13570" width="32.5703125" style="17" customWidth="1"/>
    <col min="13571" max="13571" width="57.28515625" style="17" customWidth="1"/>
    <col min="13572" max="13572" width="15.5703125" style="17" customWidth="1"/>
    <col min="13573" max="13573" width="16.7109375" style="17" customWidth="1"/>
    <col min="13574" max="13822" width="9.140625" style="17"/>
    <col min="13823" max="13823" width="4" style="17" bestFit="1" customWidth="1"/>
    <col min="13824" max="13824" width="26.7109375" style="17" bestFit="1" customWidth="1"/>
    <col min="13825" max="13825" width="22.7109375" style="17" bestFit="1" customWidth="1"/>
    <col min="13826" max="13826" width="32.5703125" style="17" customWidth="1"/>
    <col min="13827" max="13827" width="57.28515625" style="17" customWidth="1"/>
    <col min="13828" max="13828" width="15.5703125" style="17" customWidth="1"/>
    <col min="13829" max="13829" width="16.7109375" style="17" customWidth="1"/>
    <col min="13830" max="14078" width="9.140625" style="17"/>
    <col min="14079" max="14079" width="4" style="17" bestFit="1" customWidth="1"/>
    <col min="14080" max="14080" width="26.7109375" style="17" bestFit="1" customWidth="1"/>
    <col min="14081" max="14081" width="22.7109375" style="17" bestFit="1" customWidth="1"/>
    <col min="14082" max="14082" width="32.5703125" style="17" customWidth="1"/>
    <col min="14083" max="14083" width="57.28515625" style="17" customWidth="1"/>
    <col min="14084" max="14084" width="15.5703125" style="17" customWidth="1"/>
    <col min="14085" max="14085" width="16.7109375" style="17" customWidth="1"/>
    <col min="14086" max="14334" width="9.140625" style="17"/>
    <col min="14335" max="14335" width="4" style="17" bestFit="1" customWidth="1"/>
    <col min="14336" max="14336" width="26.7109375" style="17" bestFit="1" customWidth="1"/>
    <col min="14337" max="14337" width="22.7109375" style="17" bestFit="1" customWidth="1"/>
    <col min="14338" max="14338" width="32.5703125" style="17" customWidth="1"/>
    <col min="14339" max="14339" width="57.28515625" style="17" customWidth="1"/>
    <col min="14340" max="14340" width="15.5703125" style="17" customWidth="1"/>
    <col min="14341" max="14341" width="16.7109375" style="17" customWidth="1"/>
    <col min="14342" max="14590" width="9.140625" style="17"/>
    <col min="14591" max="14591" width="4" style="17" bestFit="1" customWidth="1"/>
    <col min="14592" max="14592" width="26.7109375" style="17" bestFit="1" customWidth="1"/>
    <col min="14593" max="14593" width="22.7109375" style="17" bestFit="1" customWidth="1"/>
    <col min="14594" max="14594" width="32.5703125" style="17" customWidth="1"/>
    <col min="14595" max="14595" width="57.28515625" style="17" customWidth="1"/>
    <col min="14596" max="14596" width="15.5703125" style="17" customWidth="1"/>
    <col min="14597" max="14597" width="16.7109375" style="17" customWidth="1"/>
    <col min="14598" max="14846" width="9.140625" style="17"/>
    <col min="14847" max="14847" width="4" style="17" bestFit="1" customWidth="1"/>
    <col min="14848" max="14848" width="26.7109375" style="17" bestFit="1" customWidth="1"/>
    <col min="14849" max="14849" width="22.7109375" style="17" bestFit="1" customWidth="1"/>
    <col min="14850" max="14850" width="32.5703125" style="17" customWidth="1"/>
    <col min="14851" max="14851" width="57.28515625" style="17" customWidth="1"/>
    <col min="14852" max="14852" width="15.5703125" style="17" customWidth="1"/>
    <col min="14853" max="14853" width="16.7109375" style="17" customWidth="1"/>
    <col min="14854" max="15102" width="9.140625" style="17"/>
    <col min="15103" max="15103" width="4" style="17" bestFit="1" customWidth="1"/>
    <col min="15104" max="15104" width="26.7109375" style="17" bestFit="1" customWidth="1"/>
    <col min="15105" max="15105" width="22.7109375" style="17" bestFit="1" customWidth="1"/>
    <col min="15106" max="15106" width="32.5703125" style="17" customWidth="1"/>
    <col min="15107" max="15107" width="57.28515625" style="17" customWidth="1"/>
    <col min="15108" max="15108" width="15.5703125" style="17" customWidth="1"/>
    <col min="15109" max="15109" width="16.7109375" style="17" customWidth="1"/>
    <col min="15110" max="15358" width="9.140625" style="17"/>
    <col min="15359" max="15359" width="4" style="17" bestFit="1" customWidth="1"/>
    <col min="15360" max="15360" width="26.7109375" style="17" bestFit="1" customWidth="1"/>
    <col min="15361" max="15361" width="22.7109375" style="17" bestFit="1" customWidth="1"/>
    <col min="15362" max="15362" width="32.5703125" style="17" customWidth="1"/>
    <col min="15363" max="15363" width="57.28515625" style="17" customWidth="1"/>
    <col min="15364" max="15364" width="15.5703125" style="17" customWidth="1"/>
    <col min="15365" max="15365" width="16.7109375" style="17" customWidth="1"/>
    <col min="15366" max="15614" width="9.140625" style="17"/>
    <col min="15615" max="15615" width="4" style="17" bestFit="1" customWidth="1"/>
    <col min="15616" max="15616" width="26.7109375" style="17" bestFit="1" customWidth="1"/>
    <col min="15617" max="15617" width="22.7109375" style="17" bestFit="1" customWidth="1"/>
    <col min="15618" max="15618" width="32.5703125" style="17" customWidth="1"/>
    <col min="15619" max="15619" width="57.28515625" style="17" customWidth="1"/>
    <col min="15620" max="15620" width="15.5703125" style="17" customWidth="1"/>
    <col min="15621" max="15621" width="16.7109375" style="17" customWidth="1"/>
    <col min="15622" max="15870" width="9.140625" style="17"/>
    <col min="15871" max="15871" width="4" style="17" bestFit="1" customWidth="1"/>
    <col min="15872" max="15872" width="26.7109375" style="17" bestFit="1" customWidth="1"/>
    <col min="15873" max="15873" width="22.7109375" style="17" bestFit="1" customWidth="1"/>
    <col min="15874" max="15874" width="32.5703125" style="17" customWidth="1"/>
    <col min="15875" max="15875" width="57.28515625" style="17" customWidth="1"/>
    <col min="15876" max="15876" width="15.5703125" style="17" customWidth="1"/>
    <col min="15877" max="15877" width="16.7109375" style="17" customWidth="1"/>
    <col min="15878" max="16126" width="9.140625" style="17"/>
    <col min="16127" max="16127" width="4" style="17" bestFit="1" customWidth="1"/>
    <col min="16128" max="16128" width="26.7109375" style="17" bestFit="1" customWidth="1"/>
    <col min="16129" max="16129" width="22.7109375" style="17" bestFit="1" customWidth="1"/>
    <col min="16130" max="16130" width="32.5703125" style="17" customWidth="1"/>
    <col min="16131" max="16131" width="57.28515625" style="17" customWidth="1"/>
    <col min="16132" max="16132" width="15.5703125" style="17" customWidth="1"/>
    <col min="16133" max="16133" width="16.7109375" style="17" customWidth="1"/>
    <col min="16134" max="16384" width="9.140625" style="17"/>
  </cols>
  <sheetData>
    <row r="1" spans="1:8" s="12" customFormat="1" ht="21" customHeight="1" x14ac:dyDescent="0.25">
      <c r="A1" s="149" t="s">
        <v>4</v>
      </c>
      <c r="B1" s="150"/>
      <c r="C1" s="151"/>
      <c r="D1" s="155" t="str">
        <f>Copertina!C7</f>
        <v>MEV-Integrazione SIES-ADN (PRE-GOLIVE)</v>
      </c>
      <c r="E1" s="156"/>
      <c r="F1" s="156"/>
      <c r="G1" s="157"/>
      <c r="H1" s="11"/>
    </row>
    <row r="2" spans="1:8" s="12" customFormat="1" ht="20.25" customHeight="1" thickBot="1" x14ac:dyDescent="0.3">
      <c r="A2" s="152" t="s">
        <v>12</v>
      </c>
      <c r="B2" s="153"/>
      <c r="C2" s="154"/>
      <c r="D2" s="158" t="str">
        <f>Copertina!C3</f>
        <v>SIUT-SIE-CT-1.1-20210531-Allegato_al_piano_test_MEV-Integrazione SIES-ADN (PRE-GOLIVE).xlsx</v>
      </c>
      <c r="E2" s="159"/>
      <c r="F2" s="159"/>
      <c r="G2" s="160"/>
      <c r="H2" s="13"/>
    </row>
    <row r="3" spans="1:8" ht="42" customHeight="1" thickBot="1" x14ac:dyDescent="0.3">
      <c r="A3" s="14" t="s">
        <v>8</v>
      </c>
      <c r="B3" s="15" t="s">
        <v>14</v>
      </c>
      <c r="C3" s="15" t="s">
        <v>15</v>
      </c>
      <c r="D3" s="15" t="s">
        <v>16</v>
      </c>
      <c r="E3" s="15" t="s">
        <v>17</v>
      </c>
      <c r="F3" s="15" t="s">
        <v>18</v>
      </c>
      <c r="G3" s="16" t="s">
        <v>19</v>
      </c>
    </row>
    <row r="4" spans="1:8" ht="45" x14ac:dyDescent="0.25">
      <c r="A4" s="43" t="s">
        <v>45</v>
      </c>
      <c r="B4" s="44" t="s">
        <v>46</v>
      </c>
      <c r="C4" s="44" t="s">
        <v>47</v>
      </c>
      <c r="D4" s="44" t="s">
        <v>48</v>
      </c>
      <c r="E4" s="45" t="s">
        <v>49</v>
      </c>
      <c r="F4" s="46" t="s">
        <v>50</v>
      </c>
      <c r="G4" s="45"/>
    </row>
    <row r="5" spans="1:8" ht="30" x14ac:dyDescent="0.25">
      <c r="A5" s="43" t="s">
        <v>51</v>
      </c>
      <c r="B5" s="44" t="s">
        <v>46</v>
      </c>
      <c r="C5" s="44" t="s">
        <v>52</v>
      </c>
      <c r="D5" s="44" t="s">
        <v>53</v>
      </c>
      <c r="E5" s="44" t="s">
        <v>54</v>
      </c>
      <c r="F5" s="47" t="s">
        <v>50</v>
      </c>
      <c r="G5" s="44"/>
    </row>
    <row r="6" spans="1:8" ht="30" x14ac:dyDescent="0.25">
      <c r="A6" s="43" t="s">
        <v>55</v>
      </c>
      <c r="B6" s="44" t="s">
        <v>46</v>
      </c>
      <c r="C6" s="44" t="s">
        <v>56</v>
      </c>
      <c r="D6" s="44" t="s">
        <v>57</v>
      </c>
      <c r="E6" s="44" t="s">
        <v>58</v>
      </c>
      <c r="F6" s="47" t="s">
        <v>50</v>
      </c>
      <c r="G6" s="44"/>
    </row>
    <row r="7" spans="1:8" ht="30" x14ac:dyDescent="0.25">
      <c r="A7" s="43" t="s">
        <v>59</v>
      </c>
      <c r="B7" s="44" t="s">
        <v>60</v>
      </c>
      <c r="C7" s="44" t="s">
        <v>61</v>
      </c>
      <c r="D7" s="44" t="s">
        <v>62</v>
      </c>
      <c r="E7" s="44" t="s">
        <v>63</v>
      </c>
      <c r="F7" s="47" t="s">
        <v>50</v>
      </c>
      <c r="G7" s="44"/>
    </row>
    <row r="8" spans="1:8" ht="60" x14ac:dyDescent="0.25">
      <c r="A8" s="43" t="s">
        <v>64</v>
      </c>
      <c r="B8" s="44" t="s">
        <v>65</v>
      </c>
      <c r="C8" s="44" t="s">
        <v>66</v>
      </c>
      <c r="D8" s="44" t="s">
        <v>67</v>
      </c>
      <c r="E8" s="44" t="s">
        <v>68</v>
      </c>
      <c r="F8" s="47" t="s">
        <v>50</v>
      </c>
      <c r="G8" s="44"/>
    </row>
    <row r="9" spans="1:8" ht="30" x14ac:dyDescent="0.25">
      <c r="A9" s="43" t="s">
        <v>69</v>
      </c>
      <c r="B9" s="44" t="s">
        <v>65</v>
      </c>
      <c r="C9" s="44" t="s">
        <v>66</v>
      </c>
      <c r="D9" s="44" t="s">
        <v>70</v>
      </c>
      <c r="E9" s="44" t="s">
        <v>71</v>
      </c>
      <c r="F9" s="47" t="s">
        <v>50</v>
      </c>
      <c r="G9" s="44"/>
    </row>
    <row r="10" spans="1:8" ht="30" x14ac:dyDescent="0.25">
      <c r="A10" s="43" t="s">
        <v>72</v>
      </c>
      <c r="B10" s="44" t="s">
        <v>65</v>
      </c>
      <c r="C10" s="44" t="s">
        <v>66</v>
      </c>
      <c r="D10" s="44" t="s">
        <v>73</v>
      </c>
      <c r="E10" s="44" t="s">
        <v>74</v>
      </c>
      <c r="F10" s="47" t="s">
        <v>50</v>
      </c>
      <c r="G10" s="44"/>
    </row>
    <row r="11" spans="1:8" ht="60" x14ac:dyDescent="0.25">
      <c r="A11" s="43" t="s">
        <v>75</v>
      </c>
      <c r="B11" s="44" t="s">
        <v>65</v>
      </c>
      <c r="C11" s="44" t="s">
        <v>76</v>
      </c>
      <c r="D11" s="44" t="s">
        <v>77</v>
      </c>
      <c r="E11" s="44" t="s">
        <v>78</v>
      </c>
      <c r="F11" s="47" t="s">
        <v>50</v>
      </c>
      <c r="G11" s="44"/>
    </row>
  </sheetData>
  <mergeCells count="4">
    <mergeCell ref="A1:C1"/>
    <mergeCell ref="A2:C2"/>
    <mergeCell ref="D1:G1"/>
    <mergeCell ref="D2:G2"/>
  </mergeCells>
  <pageMargins left="0.27559055118110237" right="0.55118110236220474" top="0.43307086614173229" bottom="0.39370078740157483" header="0.23622047244094491" footer="0.23622047244094491"/>
  <pageSetup paperSize="9" scale="80" orientation="landscape" r:id="rId1"/>
  <headerFooter alignWithMargins="0">
    <oddHeader>&amp;R&amp;D &amp;T</oddHeader>
    <oddFooter>&amp;L&amp;F&amp;C&amp;A&amp;RPagina &amp;P di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workbookViewId="0">
      <selection sqref="A1:XFD1048576"/>
    </sheetView>
  </sheetViews>
  <sheetFormatPr defaultRowHeight="12.75" x14ac:dyDescent="0.2"/>
  <cols>
    <col min="1" max="1" width="24.140625" style="24" customWidth="1"/>
    <col min="2" max="2" width="29.85546875" style="24" customWidth="1"/>
    <col min="3" max="3" width="28.140625" style="24" customWidth="1"/>
    <col min="4" max="4" width="27" style="24" customWidth="1"/>
    <col min="5" max="5" width="30.5703125" style="24" customWidth="1"/>
    <col min="6" max="6" width="1.7109375" style="24" customWidth="1"/>
    <col min="7" max="7" width="9.140625" style="33"/>
    <col min="8" max="256" width="9.140625" style="24"/>
    <col min="257" max="257" width="24.140625" style="24" customWidth="1"/>
    <col min="258" max="258" width="29.85546875" style="24" customWidth="1"/>
    <col min="259" max="259" width="28.140625" style="24" customWidth="1"/>
    <col min="260" max="260" width="27" style="24" customWidth="1"/>
    <col min="261" max="261" width="30.5703125" style="24" customWidth="1"/>
    <col min="262" max="262" width="1.7109375" style="24" customWidth="1"/>
    <col min="263" max="512" width="9.140625" style="24"/>
    <col min="513" max="513" width="24.140625" style="24" customWidth="1"/>
    <col min="514" max="514" width="29.85546875" style="24" customWidth="1"/>
    <col min="515" max="515" width="28.140625" style="24" customWidth="1"/>
    <col min="516" max="516" width="27" style="24" customWidth="1"/>
    <col min="517" max="517" width="30.5703125" style="24" customWidth="1"/>
    <col min="518" max="518" width="1.7109375" style="24" customWidth="1"/>
    <col min="519" max="768" width="9.140625" style="24"/>
    <col min="769" max="769" width="24.140625" style="24" customWidth="1"/>
    <col min="770" max="770" width="29.85546875" style="24" customWidth="1"/>
    <col min="771" max="771" width="28.140625" style="24" customWidth="1"/>
    <col min="772" max="772" width="27" style="24" customWidth="1"/>
    <col min="773" max="773" width="30.5703125" style="24" customWidth="1"/>
    <col min="774" max="774" width="1.7109375" style="24" customWidth="1"/>
    <col min="775" max="1024" width="9.140625" style="24"/>
    <col min="1025" max="1025" width="24.140625" style="24" customWidth="1"/>
    <col min="1026" max="1026" width="29.85546875" style="24" customWidth="1"/>
    <col min="1027" max="1027" width="28.140625" style="24" customWidth="1"/>
    <col min="1028" max="1028" width="27" style="24" customWidth="1"/>
    <col min="1029" max="1029" width="30.5703125" style="24" customWidth="1"/>
    <col min="1030" max="1030" width="1.7109375" style="24" customWidth="1"/>
    <col min="1031" max="1280" width="9.140625" style="24"/>
    <col min="1281" max="1281" width="24.140625" style="24" customWidth="1"/>
    <col min="1282" max="1282" width="29.85546875" style="24" customWidth="1"/>
    <col min="1283" max="1283" width="28.140625" style="24" customWidth="1"/>
    <col min="1284" max="1284" width="27" style="24" customWidth="1"/>
    <col min="1285" max="1285" width="30.5703125" style="24" customWidth="1"/>
    <col min="1286" max="1286" width="1.7109375" style="24" customWidth="1"/>
    <col min="1287" max="1536" width="9.140625" style="24"/>
    <col min="1537" max="1537" width="24.140625" style="24" customWidth="1"/>
    <col min="1538" max="1538" width="29.85546875" style="24" customWidth="1"/>
    <col min="1539" max="1539" width="28.140625" style="24" customWidth="1"/>
    <col min="1540" max="1540" width="27" style="24" customWidth="1"/>
    <col min="1541" max="1541" width="30.5703125" style="24" customWidth="1"/>
    <col min="1542" max="1542" width="1.7109375" style="24" customWidth="1"/>
    <col min="1543" max="1792" width="9.140625" style="24"/>
    <col min="1793" max="1793" width="24.140625" style="24" customWidth="1"/>
    <col min="1794" max="1794" width="29.85546875" style="24" customWidth="1"/>
    <col min="1795" max="1795" width="28.140625" style="24" customWidth="1"/>
    <col min="1796" max="1796" width="27" style="24" customWidth="1"/>
    <col min="1797" max="1797" width="30.5703125" style="24" customWidth="1"/>
    <col min="1798" max="1798" width="1.7109375" style="24" customWidth="1"/>
    <col min="1799" max="2048" width="9.140625" style="24"/>
    <col min="2049" max="2049" width="24.140625" style="24" customWidth="1"/>
    <col min="2050" max="2050" width="29.85546875" style="24" customWidth="1"/>
    <col min="2051" max="2051" width="28.140625" style="24" customWidth="1"/>
    <col min="2052" max="2052" width="27" style="24" customWidth="1"/>
    <col min="2053" max="2053" width="30.5703125" style="24" customWidth="1"/>
    <col min="2054" max="2054" width="1.7109375" style="24" customWidth="1"/>
    <col min="2055" max="2304" width="9.140625" style="24"/>
    <col min="2305" max="2305" width="24.140625" style="24" customWidth="1"/>
    <col min="2306" max="2306" width="29.85546875" style="24" customWidth="1"/>
    <col min="2307" max="2307" width="28.140625" style="24" customWidth="1"/>
    <col min="2308" max="2308" width="27" style="24" customWidth="1"/>
    <col min="2309" max="2309" width="30.5703125" style="24" customWidth="1"/>
    <col min="2310" max="2310" width="1.7109375" style="24" customWidth="1"/>
    <col min="2311" max="2560" width="9.140625" style="24"/>
    <col min="2561" max="2561" width="24.140625" style="24" customWidth="1"/>
    <col min="2562" max="2562" width="29.85546875" style="24" customWidth="1"/>
    <col min="2563" max="2563" width="28.140625" style="24" customWidth="1"/>
    <col min="2564" max="2564" width="27" style="24" customWidth="1"/>
    <col min="2565" max="2565" width="30.5703125" style="24" customWidth="1"/>
    <col min="2566" max="2566" width="1.7109375" style="24" customWidth="1"/>
    <col min="2567" max="2816" width="9.140625" style="24"/>
    <col min="2817" max="2817" width="24.140625" style="24" customWidth="1"/>
    <col min="2818" max="2818" width="29.85546875" style="24" customWidth="1"/>
    <col min="2819" max="2819" width="28.140625" style="24" customWidth="1"/>
    <col min="2820" max="2820" width="27" style="24" customWidth="1"/>
    <col min="2821" max="2821" width="30.5703125" style="24" customWidth="1"/>
    <col min="2822" max="2822" width="1.7109375" style="24" customWidth="1"/>
    <col min="2823" max="3072" width="9.140625" style="24"/>
    <col min="3073" max="3073" width="24.140625" style="24" customWidth="1"/>
    <col min="3074" max="3074" width="29.85546875" style="24" customWidth="1"/>
    <col min="3075" max="3075" width="28.140625" style="24" customWidth="1"/>
    <col min="3076" max="3076" width="27" style="24" customWidth="1"/>
    <col min="3077" max="3077" width="30.5703125" style="24" customWidth="1"/>
    <col min="3078" max="3078" width="1.7109375" style="24" customWidth="1"/>
    <col min="3079" max="3328" width="9.140625" style="24"/>
    <col min="3329" max="3329" width="24.140625" style="24" customWidth="1"/>
    <col min="3330" max="3330" width="29.85546875" style="24" customWidth="1"/>
    <col min="3331" max="3331" width="28.140625" style="24" customWidth="1"/>
    <col min="3332" max="3332" width="27" style="24" customWidth="1"/>
    <col min="3333" max="3333" width="30.5703125" style="24" customWidth="1"/>
    <col min="3334" max="3334" width="1.7109375" style="24" customWidth="1"/>
    <col min="3335" max="3584" width="9.140625" style="24"/>
    <col min="3585" max="3585" width="24.140625" style="24" customWidth="1"/>
    <col min="3586" max="3586" width="29.85546875" style="24" customWidth="1"/>
    <col min="3587" max="3587" width="28.140625" style="24" customWidth="1"/>
    <col min="3588" max="3588" width="27" style="24" customWidth="1"/>
    <col min="3589" max="3589" width="30.5703125" style="24" customWidth="1"/>
    <col min="3590" max="3590" width="1.7109375" style="24" customWidth="1"/>
    <col min="3591" max="3840" width="9.140625" style="24"/>
    <col min="3841" max="3841" width="24.140625" style="24" customWidth="1"/>
    <col min="3842" max="3842" width="29.85546875" style="24" customWidth="1"/>
    <col min="3843" max="3843" width="28.140625" style="24" customWidth="1"/>
    <col min="3844" max="3844" width="27" style="24" customWidth="1"/>
    <col min="3845" max="3845" width="30.5703125" style="24" customWidth="1"/>
    <col min="3846" max="3846" width="1.7109375" style="24" customWidth="1"/>
    <col min="3847" max="4096" width="9.140625" style="24"/>
    <col min="4097" max="4097" width="24.140625" style="24" customWidth="1"/>
    <col min="4098" max="4098" width="29.85546875" style="24" customWidth="1"/>
    <col min="4099" max="4099" width="28.140625" style="24" customWidth="1"/>
    <col min="4100" max="4100" width="27" style="24" customWidth="1"/>
    <col min="4101" max="4101" width="30.5703125" style="24" customWidth="1"/>
    <col min="4102" max="4102" width="1.7109375" style="24" customWidth="1"/>
    <col min="4103" max="4352" width="9.140625" style="24"/>
    <col min="4353" max="4353" width="24.140625" style="24" customWidth="1"/>
    <col min="4354" max="4354" width="29.85546875" style="24" customWidth="1"/>
    <col min="4355" max="4355" width="28.140625" style="24" customWidth="1"/>
    <col min="4356" max="4356" width="27" style="24" customWidth="1"/>
    <col min="4357" max="4357" width="30.5703125" style="24" customWidth="1"/>
    <col min="4358" max="4358" width="1.7109375" style="24" customWidth="1"/>
    <col min="4359" max="4608" width="9.140625" style="24"/>
    <col min="4609" max="4609" width="24.140625" style="24" customWidth="1"/>
    <col min="4610" max="4610" width="29.85546875" style="24" customWidth="1"/>
    <col min="4611" max="4611" width="28.140625" style="24" customWidth="1"/>
    <col min="4612" max="4612" width="27" style="24" customWidth="1"/>
    <col min="4613" max="4613" width="30.5703125" style="24" customWidth="1"/>
    <col min="4614" max="4614" width="1.7109375" style="24" customWidth="1"/>
    <col min="4615" max="4864" width="9.140625" style="24"/>
    <col min="4865" max="4865" width="24.140625" style="24" customWidth="1"/>
    <col min="4866" max="4866" width="29.85546875" style="24" customWidth="1"/>
    <col min="4867" max="4867" width="28.140625" style="24" customWidth="1"/>
    <col min="4868" max="4868" width="27" style="24" customWidth="1"/>
    <col min="4869" max="4869" width="30.5703125" style="24" customWidth="1"/>
    <col min="4870" max="4870" width="1.7109375" style="24" customWidth="1"/>
    <col min="4871" max="5120" width="9.140625" style="24"/>
    <col min="5121" max="5121" width="24.140625" style="24" customWidth="1"/>
    <col min="5122" max="5122" width="29.85546875" style="24" customWidth="1"/>
    <col min="5123" max="5123" width="28.140625" style="24" customWidth="1"/>
    <col min="5124" max="5124" width="27" style="24" customWidth="1"/>
    <col min="5125" max="5125" width="30.5703125" style="24" customWidth="1"/>
    <col min="5126" max="5126" width="1.7109375" style="24" customWidth="1"/>
    <col min="5127" max="5376" width="9.140625" style="24"/>
    <col min="5377" max="5377" width="24.140625" style="24" customWidth="1"/>
    <col min="5378" max="5378" width="29.85546875" style="24" customWidth="1"/>
    <col min="5379" max="5379" width="28.140625" style="24" customWidth="1"/>
    <col min="5380" max="5380" width="27" style="24" customWidth="1"/>
    <col min="5381" max="5381" width="30.5703125" style="24" customWidth="1"/>
    <col min="5382" max="5382" width="1.7109375" style="24" customWidth="1"/>
    <col min="5383" max="5632" width="9.140625" style="24"/>
    <col min="5633" max="5633" width="24.140625" style="24" customWidth="1"/>
    <col min="5634" max="5634" width="29.85546875" style="24" customWidth="1"/>
    <col min="5635" max="5635" width="28.140625" style="24" customWidth="1"/>
    <col min="5636" max="5636" width="27" style="24" customWidth="1"/>
    <col min="5637" max="5637" width="30.5703125" style="24" customWidth="1"/>
    <col min="5638" max="5638" width="1.7109375" style="24" customWidth="1"/>
    <col min="5639" max="5888" width="9.140625" style="24"/>
    <col min="5889" max="5889" width="24.140625" style="24" customWidth="1"/>
    <col min="5890" max="5890" width="29.85546875" style="24" customWidth="1"/>
    <col min="5891" max="5891" width="28.140625" style="24" customWidth="1"/>
    <col min="5892" max="5892" width="27" style="24" customWidth="1"/>
    <col min="5893" max="5893" width="30.5703125" style="24" customWidth="1"/>
    <col min="5894" max="5894" width="1.7109375" style="24" customWidth="1"/>
    <col min="5895" max="6144" width="9.140625" style="24"/>
    <col min="6145" max="6145" width="24.140625" style="24" customWidth="1"/>
    <col min="6146" max="6146" width="29.85546875" style="24" customWidth="1"/>
    <col min="6147" max="6147" width="28.140625" style="24" customWidth="1"/>
    <col min="6148" max="6148" width="27" style="24" customWidth="1"/>
    <col min="6149" max="6149" width="30.5703125" style="24" customWidth="1"/>
    <col min="6150" max="6150" width="1.7109375" style="24" customWidth="1"/>
    <col min="6151" max="6400" width="9.140625" style="24"/>
    <col min="6401" max="6401" width="24.140625" style="24" customWidth="1"/>
    <col min="6402" max="6402" width="29.85546875" style="24" customWidth="1"/>
    <col min="6403" max="6403" width="28.140625" style="24" customWidth="1"/>
    <col min="6404" max="6404" width="27" style="24" customWidth="1"/>
    <col min="6405" max="6405" width="30.5703125" style="24" customWidth="1"/>
    <col min="6406" max="6406" width="1.7109375" style="24" customWidth="1"/>
    <col min="6407" max="6656" width="9.140625" style="24"/>
    <col min="6657" max="6657" width="24.140625" style="24" customWidth="1"/>
    <col min="6658" max="6658" width="29.85546875" style="24" customWidth="1"/>
    <col min="6659" max="6659" width="28.140625" style="24" customWidth="1"/>
    <col min="6660" max="6660" width="27" style="24" customWidth="1"/>
    <col min="6661" max="6661" width="30.5703125" style="24" customWidth="1"/>
    <col min="6662" max="6662" width="1.7109375" style="24" customWidth="1"/>
    <col min="6663" max="6912" width="9.140625" style="24"/>
    <col min="6913" max="6913" width="24.140625" style="24" customWidth="1"/>
    <col min="6914" max="6914" width="29.85546875" style="24" customWidth="1"/>
    <col min="6915" max="6915" width="28.140625" style="24" customWidth="1"/>
    <col min="6916" max="6916" width="27" style="24" customWidth="1"/>
    <col min="6917" max="6917" width="30.5703125" style="24" customWidth="1"/>
    <col min="6918" max="6918" width="1.7109375" style="24" customWidth="1"/>
    <col min="6919" max="7168" width="9.140625" style="24"/>
    <col min="7169" max="7169" width="24.140625" style="24" customWidth="1"/>
    <col min="7170" max="7170" width="29.85546875" style="24" customWidth="1"/>
    <col min="7171" max="7171" width="28.140625" style="24" customWidth="1"/>
    <col min="7172" max="7172" width="27" style="24" customWidth="1"/>
    <col min="7173" max="7173" width="30.5703125" style="24" customWidth="1"/>
    <col min="7174" max="7174" width="1.7109375" style="24" customWidth="1"/>
    <col min="7175" max="7424" width="9.140625" style="24"/>
    <col min="7425" max="7425" width="24.140625" style="24" customWidth="1"/>
    <col min="7426" max="7426" width="29.85546875" style="24" customWidth="1"/>
    <col min="7427" max="7427" width="28.140625" style="24" customWidth="1"/>
    <col min="7428" max="7428" width="27" style="24" customWidth="1"/>
    <col min="7429" max="7429" width="30.5703125" style="24" customWidth="1"/>
    <col min="7430" max="7430" width="1.7109375" style="24" customWidth="1"/>
    <col min="7431" max="7680" width="9.140625" style="24"/>
    <col min="7681" max="7681" width="24.140625" style="24" customWidth="1"/>
    <col min="7682" max="7682" width="29.85546875" style="24" customWidth="1"/>
    <col min="7683" max="7683" width="28.140625" style="24" customWidth="1"/>
    <col min="7684" max="7684" width="27" style="24" customWidth="1"/>
    <col min="7685" max="7685" width="30.5703125" style="24" customWidth="1"/>
    <col min="7686" max="7686" width="1.7109375" style="24" customWidth="1"/>
    <col min="7687" max="7936" width="9.140625" style="24"/>
    <col min="7937" max="7937" width="24.140625" style="24" customWidth="1"/>
    <col min="7938" max="7938" width="29.85546875" style="24" customWidth="1"/>
    <col min="7939" max="7939" width="28.140625" style="24" customWidth="1"/>
    <col min="7940" max="7940" width="27" style="24" customWidth="1"/>
    <col min="7941" max="7941" width="30.5703125" style="24" customWidth="1"/>
    <col min="7942" max="7942" width="1.7109375" style="24" customWidth="1"/>
    <col min="7943" max="8192" width="9.140625" style="24"/>
    <col min="8193" max="8193" width="24.140625" style="24" customWidth="1"/>
    <col min="8194" max="8194" width="29.85546875" style="24" customWidth="1"/>
    <col min="8195" max="8195" width="28.140625" style="24" customWidth="1"/>
    <col min="8196" max="8196" width="27" style="24" customWidth="1"/>
    <col min="8197" max="8197" width="30.5703125" style="24" customWidth="1"/>
    <col min="8198" max="8198" width="1.7109375" style="24" customWidth="1"/>
    <col min="8199" max="8448" width="9.140625" style="24"/>
    <col min="8449" max="8449" width="24.140625" style="24" customWidth="1"/>
    <col min="8450" max="8450" width="29.85546875" style="24" customWidth="1"/>
    <col min="8451" max="8451" width="28.140625" style="24" customWidth="1"/>
    <col min="8452" max="8452" width="27" style="24" customWidth="1"/>
    <col min="8453" max="8453" width="30.5703125" style="24" customWidth="1"/>
    <col min="8454" max="8454" width="1.7109375" style="24" customWidth="1"/>
    <col min="8455" max="8704" width="9.140625" style="24"/>
    <col min="8705" max="8705" width="24.140625" style="24" customWidth="1"/>
    <col min="8706" max="8706" width="29.85546875" style="24" customWidth="1"/>
    <col min="8707" max="8707" width="28.140625" style="24" customWidth="1"/>
    <col min="8708" max="8708" width="27" style="24" customWidth="1"/>
    <col min="8709" max="8709" width="30.5703125" style="24" customWidth="1"/>
    <col min="8710" max="8710" width="1.7109375" style="24" customWidth="1"/>
    <col min="8711" max="8960" width="9.140625" style="24"/>
    <col min="8961" max="8961" width="24.140625" style="24" customWidth="1"/>
    <col min="8962" max="8962" width="29.85546875" style="24" customWidth="1"/>
    <col min="8963" max="8963" width="28.140625" style="24" customWidth="1"/>
    <col min="8964" max="8964" width="27" style="24" customWidth="1"/>
    <col min="8965" max="8965" width="30.5703125" style="24" customWidth="1"/>
    <col min="8966" max="8966" width="1.7109375" style="24" customWidth="1"/>
    <col min="8967" max="9216" width="9.140625" style="24"/>
    <col min="9217" max="9217" width="24.140625" style="24" customWidth="1"/>
    <col min="9218" max="9218" width="29.85546875" style="24" customWidth="1"/>
    <col min="9219" max="9219" width="28.140625" style="24" customWidth="1"/>
    <col min="9220" max="9220" width="27" style="24" customWidth="1"/>
    <col min="9221" max="9221" width="30.5703125" style="24" customWidth="1"/>
    <col min="9222" max="9222" width="1.7109375" style="24" customWidth="1"/>
    <col min="9223" max="9472" width="9.140625" style="24"/>
    <col min="9473" max="9473" width="24.140625" style="24" customWidth="1"/>
    <col min="9474" max="9474" width="29.85546875" style="24" customWidth="1"/>
    <col min="9475" max="9475" width="28.140625" style="24" customWidth="1"/>
    <col min="9476" max="9476" width="27" style="24" customWidth="1"/>
    <col min="9477" max="9477" width="30.5703125" style="24" customWidth="1"/>
    <col min="9478" max="9478" width="1.7109375" style="24" customWidth="1"/>
    <col min="9479" max="9728" width="9.140625" style="24"/>
    <col min="9729" max="9729" width="24.140625" style="24" customWidth="1"/>
    <col min="9730" max="9730" width="29.85546875" style="24" customWidth="1"/>
    <col min="9731" max="9731" width="28.140625" style="24" customWidth="1"/>
    <col min="9732" max="9732" width="27" style="24" customWidth="1"/>
    <col min="9733" max="9733" width="30.5703125" style="24" customWidth="1"/>
    <col min="9734" max="9734" width="1.7109375" style="24" customWidth="1"/>
    <col min="9735" max="9984" width="9.140625" style="24"/>
    <col min="9985" max="9985" width="24.140625" style="24" customWidth="1"/>
    <col min="9986" max="9986" width="29.85546875" style="24" customWidth="1"/>
    <col min="9987" max="9987" width="28.140625" style="24" customWidth="1"/>
    <col min="9988" max="9988" width="27" style="24" customWidth="1"/>
    <col min="9989" max="9989" width="30.5703125" style="24" customWidth="1"/>
    <col min="9990" max="9990" width="1.7109375" style="24" customWidth="1"/>
    <col min="9991" max="10240" width="9.140625" style="24"/>
    <col min="10241" max="10241" width="24.140625" style="24" customWidth="1"/>
    <col min="10242" max="10242" width="29.85546875" style="24" customWidth="1"/>
    <col min="10243" max="10243" width="28.140625" style="24" customWidth="1"/>
    <col min="10244" max="10244" width="27" style="24" customWidth="1"/>
    <col min="10245" max="10245" width="30.5703125" style="24" customWidth="1"/>
    <col min="10246" max="10246" width="1.7109375" style="24" customWidth="1"/>
    <col min="10247" max="10496" width="9.140625" style="24"/>
    <col min="10497" max="10497" width="24.140625" style="24" customWidth="1"/>
    <col min="10498" max="10498" width="29.85546875" style="24" customWidth="1"/>
    <col min="10499" max="10499" width="28.140625" style="24" customWidth="1"/>
    <col min="10500" max="10500" width="27" style="24" customWidth="1"/>
    <col min="10501" max="10501" width="30.5703125" style="24" customWidth="1"/>
    <col min="10502" max="10502" width="1.7109375" style="24" customWidth="1"/>
    <col min="10503" max="10752" width="9.140625" style="24"/>
    <col min="10753" max="10753" width="24.140625" style="24" customWidth="1"/>
    <col min="10754" max="10754" width="29.85546875" style="24" customWidth="1"/>
    <col min="10755" max="10755" width="28.140625" style="24" customWidth="1"/>
    <col min="10756" max="10756" width="27" style="24" customWidth="1"/>
    <col min="10757" max="10757" width="30.5703125" style="24" customWidth="1"/>
    <col min="10758" max="10758" width="1.7109375" style="24" customWidth="1"/>
    <col min="10759" max="11008" width="9.140625" style="24"/>
    <col min="11009" max="11009" width="24.140625" style="24" customWidth="1"/>
    <col min="11010" max="11010" width="29.85546875" style="24" customWidth="1"/>
    <col min="11011" max="11011" width="28.140625" style="24" customWidth="1"/>
    <col min="11012" max="11012" width="27" style="24" customWidth="1"/>
    <col min="11013" max="11013" width="30.5703125" style="24" customWidth="1"/>
    <col min="11014" max="11014" width="1.7109375" style="24" customWidth="1"/>
    <col min="11015" max="11264" width="9.140625" style="24"/>
    <col min="11265" max="11265" width="24.140625" style="24" customWidth="1"/>
    <col min="11266" max="11266" width="29.85546875" style="24" customWidth="1"/>
    <col min="11267" max="11267" width="28.140625" style="24" customWidth="1"/>
    <col min="11268" max="11268" width="27" style="24" customWidth="1"/>
    <col min="11269" max="11269" width="30.5703125" style="24" customWidth="1"/>
    <col min="11270" max="11270" width="1.7109375" style="24" customWidth="1"/>
    <col min="11271" max="11520" width="9.140625" style="24"/>
    <col min="11521" max="11521" width="24.140625" style="24" customWidth="1"/>
    <col min="11522" max="11522" width="29.85546875" style="24" customWidth="1"/>
    <col min="11523" max="11523" width="28.140625" style="24" customWidth="1"/>
    <col min="11524" max="11524" width="27" style="24" customWidth="1"/>
    <col min="11525" max="11525" width="30.5703125" style="24" customWidth="1"/>
    <col min="11526" max="11526" width="1.7109375" style="24" customWidth="1"/>
    <col min="11527" max="11776" width="9.140625" style="24"/>
    <col min="11777" max="11777" width="24.140625" style="24" customWidth="1"/>
    <col min="11778" max="11778" width="29.85546875" style="24" customWidth="1"/>
    <col min="11779" max="11779" width="28.140625" style="24" customWidth="1"/>
    <col min="11780" max="11780" width="27" style="24" customWidth="1"/>
    <col min="11781" max="11781" width="30.5703125" style="24" customWidth="1"/>
    <col min="11782" max="11782" width="1.7109375" style="24" customWidth="1"/>
    <col min="11783" max="12032" width="9.140625" style="24"/>
    <col min="12033" max="12033" width="24.140625" style="24" customWidth="1"/>
    <col min="12034" max="12034" width="29.85546875" style="24" customWidth="1"/>
    <col min="12035" max="12035" width="28.140625" style="24" customWidth="1"/>
    <col min="12036" max="12036" width="27" style="24" customWidth="1"/>
    <col min="12037" max="12037" width="30.5703125" style="24" customWidth="1"/>
    <col min="12038" max="12038" width="1.7109375" style="24" customWidth="1"/>
    <col min="12039" max="12288" width="9.140625" style="24"/>
    <col min="12289" max="12289" width="24.140625" style="24" customWidth="1"/>
    <col min="12290" max="12290" width="29.85546875" style="24" customWidth="1"/>
    <col min="12291" max="12291" width="28.140625" style="24" customWidth="1"/>
    <col min="12292" max="12292" width="27" style="24" customWidth="1"/>
    <col min="12293" max="12293" width="30.5703125" style="24" customWidth="1"/>
    <col min="12294" max="12294" width="1.7109375" style="24" customWidth="1"/>
    <col min="12295" max="12544" width="9.140625" style="24"/>
    <col min="12545" max="12545" width="24.140625" style="24" customWidth="1"/>
    <col min="12546" max="12546" width="29.85546875" style="24" customWidth="1"/>
    <col min="12547" max="12547" width="28.140625" style="24" customWidth="1"/>
    <col min="12548" max="12548" width="27" style="24" customWidth="1"/>
    <col min="12549" max="12549" width="30.5703125" style="24" customWidth="1"/>
    <col min="12550" max="12550" width="1.7109375" style="24" customWidth="1"/>
    <col min="12551" max="12800" width="9.140625" style="24"/>
    <col min="12801" max="12801" width="24.140625" style="24" customWidth="1"/>
    <col min="12802" max="12802" width="29.85546875" style="24" customWidth="1"/>
    <col min="12803" max="12803" width="28.140625" style="24" customWidth="1"/>
    <col min="12804" max="12804" width="27" style="24" customWidth="1"/>
    <col min="12805" max="12805" width="30.5703125" style="24" customWidth="1"/>
    <col min="12806" max="12806" width="1.7109375" style="24" customWidth="1"/>
    <col min="12807" max="13056" width="9.140625" style="24"/>
    <col min="13057" max="13057" width="24.140625" style="24" customWidth="1"/>
    <col min="13058" max="13058" width="29.85546875" style="24" customWidth="1"/>
    <col min="13059" max="13059" width="28.140625" style="24" customWidth="1"/>
    <col min="13060" max="13060" width="27" style="24" customWidth="1"/>
    <col min="13061" max="13061" width="30.5703125" style="24" customWidth="1"/>
    <col min="13062" max="13062" width="1.7109375" style="24" customWidth="1"/>
    <col min="13063" max="13312" width="9.140625" style="24"/>
    <col min="13313" max="13313" width="24.140625" style="24" customWidth="1"/>
    <col min="13314" max="13314" width="29.85546875" style="24" customWidth="1"/>
    <col min="13315" max="13315" width="28.140625" style="24" customWidth="1"/>
    <col min="13316" max="13316" width="27" style="24" customWidth="1"/>
    <col min="13317" max="13317" width="30.5703125" style="24" customWidth="1"/>
    <col min="13318" max="13318" width="1.7109375" style="24" customWidth="1"/>
    <col min="13319" max="13568" width="9.140625" style="24"/>
    <col min="13569" max="13569" width="24.140625" style="24" customWidth="1"/>
    <col min="13570" max="13570" width="29.85546875" style="24" customWidth="1"/>
    <col min="13571" max="13571" width="28.140625" style="24" customWidth="1"/>
    <col min="13572" max="13572" width="27" style="24" customWidth="1"/>
    <col min="13573" max="13573" width="30.5703125" style="24" customWidth="1"/>
    <col min="13574" max="13574" width="1.7109375" style="24" customWidth="1"/>
    <col min="13575" max="13824" width="9.140625" style="24"/>
    <col min="13825" max="13825" width="24.140625" style="24" customWidth="1"/>
    <col min="13826" max="13826" width="29.85546875" style="24" customWidth="1"/>
    <col min="13827" max="13827" width="28.140625" style="24" customWidth="1"/>
    <col min="13828" max="13828" width="27" style="24" customWidth="1"/>
    <col min="13829" max="13829" width="30.5703125" style="24" customWidth="1"/>
    <col min="13830" max="13830" width="1.7109375" style="24" customWidth="1"/>
    <col min="13831" max="14080" width="9.140625" style="24"/>
    <col min="14081" max="14081" width="24.140625" style="24" customWidth="1"/>
    <col min="14082" max="14082" width="29.85546875" style="24" customWidth="1"/>
    <col min="14083" max="14083" width="28.140625" style="24" customWidth="1"/>
    <col min="14084" max="14084" width="27" style="24" customWidth="1"/>
    <col min="14085" max="14085" width="30.5703125" style="24" customWidth="1"/>
    <col min="14086" max="14086" width="1.7109375" style="24" customWidth="1"/>
    <col min="14087" max="14336" width="9.140625" style="24"/>
    <col min="14337" max="14337" width="24.140625" style="24" customWidth="1"/>
    <col min="14338" max="14338" width="29.85546875" style="24" customWidth="1"/>
    <col min="14339" max="14339" width="28.140625" style="24" customWidth="1"/>
    <col min="14340" max="14340" width="27" style="24" customWidth="1"/>
    <col min="14341" max="14341" width="30.5703125" style="24" customWidth="1"/>
    <col min="14342" max="14342" width="1.7109375" style="24" customWidth="1"/>
    <col min="14343" max="14592" width="9.140625" style="24"/>
    <col min="14593" max="14593" width="24.140625" style="24" customWidth="1"/>
    <col min="14594" max="14594" width="29.85546875" style="24" customWidth="1"/>
    <col min="14595" max="14595" width="28.140625" style="24" customWidth="1"/>
    <col min="14596" max="14596" width="27" style="24" customWidth="1"/>
    <col min="14597" max="14597" width="30.5703125" style="24" customWidth="1"/>
    <col min="14598" max="14598" width="1.7109375" style="24" customWidth="1"/>
    <col min="14599" max="14848" width="9.140625" style="24"/>
    <col min="14849" max="14849" width="24.140625" style="24" customWidth="1"/>
    <col min="14850" max="14850" width="29.85546875" style="24" customWidth="1"/>
    <col min="14851" max="14851" width="28.140625" style="24" customWidth="1"/>
    <col min="14852" max="14852" width="27" style="24" customWidth="1"/>
    <col min="14853" max="14853" width="30.5703125" style="24" customWidth="1"/>
    <col min="14854" max="14854" width="1.7109375" style="24" customWidth="1"/>
    <col min="14855" max="15104" width="9.140625" style="24"/>
    <col min="15105" max="15105" width="24.140625" style="24" customWidth="1"/>
    <col min="15106" max="15106" width="29.85546875" style="24" customWidth="1"/>
    <col min="15107" max="15107" width="28.140625" style="24" customWidth="1"/>
    <col min="15108" max="15108" width="27" style="24" customWidth="1"/>
    <col min="15109" max="15109" width="30.5703125" style="24" customWidth="1"/>
    <col min="15110" max="15110" width="1.7109375" style="24" customWidth="1"/>
    <col min="15111" max="15360" width="9.140625" style="24"/>
    <col min="15361" max="15361" width="24.140625" style="24" customWidth="1"/>
    <col min="15362" max="15362" width="29.85546875" style="24" customWidth="1"/>
    <col min="15363" max="15363" width="28.140625" style="24" customWidth="1"/>
    <col min="15364" max="15364" width="27" style="24" customWidth="1"/>
    <col min="15365" max="15365" width="30.5703125" style="24" customWidth="1"/>
    <col min="15366" max="15366" width="1.7109375" style="24" customWidth="1"/>
    <col min="15367" max="15616" width="9.140625" style="24"/>
    <col min="15617" max="15617" width="24.140625" style="24" customWidth="1"/>
    <col min="15618" max="15618" width="29.85546875" style="24" customWidth="1"/>
    <col min="15619" max="15619" width="28.140625" style="24" customWidth="1"/>
    <col min="15620" max="15620" width="27" style="24" customWidth="1"/>
    <col min="15621" max="15621" width="30.5703125" style="24" customWidth="1"/>
    <col min="15622" max="15622" width="1.7109375" style="24" customWidth="1"/>
    <col min="15623" max="15872" width="9.140625" style="24"/>
    <col min="15873" max="15873" width="24.140625" style="24" customWidth="1"/>
    <col min="15874" max="15874" width="29.85546875" style="24" customWidth="1"/>
    <col min="15875" max="15875" width="28.140625" style="24" customWidth="1"/>
    <col min="15876" max="15876" width="27" style="24" customWidth="1"/>
    <col min="15877" max="15877" width="30.5703125" style="24" customWidth="1"/>
    <col min="15878" max="15878" width="1.7109375" style="24" customWidth="1"/>
    <col min="15879" max="16128" width="9.140625" style="24"/>
    <col min="16129" max="16129" width="24.140625" style="24" customWidth="1"/>
    <col min="16130" max="16130" width="29.85546875" style="24" customWidth="1"/>
    <col min="16131" max="16131" width="28.140625" style="24" customWidth="1"/>
    <col min="16132" max="16132" width="27" style="24" customWidth="1"/>
    <col min="16133" max="16133" width="30.5703125" style="24" customWidth="1"/>
    <col min="16134" max="16134" width="1.7109375" style="24" customWidth="1"/>
    <col min="16135" max="16384" width="9.140625" style="24"/>
  </cols>
  <sheetData>
    <row r="1" spans="1:9" s="12" customFormat="1" ht="21" customHeight="1" x14ac:dyDescent="0.25">
      <c r="A1" s="161" t="s">
        <v>4</v>
      </c>
      <c r="B1" s="161"/>
      <c r="C1" s="163" t="str">
        <f>Copertina!C7</f>
        <v>MEV-Integrazione SIES-ADN (PRE-GOLIVE)</v>
      </c>
      <c r="D1" s="163"/>
      <c r="E1" s="163"/>
      <c r="F1" s="19"/>
      <c r="G1" s="20"/>
      <c r="H1" s="11"/>
    </row>
    <row r="2" spans="1:9" s="12" customFormat="1" ht="20.25" customHeight="1" thickBot="1" x14ac:dyDescent="0.3">
      <c r="A2" s="162" t="s">
        <v>12</v>
      </c>
      <c r="B2" s="162"/>
      <c r="C2" s="164" t="str">
        <f>Copertina!C3</f>
        <v>SIUT-SIE-CT-1.1-20210531-Allegato_al_piano_test_MEV-Integrazione SIES-ADN (PRE-GOLIVE).xlsx</v>
      </c>
      <c r="D2" s="164"/>
      <c r="E2" s="164"/>
      <c r="F2" s="21"/>
      <c r="G2" s="22"/>
      <c r="H2" s="13"/>
    </row>
    <row r="3" spans="1:9" s="23" customFormat="1" ht="27" customHeight="1" thickBot="1" x14ac:dyDescent="0.3">
      <c r="A3" s="173" t="s">
        <v>20</v>
      </c>
      <c r="B3" s="174"/>
      <c r="C3" s="174"/>
      <c r="D3" s="174"/>
      <c r="E3" s="175"/>
      <c r="G3" s="176" t="s">
        <v>21</v>
      </c>
      <c r="H3" s="177"/>
      <c r="I3" s="178"/>
    </row>
    <row r="4" spans="1:9" ht="23.25" customHeight="1" thickBot="1" x14ac:dyDescent="0.25">
      <c r="A4" s="185" t="s">
        <v>22</v>
      </c>
      <c r="B4" s="186" t="s">
        <v>23</v>
      </c>
      <c r="C4" s="187"/>
      <c r="D4" s="187"/>
      <c r="E4" s="188"/>
      <c r="G4" s="179"/>
      <c r="H4" s="180"/>
      <c r="I4" s="181"/>
    </row>
    <row r="5" spans="1:9" ht="26.25" customHeight="1" thickBot="1" x14ac:dyDescent="0.25">
      <c r="A5" s="169"/>
      <c r="B5" s="25">
        <v>1</v>
      </c>
      <c r="C5" s="25">
        <v>2</v>
      </c>
      <c r="D5" s="25">
        <v>3</v>
      </c>
      <c r="E5" s="26">
        <v>4</v>
      </c>
      <c r="G5" s="179"/>
      <c r="H5" s="180"/>
      <c r="I5" s="181"/>
    </row>
    <row r="6" spans="1:9" ht="15.75" thickBot="1" x14ac:dyDescent="0.25">
      <c r="A6" s="27" t="s">
        <v>24</v>
      </c>
      <c r="B6" s="28">
        <f>COUNTIFS(TabellaTest!$H$4:$H$332,1,TabellaTest!$I$4:$I$332,"A",TabellaTest!$J$4:$J$332,"KO")</f>
        <v>0</v>
      </c>
      <c r="C6" s="28">
        <f>COUNTIFS(TabellaTest!$H$4:$H$332,2,TabellaTest!$I$4:$I$332,"A",TabellaTest!$J$4:$J$332,"KO")</f>
        <v>0</v>
      </c>
      <c r="D6" s="28">
        <f>COUNTIFS(TabellaTest!$H$4:$H$332,3,TabellaTest!$I$4:$I$332,"A",TabellaTest!$J$4:$J$332,"KO")</f>
        <v>0</v>
      </c>
      <c r="E6" s="28">
        <f>COUNTIFS(TabellaTest!$H$4:$H$332,4,TabellaTest!$I$4:$I$332,"A",TabellaTest!$J$4:$J$332,"KO")</f>
        <v>0</v>
      </c>
      <c r="G6" s="179"/>
      <c r="H6" s="180"/>
      <c r="I6" s="181"/>
    </row>
    <row r="7" spans="1:9" ht="15.75" thickBot="1" x14ac:dyDescent="0.25">
      <c r="A7" s="29" t="s">
        <v>25</v>
      </c>
      <c r="B7" s="28">
        <f>COUNTIFS(TabellaTest!$H$4:$H$332,1,TabellaTest!$I$4:$I$332,"B",TabellaTest!$J$4:$J$332,"KO")</f>
        <v>0</v>
      </c>
      <c r="C7" s="28">
        <f>COUNTIFS(TabellaTest!$H$4:$H$332,2,TabellaTest!$I$4:$I$332,"B",TabellaTest!$J$4:$J$332,"KO")</f>
        <v>0</v>
      </c>
      <c r="D7" s="28">
        <f>COUNTIFS(TabellaTest!$H$4:$H$332,3,TabellaTest!$I$4:$I$332,"B",TabellaTest!$J$4:$J$332,"KO")</f>
        <v>0</v>
      </c>
      <c r="E7" s="28">
        <f>COUNTIFS(TabellaTest!$H$4:$H$332,4,TabellaTest!$I$4:$I$332,"B",TabellaTest!$J$4:$J$332,"KO")</f>
        <v>0</v>
      </c>
      <c r="G7" s="179"/>
      <c r="H7" s="180"/>
      <c r="I7" s="181"/>
    </row>
    <row r="8" spans="1:9" ht="15.75" thickBot="1" x14ac:dyDescent="0.25">
      <c r="A8" s="30" t="s">
        <v>26</v>
      </c>
      <c r="B8" s="28">
        <f>COUNTIFS(TabellaTest!$H$4:$H$332,1,TabellaTest!$I$4:$I$332,"C",TabellaTest!$J$4:$J$332,"KO")</f>
        <v>0</v>
      </c>
      <c r="C8" s="28">
        <f>COUNTIFS(TabellaTest!$H$4:$H$332,2,TabellaTest!$I$4:$I$332,"C",TabellaTest!$J$4:$J$332,"KO")</f>
        <v>0</v>
      </c>
      <c r="D8" s="28">
        <f>COUNTIFS(TabellaTest!$H$4:$H$332,3,TabellaTest!$I$4:$I$332,"C",TabellaTest!$J$4:$J$332,"KO")</f>
        <v>0</v>
      </c>
      <c r="E8" s="28">
        <f>COUNTIFS(TabellaTest!$H$4:$H$332,4,TabellaTest!$I$4:$I$332,"C",TabellaTest!$J$4:$J$332,"KO")</f>
        <v>0</v>
      </c>
      <c r="G8" s="182"/>
      <c r="H8" s="183"/>
      <c r="I8" s="184"/>
    </row>
    <row r="9" spans="1:9" x14ac:dyDescent="0.2">
      <c r="G9" s="31"/>
      <c r="H9" s="32"/>
      <c r="I9" s="32"/>
    </row>
    <row r="12" spans="1:9" ht="10.5" customHeight="1" thickBot="1" x14ac:dyDescent="0.25"/>
    <row r="13" spans="1:9" ht="13.5" hidden="1" thickBot="1" x14ac:dyDescent="0.25"/>
    <row r="14" spans="1:9" s="23" customFormat="1" ht="28.5" customHeight="1" x14ac:dyDescent="0.25">
      <c r="A14" s="165" t="s">
        <v>27</v>
      </c>
      <c r="B14" s="166"/>
      <c r="C14" s="166"/>
      <c r="D14" s="166"/>
      <c r="E14" s="167"/>
      <c r="G14" s="34"/>
    </row>
    <row r="15" spans="1:9" ht="15.75" thickBot="1" x14ac:dyDescent="0.25">
      <c r="A15" s="168" t="s">
        <v>22</v>
      </c>
      <c r="B15" s="170" t="s">
        <v>23</v>
      </c>
      <c r="C15" s="171"/>
      <c r="D15" s="171"/>
      <c r="E15" s="172"/>
    </row>
    <row r="16" spans="1:9" ht="15.75" thickBot="1" x14ac:dyDescent="0.25">
      <c r="A16" s="169"/>
      <c r="B16" s="35">
        <v>1</v>
      </c>
      <c r="C16" s="35">
        <v>2</v>
      </c>
      <c r="D16" s="35">
        <v>3</v>
      </c>
      <c r="E16" s="36">
        <v>4</v>
      </c>
    </row>
    <row r="17" spans="1:5" ht="15.75" thickBot="1" x14ac:dyDescent="0.25">
      <c r="A17" s="37" t="s">
        <v>24</v>
      </c>
      <c r="B17" s="38">
        <f>COUNTIFS(TabellaTest!$H$4:$H$332,1,TabellaTest!$I$4:$I$332,"A")</f>
        <v>1</v>
      </c>
      <c r="C17" s="38">
        <f>COUNTIFS(TabellaTest!$H$4:$H$332,2,TabellaTest!$I$4:$I$332,"A")</f>
        <v>0</v>
      </c>
      <c r="D17" s="38">
        <f>COUNTIFS(TabellaTest!$H$4:$H$332,3,TabellaTest!$I$4:$I$332,"A")</f>
        <v>0</v>
      </c>
      <c r="E17" s="38">
        <f>COUNTIFS(TabellaTest!$H$4:$H$332,4,TabellaTest!$I$4:$I$332,"A")</f>
        <v>0</v>
      </c>
    </row>
    <row r="18" spans="1:5" ht="15.75" thickBot="1" x14ac:dyDescent="0.25">
      <c r="A18" s="39" t="s">
        <v>25</v>
      </c>
      <c r="B18" s="38">
        <f>COUNTIFS(TabellaTest!$H$4:$H$332,1,TabellaTest!$I$4:$I$332,"B")</f>
        <v>0</v>
      </c>
      <c r="C18" s="38">
        <f>COUNTIFS(TabellaTest!$H$4:$H$332,2,TabellaTest!$I$4:$I$332,"B")</f>
        <v>5</v>
      </c>
      <c r="D18" s="38">
        <f>COUNTIFS(TabellaTest!$H$4:$H$332,3,TabellaTest!$I$4:$I$332,"B")</f>
        <v>0</v>
      </c>
      <c r="E18" s="38">
        <f>COUNTIFS(TabellaTest!$H$4:$H$332,4,TabellaTest!$I$4:$I$332,"B")</f>
        <v>0</v>
      </c>
    </row>
    <row r="19" spans="1:5" ht="15.75" thickBot="1" x14ac:dyDescent="0.25">
      <c r="A19" s="40" t="s">
        <v>26</v>
      </c>
      <c r="B19" s="38">
        <f>COUNTIFS(TabellaTest!$H$4:$H$332,1,TabellaTest!$I$4:$I$332,"C")</f>
        <v>0</v>
      </c>
      <c r="C19" s="38">
        <f>COUNTIFS(TabellaTest!$H$4:$H$332,2,TabellaTest!$I$4:$I$332,"C")</f>
        <v>0</v>
      </c>
      <c r="D19" s="38">
        <f>COUNTIFS(TabellaTest!$H$4:$H$332,3,TabellaTest!$I$4:$I$332,"C")</f>
        <v>3</v>
      </c>
      <c r="E19" s="38">
        <f>COUNTIFS(TabellaTest!$H$4:$H$332,4,TabellaTest!$I$4:$I$332,"C")</f>
        <v>2</v>
      </c>
    </row>
  </sheetData>
  <sheetProtection algorithmName="SHA-512" hashValue="yK4t762dsqdaSNJbIJdXYOJ9V6yhJPk90M8BFw4lbAyBYOqkLwUcsAp6Hzt1n+PAyjFA1QcVZEWzBN39IMR6Og==" saltValue="SATjaK3ZpVyROTc4J1W+8Q==" spinCount="100000" sheet="1" selectLockedCells="1" selectUnlockedCells="1"/>
  <mergeCells count="11">
    <mergeCell ref="A15:A16"/>
    <mergeCell ref="B15:E15"/>
    <mergeCell ref="A3:E3"/>
    <mergeCell ref="G3:I8"/>
    <mergeCell ref="A4:A5"/>
    <mergeCell ref="B4:E4"/>
    <mergeCell ref="A1:B1"/>
    <mergeCell ref="A2:B2"/>
    <mergeCell ref="C1:E1"/>
    <mergeCell ref="C2:E2"/>
    <mergeCell ref="A14:E14"/>
  </mergeCells>
  <conditionalFormatting sqref="B6:E8">
    <cfRule type="expression" dxfId="3" priority="1" stopIfTrue="1">
      <formula>$E$6&gt;$E$17</formula>
    </cfRule>
    <cfRule type="expression" dxfId="2" priority="2" stopIfTrue="1">
      <formula>$D$6&gt;$D$17</formula>
    </cfRule>
    <cfRule type="expression" dxfId="1" priority="3" stopIfTrue="1">
      <formula>$C$6&gt;$C$17</formula>
    </cfRule>
    <cfRule type="expression" dxfId="0" priority="4" stopIfTrue="1">
      <formula>$B$6&gt;($B$17)</formula>
    </cfRule>
  </conditionalFormatting>
  <pageMargins left="0.27559055118110237" right="0.55118110236220474" top="0.43307086614173229" bottom="0.39370078740157483" header="0.23622047244094491" footer="0.23622047244094491"/>
  <pageSetup paperSize="9" scale="80" orientation="landscape" r:id="rId1"/>
  <headerFooter alignWithMargins="0">
    <oddHeader>&amp;R&amp;D &amp;T</oddHeader>
    <oddFooter>&amp;L&amp;F&amp;C&amp;A&amp;RPagina &amp;P di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B637F1D28401F4E9309B338650987D9" ma:contentTypeVersion="10" ma:contentTypeDescription="Creare un nuovo documento." ma:contentTypeScope="" ma:versionID="6e68582ca45cee34772eca177e0e6347">
  <xsd:schema xmlns:xsd="http://www.w3.org/2001/XMLSchema" xmlns:xs="http://www.w3.org/2001/XMLSchema" xmlns:p="http://schemas.microsoft.com/office/2006/metadata/properties" xmlns:ns3="a3ae56ea-36dd-4ec5-b67e-65253cb58edc" xmlns:ns4="05f6d153-fdd9-4ea0-9d5e-dbae83f18a55" targetNamespace="http://schemas.microsoft.com/office/2006/metadata/properties" ma:root="true" ma:fieldsID="0e64261cf123f0820c518166c1aafef0" ns3:_="" ns4:_="">
    <xsd:import namespace="a3ae56ea-36dd-4ec5-b67e-65253cb58edc"/>
    <xsd:import namespace="05f6d153-fdd9-4ea0-9d5e-dbae83f18a5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ae56ea-36dd-4ec5-b67e-65253cb58e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f6d153-fdd9-4ea0-9d5e-dbae83f18a55" elementFormDefault="qualified">
    <xsd:import namespace="http://schemas.microsoft.com/office/2006/documentManagement/types"/>
    <xsd:import namespace="http://schemas.microsoft.com/office/infopath/2007/PartnerControls"/>
    <xsd:element name="SharedWithUsers" ma:index="13"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Condiviso con dettagli" ma:internalName="SharedWithDetails" ma:readOnly="true">
      <xsd:simpleType>
        <xsd:restriction base="dms:Note">
          <xsd:maxLength value="255"/>
        </xsd:restriction>
      </xsd:simpleType>
    </xsd:element>
    <xsd:element name="SharingHintHash" ma:index="15" nillable="true" ma:displayName="Hash suggerimento condivisione"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C65E7D-62B2-458A-867B-AE3870757B77}">
  <ds:schemaRefs>
    <ds:schemaRef ds:uri="http://schemas.microsoft.com/sharepoint/v3/contenttype/forms"/>
  </ds:schemaRefs>
</ds:datastoreItem>
</file>

<file path=customXml/itemProps2.xml><?xml version="1.0" encoding="utf-8"?>
<ds:datastoreItem xmlns:ds="http://schemas.openxmlformats.org/officeDocument/2006/customXml" ds:itemID="{3CA223A0-14F8-4CF7-B03D-5B8241C56AE5}">
  <ds:schemaRefs>
    <ds:schemaRef ds:uri="http://schemas.microsoft.com/office/infopath/2007/PartnerControls"/>
    <ds:schemaRef ds:uri="http://schemas.microsoft.com/office/2006/documentManagement/types"/>
    <ds:schemaRef ds:uri="http://purl.org/dc/elements/1.1/"/>
    <ds:schemaRef ds:uri="http://schemas.microsoft.com/office/2006/metadata/properties"/>
    <ds:schemaRef ds:uri="a3ae56ea-36dd-4ec5-b67e-65253cb58edc"/>
    <ds:schemaRef ds:uri="http://purl.org/dc/terms/"/>
    <ds:schemaRef ds:uri="http://schemas.openxmlformats.org/package/2006/metadata/core-properties"/>
    <ds:schemaRef ds:uri="http://purl.org/dc/dcmitype/"/>
    <ds:schemaRef ds:uri="05f6d153-fdd9-4ea0-9d5e-dbae83f18a55"/>
    <ds:schemaRef ds:uri="http://www.w3.org/XML/1998/namespace"/>
  </ds:schemaRefs>
</ds:datastoreItem>
</file>

<file path=customXml/itemProps3.xml><?xml version="1.0" encoding="utf-8"?>
<ds:datastoreItem xmlns:ds="http://schemas.openxmlformats.org/officeDocument/2006/customXml" ds:itemID="{C17AF078-23A2-4F08-B5B5-1283EC9C50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ae56ea-36dd-4ec5-b67e-65253cb58edc"/>
    <ds:schemaRef ds:uri="05f6d153-fdd9-4ea0-9d5e-dbae83f18a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5</vt:i4>
      </vt:variant>
      <vt:variant>
        <vt:lpstr>Intervalli denominati</vt:lpstr>
      </vt:variant>
      <vt:variant>
        <vt:i4>1</vt:i4>
      </vt:variant>
    </vt:vector>
  </HeadingPairs>
  <TitlesOfParts>
    <vt:vector size="6" baseType="lpstr">
      <vt:lpstr>Copertina</vt:lpstr>
      <vt:lpstr>TabellaTest</vt:lpstr>
      <vt:lpstr>SpecificaTest</vt:lpstr>
      <vt:lpstr>VerificheConformità</vt:lpstr>
      <vt:lpstr>SogliaAccettazione</vt:lpstr>
      <vt:lpstr>VerificheConformità!Area_stampa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Allegato al Piano di Test</dc:title>
  <dc:creator>Engineering</dc:creator>
  <cp:lastModifiedBy>Domenico Nania</cp:lastModifiedBy>
  <cp:lastPrinted>2019-11-08T14:17:06Z</cp:lastPrinted>
  <dcterms:created xsi:type="dcterms:W3CDTF">2019-11-07T09:38:15Z</dcterms:created>
  <dcterms:modified xsi:type="dcterms:W3CDTF">2021-05-25T09:55:35Z</dcterms:modified>
</cp:coreProperties>
</file>