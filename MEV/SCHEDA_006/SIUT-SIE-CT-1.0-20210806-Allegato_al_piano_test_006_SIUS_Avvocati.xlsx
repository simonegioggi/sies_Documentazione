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 activeTab="2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" i="3" l="1"/>
  <c r="D4" i="3"/>
  <c r="B17" i="5" l="1"/>
  <c r="F4" i="3" l="1"/>
  <c r="B4" i="3"/>
  <c r="A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<sst xmlns="http://schemas.openxmlformats.org/spreadsheetml/2006/main" count="146" uniqueCount="104">
  <si>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</si>
  <si>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</si>
  <si>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</si>
  <si>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</si>
  <si>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</si>
  <si>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</si>
  <si>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</si>
  <si>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</si>
  <si>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</si>
  <si>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</si>
  <si>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</si>
  <si>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</si>
  <si>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</si>
  <si>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</si>
  <si>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</si>
  <si>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</si>
  <si>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</si>
  <si>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</si>
  <si>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</si>
  <si>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</si>
  <si>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</si>
  <si>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</si>
  <si>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</si>
  <si>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</si>
  <si>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</si>
  <si>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</si>
  <si>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</si>
  <si>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</si>
  <si>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</si>
  <si>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</si>
  <si>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</si>
  <si>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</si>
  <si>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</si>
  <si>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</si>
  <si>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</si>
  <si>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</si>
  <si>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</si>
  <si>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</si>
  <si>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</si>
  <si>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</si>
  <si>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</si>
  <si>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</si>
  <si>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</si>
  <si>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</si>
  <si>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</si>
  <si>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</si>
  <si>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</si>
  <si>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</si>
  <si>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</si>
  <si>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</si>
  <si>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</si>
  <si>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</si>
  <si>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</si>
  <si>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</si>
  <si>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</si>
  <si>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</si>
  <si>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</si>
  <si>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</si>
  <si>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</si>
  <si>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</si>
  <si>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</si>
  <si>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</si>
  <si>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</si>
  <si>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</si>
  <si>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</si>
  <si>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</si>
  <si>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</si>
  <si>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</si>
  <si>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</si>
  <si>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</si>
  <si>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</si>
  <si>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</si>
  <si>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</si>
  <si>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</si>
  <si>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</si>
  <si>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</si>
  <si>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</si>
  <si>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</si>
  <si>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</si>
  <si>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</si>
  <si>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</si>
  <si>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Penale</t>
  </si>
  <si>
    <t>SIES</t>
  </si>
  <si>
    <t>2</t>
  </si>
  <si>
    <t>3</t>
  </si>
  <si>
    <t>V</t>
  </si>
  <si>
    <t>Verifica</t>
  </si>
  <si>
    <t>1.0</t>
  </si>
  <si>
    <t>L'utente si trova nella pagina principale dell'applicazione.</t>
  </si>
  <si>
    <t xml:space="preserve">L'utente effettua l'accesso al sistema SIUS come Tribunale di Sorveglianza </t>
  </si>
  <si>
    <t>Dxxxxx (Tribunale di Sorveglianza)</t>
  </si>
  <si>
    <t>SIUT-SIE-CT-1.0-20210806-Allegato_al_piano_test_006_SIUS_Avvocati.xlsx</t>
  </si>
  <si>
    <t>SIUT-SIE-PT-1.0-20210806-Piano_dei_Test_006_SIUS_Avvocati.pdf</t>
  </si>
  <si>
    <t>MEV 2019_006 SIUS Avvocati</t>
  </si>
  <si>
    <t>REQ-SIE-006-01</t>
  </si>
  <si>
    <t>Verifica Inserimento Fissazione Udienza in SIUS</t>
  </si>
  <si>
    <t>Verifica: Verificare che nel sottosistema SIUS, nella fase di inserimento fissazione udienza, la ricerca dell'udienza dia risultati congrui con l'installazione precedente</t>
  </si>
  <si>
    <t>Udienza » Fissazione Udienza</t>
  </si>
  <si>
    <r>
      <t xml:space="preserve">Visualizzazione pagina </t>
    </r>
    <r>
      <rPr>
        <b/>
        <sz val="10"/>
        <rFont val="Arial"/>
        <family val="2"/>
      </rPr>
      <t xml:space="preserve">Inserimento Fissazione Udienza </t>
    </r>
  </si>
  <si>
    <r>
      <t>Cliccare sul link</t>
    </r>
    <r>
      <rPr>
        <b/>
        <sz val="10"/>
        <rFont val="Arial"/>
        <family val="2"/>
      </rPr>
      <t xml:space="preserve"> Lista Udienze</t>
    </r>
  </si>
  <si>
    <r>
      <t xml:space="preserve">Visualizzazione pagina </t>
    </r>
    <r>
      <rPr>
        <b/>
        <sz val="10"/>
        <rFont val="Arial"/>
        <family val="2"/>
      </rPr>
      <t>Elenco Udienze</t>
    </r>
  </si>
  <si>
    <t>Verificare che la ricerca dia un risultato non nullo</t>
  </si>
  <si>
    <t>Se il risultato è non nullo, allora verificare che lo stesso output sia ottenuto con una precedente installazione</t>
  </si>
  <si>
    <r>
      <t xml:space="preserve">Se il risultato è nullo, allora modificare la data nel campo </t>
    </r>
    <r>
      <rPr>
        <b/>
        <sz val="10"/>
        <rFont val="Arial"/>
        <family val="2"/>
      </rPr>
      <t>Visualizza le Udienze a partire dal</t>
    </r>
    <r>
      <rPr>
        <sz val="10"/>
        <rFont val="Arial"/>
        <family val="2"/>
      </rPr>
      <t xml:space="preserve"> e premere il tasto </t>
    </r>
    <r>
      <rPr>
        <b/>
        <sz val="10"/>
        <rFont val="Arial"/>
        <family val="2"/>
      </rPr>
      <t>Visualizza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</si>
</sst>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14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45">
    <xf numFmtId="0" fontId="0" fillId="0" borderId="0" xfId="0"/>
    <xf numFmtId="0" fontId="0" fillId="0" borderId="0" xfId="0" applyFont="1" applyAlignment="1">
      <alignment vertical="center"/>
    </xf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49" fontId="9" fillId="0" borderId="38" xfId="0" applyNumberFormat="1" applyFont="1" applyBorder="1" applyAlignment="1">
      <alignment vertical="center" wrapText="1"/>
    </xf>
    <xf numFmtId="49" fontId="0" fillId="0" borderId="38" xfId="0" applyNumberFormat="1" applyBorder="1" applyAlignment="1">
      <alignment vertical="center" wrapText="1"/>
    </xf>
    <xf numFmtId="49" fontId="0" fillId="0" borderId="39" xfId="0" applyNumberFormat="1" applyBorder="1" applyAlignment="1">
      <alignment vertical="center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7" fillId="12" borderId="43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29" fillId="0" borderId="4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27" fillId="12" borderId="55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1" fillId="14" borderId="45" xfId="0" applyFont="1" applyFill="1" applyBorder="1" applyAlignment="1">
      <alignment horizontal="center" vertical="center" wrapText="1"/>
    </xf>
    <xf numFmtId="0" fontId="31" fillId="14" borderId="46" xfId="0" applyFont="1" applyFill="1" applyBorder="1" applyAlignment="1">
      <alignment horizontal="center" vertical="center" wrapText="1"/>
    </xf>
    <xf numFmtId="0" fontId="27" fillId="12" borderId="15" xfId="0" applyFont="1" applyFill="1" applyBorder="1" applyAlignment="1">
      <alignment horizontal="center" vertical="center" wrapText="1"/>
    </xf>
    <xf numFmtId="0" fontId="30" fillId="13" borderId="48" xfId="0" applyFont="1" applyFill="1" applyBorder="1" applyAlignment="1">
      <alignment vertical="center" wrapText="1"/>
    </xf>
    <xf numFmtId="49" fontId="26" fillId="15" borderId="11" xfId="0" applyNumberFormat="1" applyFont="1" applyFill="1" applyBorder="1" applyAlignment="1">
      <alignment horizontal="center" vertical="center" wrapText="1"/>
    </xf>
    <xf numFmtId="0" fontId="26" fillId="15" borderId="12" xfId="0" applyFont="1" applyFill="1" applyBorder="1" applyAlignment="1">
      <alignment horizontal="center" vertical="center" wrapText="1"/>
    </xf>
    <xf numFmtId="49" fontId="26" fillId="16" borderId="47" xfId="0" applyNumberFormat="1" applyFont="1" applyFill="1" applyBorder="1" applyAlignment="1">
      <alignment horizontal="center" vertical="center" wrapText="1"/>
    </xf>
    <xf numFmtId="0" fontId="26" fillId="16" borderId="4" xfId="0" applyFont="1" applyFill="1" applyBorder="1" applyAlignment="1">
      <alignment vertical="center" wrapText="1"/>
    </xf>
    <xf numFmtId="0" fontId="26" fillId="4" borderId="47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vertical="center" wrapText="1"/>
    </xf>
    <xf numFmtId="49" fontId="26" fillId="17" borderId="36" xfId="0" applyNumberFormat="1" applyFont="1" applyFill="1" applyBorder="1" applyAlignment="1">
      <alignment horizontal="center" vertical="center" wrapText="1"/>
    </xf>
    <xf numFmtId="0" fontId="26" fillId="17" borderId="4" xfId="0" applyFont="1" applyFill="1" applyBorder="1" applyAlignment="1">
      <alignment vertical="center" wrapText="1"/>
    </xf>
    <xf numFmtId="0" fontId="26" fillId="18" borderId="36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vertical="center" wrapText="1"/>
    </xf>
    <xf numFmtId="49" fontId="26" fillId="17" borderId="56" xfId="0" applyNumberFormat="1" applyFont="1" applyFill="1" applyBorder="1" applyAlignment="1">
      <alignment horizontal="center" vertical="center" wrapText="1"/>
    </xf>
    <xf numFmtId="0" fontId="26" fillId="17" borderId="7" xfId="0" applyFont="1" applyFill="1" applyBorder="1" applyAlignment="1">
      <alignment vertical="center" wrapText="1"/>
    </xf>
    <xf numFmtId="0" fontId="26" fillId="18" borderId="57" xfId="0" applyFont="1" applyFill="1" applyBorder="1" applyAlignment="1">
      <alignment horizontal="center" vertical="center" wrapText="1"/>
    </xf>
    <xf numFmtId="0" fontId="26" fillId="18" borderId="14" xfId="0" applyFont="1" applyFill="1" applyBorder="1" applyAlignment="1">
      <alignment vertical="center" wrapText="1"/>
    </xf>
    <xf numFmtId="0" fontId="33" fillId="6" borderId="11" xfId="0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1" fontId="30" fillId="0" borderId="4" xfId="0" applyNumberFormat="1" applyFont="1" applyFill="1" applyBorder="1" applyAlignment="1">
      <alignment horizontal="center" vertical="center"/>
    </xf>
    <xf numFmtId="0" fontId="30" fillId="0" borderId="3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vertical="center" wrapText="1"/>
    </xf>
    <xf numFmtId="0" fontId="30" fillId="12" borderId="37" xfId="0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vertical="center" wrapText="1"/>
    </xf>
    <xf numFmtId="49" fontId="34" fillId="3" borderId="7" xfId="0" applyNumberFormat="1" applyFont="1" applyFill="1" applyBorder="1" applyAlignment="1">
      <alignment horizontal="center" vertical="center" wrapText="1"/>
    </xf>
    <xf numFmtId="49" fontId="34" fillId="4" borderId="7" xfId="0" applyNumberFormat="1" applyFont="1" applyFill="1" applyBorder="1" applyAlignment="1">
      <alignment horizontal="center" vertical="center" wrapText="1"/>
    </xf>
    <xf numFmtId="0" fontId="34" fillId="6" borderId="7" xfId="0" applyFont="1" applyFill="1" applyBorder="1" applyAlignment="1">
      <alignment horizontal="center" vertical="center" wrapText="1"/>
    </xf>
    <xf numFmtId="49" fontId="34" fillId="6" borderId="7" xfId="0" applyNumberFormat="1" applyFont="1" applyFill="1" applyBorder="1" applyAlignment="1">
      <alignment horizontal="center" vertical="center" wrapText="1"/>
    </xf>
    <xf numFmtId="49" fontId="34" fillId="5" borderId="7" xfId="0" applyNumberFormat="1" applyFont="1" applyFill="1" applyBorder="1" applyAlignment="1">
      <alignment horizontal="center" vertical="center" wrapText="1"/>
    </xf>
    <xf numFmtId="0" fontId="34" fillId="5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4" fillId="2" borderId="35" xfId="0" applyFont="1" applyFill="1" applyBorder="1" applyAlignment="1" applyProtection="1">
      <alignment horizontal="center" vertical="center" wrapText="1"/>
      <protection locked="0"/>
    </xf>
    <xf numFmtId="0" fontId="34" fillId="2" borderId="36" xfId="0" applyFont="1" applyFill="1" applyBorder="1" applyAlignment="1" applyProtection="1">
      <alignment horizontal="center" vertical="center" wrapText="1"/>
      <protection locked="0"/>
    </xf>
    <xf numFmtId="0" fontId="31" fillId="12" borderId="42" xfId="0" applyFont="1" applyFill="1" applyBorder="1" applyAlignment="1">
      <alignment horizontal="center" vertical="center" wrapText="1"/>
    </xf>
    <xf numFmtId="0" fontId="31" fillId="12" borderId="41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center" vertical="center" wrapText="1"/>
      <protection locked="0"/>
    </xf>
    <xf numFmtId="49" fontId="24" fillId="0" borderId="4" xfId="0" applyNumberFormat="1" applyFont="1" applyBorder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32" fillId="0" borderId="4" xfId="0" applyFont="1" applyBorder="1" applyAlignment="1">
      <alignment horizontal="center" vertical="center" wrapText="1"/>
    </xf>
    <xf numFmtId="0" fontId="23" fillId="2" borderId="44" xfId="0" applyFont="1" applyFill="1" applyBorder="1" applyAlignment="1" applyProtection="1">
      <alignment horizontal="center" vertical="center" wrapText="1"/>
      <protection locked="0"/>
    </xf>
    <xf numFmtId="49" fontId="25" fillId="0" borderId="44" xfId="0" applyNumberFormat="1" applyFont="1" applyBorder="1" applyAlignment="1">
      <alignment vertical="center" wrapText="1"/>
    </xf>
    <xf numFmtId="0" fontId="25" fillId="0" borderId="44" xfId="0" applyFont="1" applyBorder="1" applyAlignment="1">
      <alignment vertical="center" wrapText="1"/>
    </xf>
    <xf numFmtId="0" fontId="33" fillId="15" borderId="53" xfId="0" applyFont="1" applyFill="1" applyBorder="1" applyAlignment="1">
      <alignment horizontal="center" vertical="center" wrapText="1"/>
    </xf>
    <xf numFmtId="0" fontId="33" fillId="15" borderId="54" xfId="0" applyFont="1" applyFill="1" applyBorder="1" applyAlignment="1">
      <alignment horizontal="center" vertical="center" wrapText="1"/>
    </xf>
    <xf numFmtId="0" fontId="30" fillId="13" borderId="51" xfId="0" applyFont="1" applyFill="1" applyBorder="1" applyAlignment="1">
      <alignment horizontal="left" vertical="center" wrapText="1"/>
    </xf>
    <xf numFmtId="0" fontId="30" fillId="0" borderId="52" xfId="0" applyFont="1" applyBorder="1" applyAlignment="1">
      <alignment horizontal="left" vertical="center" wrapText="1"/>
    </xf>
    <xf numFmtId="0" fontId="30" fillId="13" borderId="49" xfId="0" applyFont="1" applyFill="1" applyBorder="1" applyAlignment="1">
      <alignment horizontal="center" vertical="center" wrapText="1"/>
    </xf>
    <xf numFmtId="0" fontId="30" fillId="13" borderId="50" xfId="0" applyFont="1" applyFill="1" applyBorder="1" applyAlignment="1">
      <alignment horizontal="center" vertical="center" wrapText="1"/>
    </xf>
    <xf numFmtId="0" fontId="30" fillId="0" borderId="51" xfId="0" applyFont="1" applyBorder="1" applyAlignment="1">
      <alignment horizontal="left" vertical="center" wrapText="1"/>
    </xf>
    <xf numFmtId="0" fontId="3" fillId="2" borderId="11" xfId="0" applyFont="1" applyFill="1" applyBorder="1" applyAlignment="1" applyProtection="1">
      <alignment horizontal="center" wrapText="1"/>
      <protection locked="0"/>
    </xf>
    <xf numFmtId="49" fontId="0" fillId="0" borderId="12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=""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selection sqref="A1:XFD1048576"/>
    </sheetView>
  </sheetViews>
  <sheetFormatPr defaultRowHeight="120.75" customHeight="1" x14ac:dyDescent="0.25"/>
  <cols>
    <col min="1" max="1" width="1.42578125" style="39" customWidth="1"/>
    <col min="2" max="2" width="31.28515625" style="39" customWidth="1"/>
    <col min="3" max="3" width="94.7109375" style="39" customWidth="1"/>
    <col min="4" max="4" width="51.7109375" style="39" customWidth="1"/>
    <col min="5" max="256" width="9.140625" style="39"/>
    <col min="257" max="257" width="1.42578125" style="39" customWidth="1"/>
    <col min="258" max="258" width="31.28515625" style="39" customWidth="1"/>
    <col min="259" max="259" width="83.5703125" style="39" bestFit="1" customWidth="1"/>
    <col min="260" max="260" width="51.7109375" style="39" customWidth="1"/>
    <col min="261" max="512" width="9.140625" style="39"/>
    <col min="513" max="513" width="1.42578125" style="39" customWidth="1"/>
    <col min="514" max="514" width="31.28515625" style="39" customWidth="1"/>
    <col min="515" max="515" width="83.5703125" style="39" bestFit="1" customWidth="1"/>
    <col min="516" max="516" width="51.7109375" style="39" customWidth="1"/>
    <col min="517" max="768" width="9.140625" style="39"/>
    <col min="769" max="769" width="1.42578125" style="39" customWidth="1"/>
    <col min="770" max="770" width="31.28515625" style="39" customWidth="1"/>
    <col min="771" max="771" width="83.5703125" style="39" bestFit="1" customWidth="1"/>
    <col min="772" max="772" width="51.7109375" style="39" customWidth="1"/>
    <col min="773" max="1024" width="9.140625" style="39"/>
    <col min="1025" max="1025" width="1.42578125" style="39" customWidth="1"/>
    <col min="1026" max="1026" width="31.28515625" style="39" customWidth="1"/>
    <col min="1027" max="1027" width="83.5703125" style="39" bestFit="1" customWidth="1"/>
    <col min="1028" max="1028" width="51.7109375" style="39" customWidth="1"/>
    <col min="1029" max="1280" width="9.140625" style="39"/>
    <col min="1281" max="1281" width="1.42578125" style="39" customWidth="1"/>
    <col min="1282" max="1282" width="31.28515625" style="39" customWidth="1"/>
    <col min="1283" max="1283" width="83.5703125" style="39" bestFit="1" customWidth="1"/>
    <col min="1284" max="1284" width="51.7109375" style="39" customWidth="1"/>
    <col min="1285" max="1536" width="9.140625" style="39"/>
    <col min="1537" max="1537" width="1.42578125" style="39" customWidth="1"/>
    <col min="1538" max="1538" width="31.28515625" style="39" customWidth="1"/>
    <col min="1539" max="1539" width="83.5703125" style="39" bestFit="1" customWidth="1"/>
    <col min="1540" max="1540" width="51.7109375" style="39" customWidth="1"/>
    <col min="1541" max="1792" width="9.140625" style="39"/>
    <col min="1793" max="1793" width="1.42578125" style="39" customWidth="1"/>
    <col min="1794" max="1794" width="31.28515625" style="39" customWidth="1"/>
    <col min="1795" max="1795" width="83.5703125" style="39" bestFit="1" customWidth="1"/>
    <col min="1796" max="1796" width="51.7109375" style="39" customWidth="1"/>
    <col min="1797" max="2048" width="9.140625" style="39"/>
    <col min="2049" max="2049" width="1.42578125" style="39" customWidth="1"/>
    <col min="2050" max="2050" width="31.28515625" style="39" customWidth="1"/>
    <col min="2051" max="2051" width="83.5703125" style="39" bestFit="1" customWidth="1"/>
    <col min="2052" max="2052" width="51.7109375" style="39" customWidth="1"/>
    <col min="2053" max="2304" width="9.140625" style="39"/>
    <col min="2305" max="2305" width="1.42578125" style="39" customWidth="1"/>
    <col min="2306" max="2306" width="31.28515625" style="39" customWidth="1"/>
    <col min="2307" max="2307" width="83.5703125" style="39" bestFit="1" customWidth="1"/>
    <col min="2308" max="2308" width="51.7109375" style="39" customWidth="1"/>
    <col min="2309" max="2560" width="9.140625" style="39"/>
    <col min="2561" max="2561" width="1.42578125" style="39" customWidth="1"/>
    <col min="2562" max="2562" width="31.28515625" style="39" customWidth="1"/>
    <col min="2563" max="2563" width="83.5703125" style="39" bestFit="1" customWidth="1"/>
    <col min="2564" max="2564" width="51.7109375" style="39" customWidth="1"/>
    <col min="2565" max="2816" width="9.140625" style="39"/>
    <col min="2817" max="2817" width="1.42578125" style="39" customWidth="1"/>
    <col min="2818" max="2818" width="31.28515625" style="39" customWidth="1"/>
    <col min="2819" max="2819" width="83.5703125" style="39" bestFit="1" customWidth="1"/>
    <col min="2820" max="2820" width="51.7109375" style="39" customWidth="1"/>
    <col min="2821" max="3072" width="9.140625" style="39"/>
    <col min="3073" max="3073" width="1.42578125" style="39" customWidth="1"/>
    <col min="3074" max="3074" width="31.28515625" style="39" customWidth="1"/>
    <col min="3075" max="3075" width="83.5703125" style="39" bestFit="1" customWidth="1"/>
    <col min="3076" max="3076" width="51.7109375" style="39" customWidth="1"/>
    <col min="3077" max="3328" width="9.140625" style="39"/>
    <col min="3329" max="3329" width="1.42578125" style="39" customWidth="1"/>
    <col min="3330" max="3330" width="31.28515625" style="39" customWidth="1"/>
    <col min="3331" max="3331" width="83.5703125" style="39" bestFit="1" customWidth="1"/>
    <col min="3332" max="3332" width="51.7109375" style="39" customWidth="1"/>
    <col min="3333" max="3584" width="9.140625" style="39"/>
    <col min="3585" max="3585" width="1.42578125" style="39" customWidth="1"/>
    <col min="3586" max="3586" width="31.28515625" style="39" customWidth="1"/>
    <col min="3587" max="3587" width="83.5703125" style="39" bestFit="1" customWidth="1"/>
    <col min="3588" max="3588" width="51.7109375" style="39" customWidth="1"/>
    <col min="3589" max="3840" width="9.140625" style="39"/>
    <col min="3841" max="3841" width="1.42578125" style="39" customWidth="1"/>
    <col min="3842" max="3842" width="31.28515625" style="39" customWidth="1"/>
    <col min="3843" max="3843" width="83.5703125" style="39" bestFit="1" customWidth="1"/>
    <col min="3844" max="3844" width="51.7109375" style="39" customWidth="1"/>
    <col min="3845" max="4096" width="9.140625" style="39"/>
    <col min="4097" max="4097" width="1.42578125" style="39" customWidth="1"/>
    <col min="4098" max="4098" width="31.28515625" style="39" customWidth="1"/>
    <col min="4099" max="4099" width="83.5703125" style="39" bestFit="1" customWidth="1"/>
    <col min="4100" max="4100" width="51.7109375" style="39" customWidth="1"/>
    <col min="4101" max="4352" width="9.140625" style="39"/>
    <col min="4353" max="4353" width="1.42578125" style="39" customWidth="1"/>
    <col min="4354" max="4354" width="31.28515625" style="39" customWidth="1"/>
    <col min="4355" max="4355" width="83.5703125" style="39" bestFit="1" customWidth="1"/>
    <col min="4356" max="4356" width="51.7109375" style="39" customWidth="1"/>
    <col min="4357" max="4608" width="9.140625" style="39"/>
    <col min="4609" max="4609" width="1.42578125" style="39" customWidth="1"/>
    <col min="4610" max="4610" width="31.28515625" style="39" customWidth="1"/>
    <col min="4611" max="4611" width="83.5703125" style="39" bestFit="1" customWidth="1"/>
    <col min="4612" max="4612" width="51.7109375" style="39" customWidth="1"/>
    <col min="4613" max="4864" width="9.140625" style="39"/>
    <col min="4865" max="4865" width="1.42578125" style="39" customWidth="1"/>
    <col min="4866" max="4866" width="31.28515625" style="39" customWidth="1"/>
    <col min="4867" max="4867" width="83.5703125" style="39" bestFit="1" customWidth="1"/>
    <col min="4868" max="4868" width="51.7109375" style="39" customWidth="1"/>
    <col min="4869" max="5120" width="9.140625" style="39"/>
    <col min="5121" max="5121" width="1.42578125" style="39" customWidth="1"/>
    <col min="5122" max="5122" width="31.28515625" style="39" customWidth="1"/>
    <col min="5123" max="5123" width="83.5703125" style="39" bestFit="1" customWidth="1"/>
    <col min="5124" max="5124" width="51.7109375" style="39" customWidth="1"/>
    <col min="5125" max="5376" width="9.140625" style="39"/>
    <col min="5377" max="5377" width="1.42578125" style="39" customWidth="1"/>
    <col min="5378" max="5378" width="31.28515625" style="39" customWidth="1"/>
    <col min="5379" max="5379" width="83.5703125" style="39" bestFit="1" customWidth="1"/>
    <col min="5380" max="5380" width="51.7109375" style="39" customWidth="1"/>
    <col min="5381" max="5632" width="9.140625" style="39"/>
    <col min="5633" max="5633" width="1.42578125" style="39" customWidth="1"/>
    <col min="5634" max="5634" width="31.28515625" style="39" customWidth="1"/>
    <col min="5635" max="5635" width="83.5703125" style="39" bestFit="1" customWidth="1"/>
    <col min="5636" max="5636" width="51.7109375" style="39" customWidth="1"/>
    <col min="5637" max="5888" width="9.140625" style="39"/>
    <col min="5889" max="5889" width="1.42578125" style="39" customWidth="1"/>
    <col min="5890" max="5890" width="31.28515625" style="39" customWidth="1"/>
    <col min="5891" max="5891" width="83.5703125" style="39" bestFit="1" customWidth="1"/>
    <col min="5892" max="5892" width="51.7109375" style="39" customWidth="1"/>
    <col min="5893" max="6144" width="9.140625" style="39"/>
    <col min="6145" max="6145" width="1.42578125" style="39" customWidth="1"/>
    <col min="6146" max="6146" width="31.28515625" style="39" customWidth="1"/>
    <col min="6147" max="6147" width="83.5703125" style="39" bestFit="1" customWidth="1"/>
    <col min="6148" max="6148" width="51.7109375" style="39" customWidth="1"/>
    <col min="6149" max="6400" width="9.140625" style="39"/>
    <col min="6401" max="6401" width="1.42578125" style="39" customWidth="1"/>
    <col min="6402" max="6402" width="31.28515625" style="39" customWidth="1"/>
    <col min="6403" max="6403" width="83.5703125" style="39" bestFit="1" customWidth="1"/>
    <col min="6404" max="6404" width="51.7109375" style="39" customWidth="1"/>
    <col min="6405" max="6656" width="9.140625" style="39"/>
    <col min="6657" max="6657" width="1.42578125" style="39" customWidth="1"/>
    <col min="6658" max="6658" width="31.28515625" style="39" customWidth="1"/>
    <col min="6659" max="6659" width="83.5703125" style="39" bestFit="1" customWidth="1"/>
    <col min="6660" max="6660" width="51.7109375" style="39" customWidth="1"/>
    <col min="6661" max="6912" width="9.140625" style="39"/>
    <col min="6913" max="6913" width="1.42578125" style="39" customWidth="1"/>
    <col min="6914" max="6914" width="31.28515625" style="39" customWidth="1"/>
    <col min="6915" max="6915" width="83.5703125" style="39" bestFit="1" customWidth="1"/>
    <col min="6916" max="6916" width="51.7109375" style="39" customWidth="1"/>
    <col min="6917" max="7168" width="9.140625" style="39"/>
    <col min="7169" max="7169" width="1.42578125" style="39" customWidth="1"/>
    <col min="7170" max="7170" width="31.28515625" style="39" customWidth="1"/>
    <col min="7171" max="7171" width="83.5703125" style="39" bestFit="1" customWidth="1"/>
    <col min="7172" max="7172" width="51.7109375" style="39" customWidth="1"/>
    <col min="7173" max="7424" width="9.140625" style="39"/>
    <col min="7425" max="7425" width="1.42578125" style="39" customWidth="1"/>
    <col min="7426" max="7426" width="31.28515625" style="39" customWidth="1"/>
    <col min="7427" max="7427" width="83.5703125" style="39" bestFit="1" customWidth="1"/>
    <col min="7428" max="7428" width="51.7109375" style="39" customWidth="1"/>
    <col min="7429" max="7680" width="9.140625" style="39"/>
    <col min="7681" max="7681" width="1.42578125" style="39" customWidth="1"/>
    <col min="7682" max="7682" width="31.28515625" style="39" customWidth="1"/>
    <col min="7683" max="7683" width="83.5703125" style="39" bestFit="1" customWidth="1"/>
    <col min="7684" max="7684" width="51.7109375" style="39" customWidth="1"/>
    <col min="7685" max="7936" width="9.140625" style="39"/>
    <col min="7937" max="7937" width="1.42578125" style="39" customWidth="1"/>
    <col min="7938" max="7938" width="31.28515625" style="39" customWidth="1"/>
    <col min="7939" max="7939" width="83.5703125" style="39" bestFit="1" customWidth="1"/>
    <col min="7940" max="7940" width="51.7109375" style="39" customWidth="1"/>
    <col min="7941" max="8192" width="9.140625" style="39"/>
    <col min="8193" max="8193" width="1.42578125" style="39" customWidth="1"/>
    <col min="8194" max="8194" width="31.28515625" style="39" customWidth="1"/>
    <col min="8195" max="8195" width="83.5703125" style="39" bestFit="1" customWidth="1"/>
    <col min="8196" max="8196" width="51.7109375" style="39" customWidth="1"/>
    <col min="8197" max="8448" width="9.140625" style="39"/>
    <col min="8449" max="8449" width="1.42578125" style="39" customWidth="1"/>
    <col min="8450" max="8450" width="31.28515625" style="39" customWidth="1"/>
    <col min="8451" max="8451" width="83.5703125" style="39" bestFit="1" customWidth="1"/>
    <col min="8452" max="8452" width="51.7109375" style="39" customWidth="1"/>
    <col min="8453" max="8704" width="9.140625" style="39"/>
    <col min="8705" max="8705" width="1.42578125" style="39" customWidth="1"/>
    <col min="8706" max="8706" width="31.28515625" style="39" customWidth="1"/>
    <col min="8707" max="8707" width="83.5703125" style="39" bestFit="1" customWidth="1"/>
    <col min="8708" max="8708" width="51.7109375" style="39" customWidth="1"/>
    <col min="8709" max="8960" width="9.140625" style="39"/>
    <col min="8961" max="8961" width="1.42578125" style="39" customWidth="1"/>
    <col min="8962" max="8962" width="31.28515625" style="39" customWidth="1"/>
    <col min="8963" max="8963" width="83.5703125" style="39" bestFit="1" customWidth="1"/>
    <col min="8964" max="8964" width="51.7109375" style="39" customWidth="1"/>
    <col min="8965" max="9216" width="9.140625" style="39"/>
    <col min="9217" max="9217" width="1.42578125" style="39" customWidth="1"/>
    <col min="9218" max="9218" width="31.28515625" style="39" customWidth="1"/>
    <col min="9219" max="9219" width="83.5703125" style="39" bestFit="1" customWidth="1"/>
    <col min="9220" max="9220" width="51.7109375" style="39" customWidth="1"/>
    <col min="9221" max="9472" width="9.140625" style="39"/>
    <col min="9473" max="9473" width="1.42578125" style="39" customWidth="1"/>
    <col min="9474" max="9474" width="31.28515625" style="39" customWidth="1"/>
    <col min="9475" max="9475" width="83.5703125" style="39" bestFit="1" customWidth="1"/>
    <col min="9476" max="9476" width="51.7109375" style="39" customWidth="1"/>
    <col min="9477" max="9728" width="9.140625" style="39"/>
    <col min="9729" max="9729" width="1.42578125" style="39" customWidth="1"/>
    <col min="9730" max="9730" width="31.28515625" style="39" customWidth="1"/>
    <col min="9731" max="9731" width="83.5703125" style="39" bestFit="1" customWidth="1"/>
    <col min="9732" max="9732" width="51.7109375" style="39" customWidth="1"/>
    <col min="9733" max="9984" width="9.140625" style="39"/>
    <col min="9985" max="9985" width="1.42578125" style="39" customWidth="1"/>
    <col min="9986" max="9986" width="31.28515625" style="39" customWidth="1"/>
    <col min="9987" max="9987" width="83.5703125" style="39" bestFit="1" customWidth="1"/>
    <col min="9988" max="9988" width="51.7109375" style="39" customWidth="1"/>
    <col min="9989" max="10240" width="9.140625" style="39"/>
    <col min="10241" max="10241" width="1.42578125" style="39" customWidth="1"/>
    <col min="10242" max="10242" width="31.28515625" style="39" customWidth="1"/>
    <col min="10243" max="10243" width="83.5703125" style="39" bestFit="1" customWidth="1"/>
    <col min="10244" max="10244" width="51.7109375" style="39" customWidth="1"/>
    <col min="10245" max="10496" width="9.140625" style="39"/>
    <col min="10497" max="10497" width="1.42578125" style="39" customWidth="1"/>
    <col min="10498" max="10498" width="31.28515625" style="39" customWidth="1"/>
    <col min="10499" max="10499" width="83.5703125" style="39" bestFit="1" customWidth="1"/>
    <col min="10500" max="10500" width="51.7109375" style="39" customWidth="1"/>
    <col min="10501" max="10752" width="9.140625" style="39"/>
    <col min="10753" max="10753" width="1.42578125" style="39" customWidth="1"/>
    <col min="10754" max="10754" width="31.28515625" style="39" customWidth="1"/>
    <col min="10755" max="10755" width="83.5703125" style="39" bestFit="1" customWidth="1"/>
    <col min="10756" max="10756" width="51.7109375" style="39" customWidth="1"/>
    <col min="10757" max="11008" width="9.140625" style="39"/>
    <col min="11009" max="11009" width="1.42578125" style="39" customWidth="1"/>
    <col min="11010" max="11010" width="31.28515625" style="39" customWidth="1"/>
    <col min="11011" max="11011" width="83.5703125" style="39" bestFit="1" customWidth="1"/>
    <col min="11012" max="11012" width="51.7109375" style="39" customWidth="1"/>
    <col min="11013" max="11264" width="9.140625" style="39"/>
    <col min="11265" max="11265" width="1.42578125" style="39" customWidth="1"/>
    <col min="11266" max="11266" width="31.28515625" style="39" customWidth="1"/>
    <col min="11267" max="11267" width="83.5703125" style="39" bestFit="1" customWidth="1"/>
    <col min="11268" max="11268" width="51.7109375" style="39" customWidth="1"/>
    <col min="11269" max="11520" width="9.140625" style="39"/>
    <col min="11521" max="11521" width="1.42578125" style="39" customWidth="1"/>
    <col min="11522" max="11522" width="31.28515625" style="39" customWidth="1"/>
    <col min="11523" max="11523" width="83.5703125" style="39" bestFit="1" customWidth="1"/>
    <col min="11524" max="11524" width="51.7109375" style="39" customWidth="1"/>
    <col min="11525" max="11776" width="9.140625" style="39"/>
    <col min="11777" max="11777" width="1.42578125" style="39" customWidth="1"/>
    <col min="11778" max="11778" width="31.28515625" style="39" customWidth="1"/>
    <col min="11779" max="11779" width="83.5703125" style="39" bestFit="1" customWidth="1"/>
    <col min="11780" max="11780" width="51.7109375" style="39" customWidth="1"/>
    <col min="11781" max="12032" width="9.140625" style="39"/>
    <col min="12033" max="12033" width="1.42578125" style="39" customWidth="1"/>
    <col min="12034" max="12034" width="31.28515625" style="39" customWidth="1"/>
    <col min="12035" max="12035" width="83.5703125" style="39" bestFit="1" customWidth="1"/>
    <col min="12036" max="12036" width="51.7109375" style="39" customWidth="1"/>
    <col min="12037" max="12288" width="9.140625" style="39"/>
    <col min="12289" max="12289" width="1.42578125" style="39" customWidth="1"/>
    <col min="12290" max="12290" width="31.28515625" style="39" customWidth="1"/>
    <col min="12291" max="12291" width="83.5703125" style="39" bestFit="1" customWidth="1"/>
    <col min="12292" max="12292" width="51.7109375" style="39" customWidth="1"/>
    <col min="12293" max="12544" width="9.140625" style="39"/>
    <col min="12545" max="12545" width="1.42578125" style="39" customWidth="1"/>
    <col min="12546" max="12546" width="31.28515625" style="39" customWidth="1"/>
    <col min="12547" max="12547" width="83.5703125" style="39" bestFit="1" customWidth="1"/>
    <col min="12548" max="12548" width="51.7109375" style="39" customWidth="1"/>
    <col min="12549" max="12800" width="9.140625" style="39"/>
    <col min="12801" max="12801" width="1.42578125" style="39" customWidth="1"/>
    <col min="12802" max="12802" width="31.28515625" style="39" customWidth="1"/>
    <col min="12803" max="12803" width="83.5703125" style="39" bestFit="1" customWidth="1"/>
    <col min="12804" max="12804" width="51.7109375" style="39" customWidth="1"/>
    <col min="12805" max="13056" width="9.140625" style="39"/>
    <col min="13057" max="13057" width="1.42578125" style="39" customWidth="1"/>
    <col min="13058" max="13058" width="31.28515625" style="39" customWidth="1"/>
    <col min="13059" max="13059" width="83.5703125" style="39" bestFit="1" customWidth="1"/>
    <col min="13060" max="13060" width="51.7109375" style="39" customWidth="1"/>
    <col min="13061" max="13312" width="9.140625" style="39"/>
    <col min="13313" max="13313" width="1.42578125" style="39" customWidth="1"/>
    <col min="13314" max="13314" width="31.28515625" style="39" customWidth="1"/>
    <col min="13315" max="13315" width="83.5703125" style="39" bestFit="1" customWidth="1"/>
    <col min="13316" max="13316" width="51.7109375" style="39" customWidth="1"/>
    <col min="13317" max="13568" width="9.140625" style="39"/>
    <col min="13569" max="13569" width="1.42578125" style="39" customWidth="1"/>
    <col min="13570" max="13570" width="31.28515625" style="39" customWidth="1"/>
    <col min="13571" max="13571" width="83.5703125" style="39" bestFit="1" customWidth="1"/>
    <col min="13572" max="13572" width="51.7109375" style="39" customWidth="1"/>
    <col min="13573" max="13824" width="9.140625" style="39"/>
    <col min="13825" max="13825" width="1.42578125" style="39" customWidth="1"/>
    <col min="13826" max="13826" width="31.28515625" style="39" customWidth="1"/>
    <col min="13827" max="13827" width="83.5703125" style="39" bestFit="1" customWidth="1"/>
    <col min="13828" max="13828" width="51.7109375" style="39" customWidth="1"/>
    <col min="13829" max="14080" width="9.140625" style="39"/>
    <col min="14081" max="14081" width="1.42578125" style="39" customWidth="1"/>
    <col min="14082" max="14082" width="31.28515625" style="39" customWidth="1"/>
    <col min="14083" max="14083" width="83.5703125" style="39" bestFit="1" customWidth="1"/>
    <col min="14084" max="14084" width="51.7109375" style="39" customWidth="1"/>
    <col min="14085" max="14336" width="9.140625" style="39"/>
    <col min="14337" max="14337" width="1.42578125" style="39" customWidth="1"/>
    <col min="14338" max="14338" width="31.28515625" style="39" customWidth="1"/>
    <col min="14339" max="14339" width="83.5703125" style="39" bestFit="1" customWidth="1"/>
    <col min="14340" max="14340" width="51.7109375" style="39" customWidth="1"/>
    <col min="14341" max="14592" width="9.140625" style="39"/>
    <col min="14593" max="14593" width="1.42578125" style="39" customWidth="1"/>
    <col min="14594" max="14594" width="31.28515625" style="39" customWidth="1"/>
    <col min="14595" max="14595" width="83.5703125" style="39" bestFit="1" customWidth="1"/>
    <col min="14596" max="14596" width="51.7109375" style="39" customWidth="1"/>
    <col min="14597" max="14848" width="9.140625" style="39"/>
    <col min="14849" max="14849" width="1.42578125" style="39" customWidth="1"/>
    <col min="14850" max="14850" width="31.28515625" style="39" customWidth="1"/>
    <col min="14851" max="14851" width="83.5703125" style="39" bestFit="1" customWidth="1"/>
    <col min="14852" max="14852" width="51.7109375" style="39" customWidth="1"/>
    <col min="14853" max="15104" width="9.140625" style="39"/>
    <col min="15105" max="15105" width="1.42578125" style="39" customWidth="1"/>
    <col min="15106" max="15106" width="31.28515625" style="39" customWidth="1"/>
    <col min="15107" max="15107" width="83.5703125" style="39" bestFit="1" customWidth="1"/>
    <col min="15108" max="15108" width="51.7109375" style="39" customWidth="1"/>
    <col min="15109" max="15360" width="9.140625" style="39"/>
    <col min="15361" max="15361" width="1.42578125" style="39" customWidth="1"/>
    <col min="15362" max="15362" width="31.28515625" style="39" customWidth="1"/>
    <col min="15363" max="15363" width="83.5703125" style="39" bestFit="1" customWidth="1"/>
    <col min="15364" max="15364" width="51.7109375" style="39" customWidth="1"/>
    <col min="15365" max="15616" width="9.140625" style="39"/>
    <col min="15617" max="15617" width="1.42578125" style="39" customWidth="1"/>
    <col min="15618" max="15618" width="31.28515625" style="39" customWidth="1"/>
    <col min="15619" max="15619" width="83.5703125" style="39" bestFit="1" customWidth="1"/>
    <col min="15620" max="15620" width="51.7109375" style="39" customWidth="1"/>
    <col min="15621" max="15872" width="9.140625" style="39"/>
    <col min="15873" max="15873" width="1.42578125" style="39" customWidth="1"/>
    <col min="15874" max="15874" width="31.28515625" style="39" customWidth="1"/>
    <col min="15875" max="15875" width="83.5703125" style="39" bestFit="1" customWidth="1"/>
    <col min="15876" max="15876" width="51.7109375" style="39" customWidth="1"/>
    <col min="15877" max="16128" width="9.140625" style="39"/>
    <col min="16129" max="16129" width="1.42578125" style="39" customWidth="1"/>
    <col min="16130" max="16130" width="31.28515625" style="39" customWidth="1"/>
    <col min="16131" max="16131" width="83.5703125" style="39" bestFit="1" customWidth="1"/>
    <col min="16132" max="16132" width="51.7109375" style="39" customWidth="1"/>
    <col min="16133" max="16384" width="9.140625" style="39"/>
  </cols>
  <sheetData>
    <row r="1" spans="1:3" ht="131.25" customHeight="1" x14ac:dyDescent="0.25">
      <c r="A1" s="41"/>
    </row>
    <row r="2" spans="1:3" ht="56.25" customHeight="1" x14ac:dyDescent="0.25">
      <c r="A2" s="41"/>
      <c r="B2" s="84" t="s">
        <v>44</v>
      </c>
      <c r="C2" s="85"/>
    </row>
    <row r="3" spans="1:3" ht="16.5" customHeight="1" x14ac:dyDescent="0.25">
      <c r="A3" s="41"/>
      <c r="B3" s="80" t="s">
        <v>0</v>
      </c>
      <c r="C3" s="81" t="s">
        <v>91</v>
      </c>
    </row>
    <row r="4" spans="1:3" ht="16.5" customHeight="1" x14ac:dyDescent="0.25">
      <c r="A4" s="41"/>
      <c r="B4" s="80" t="s">
        <v>1</v>
      </c>
      <c r="C4" s="81" t="s">
        <v>92</v>
      </c>
    </row>
    <row r="5" spans="1:3" ht="18.75" customHeight="1" x14ac:dyDescent="0.25">
      <c r="A5" s="41"/>
      <c r="B5" s="80" t="s">
        <v>2</v>
      </c>
      <c r="C5" s="81" t="s">
        <v>87</v>
      </c>
    </row>
    <row r="6" spans="1:3" ht="15" customHeight="1" x14ac:dyDescent="0.25">
      <c r="A6" s="41"/>
      <c r="B6" s="80" t="s">
        <v>3</v>
      </c>
      <c r="C6" s="82">
        <v>44414</v>
      </c>
    </row>
    <row r="7" spans="1:3" ht="16.5" customHeight="1" x14ac:dyDescent="0.25">
      <c r="A7" s="41"/>
      <c r="B7" s="80" t="s">
        <v>4</v>
      </c>
      <c r="C7" s="81" t="s">
        <v>93</v>
      </c>
    </row>
    <row r="8" spans="1:3" ht="16.5" customHeight="1" x14ac:dyDescent="0.25">
      <c r="A8" s="41"/>
      <c r="B8" s="80" t="s">
        <v>5</v>
      </c>
      <c r="C8" s="81" t="s">
        <v>81</v>
      </c>
    </row>
    <row r="9" spans="1:3" ht="120.75" customHeight="1" x14ac:dyDescent="0.25">
      <c r="A9" s="41"/>
      <c r="B9" s="83" t="s">
        <v>6</v>
      </c>
      <c r="C9" s="83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zoomScale="77" zoomScaleNormal="77" workbookViewId="0">
      <selection sqref="A1:XFD1048576"/>
    </sheetView>
  </sheetViews>
  <sheetFormatPr defaultRowHeight="15" x14ac:dyDescent="0.25"/>
  <cols>
    <col min="1" max="1" width="12.140625" style="1" bestFit="1" customWidth="1"/>
    <col min="2" max="2" width="16.5703125" style="1" customWidth="1"/>
    <col min="3" max="3" width="21.7109375" style="1" bestFit="1" customWidth="1"/>
    <col min="4" max="4" width="12.7109375" style="1" bestFit="1" customWidth="1"/>
    <col min="5" max="5" width="31.85546875" style="1" customWidth="1"/>
    <col min="6" max="6" width="15.5703125" style="1" customWidth="1"/>
    <col min="7" max="7" width="44.85546875" style="1" customWidth="1"/>
    <col min="8" max="8" width="12" style="1" bestFit="1" customWidth="1"/>
    <col min="9" max="9" width="17.42578125" style="1" bestFit="1" customWidth="1"/>
    <col min="10" max="10" width="10.140625" style="1" customWidth="1"/>
    <col min="11" max="11" width="11.28515625" style="1" bestFit="1" customWidth="1"/>
    <col min="12" max="16384" width="9.140625" style="1"/>
  </cols>
  <sheetData>
    <row r="1" spans="1:11" ht="32.25" customHeight="1" x14ac:dyDescent="0.25">
      <c r="A1" s="87" t="s">
        <v>4</v>
      </c>
      <c r="B1" s="88"/>
      <c r="C1" s="86" t="str">
        <f>Copertina!C7</f>
        <v>MEV 2019_006 SIUS Avvocati</v>
      </c>
      <c r="D1" s="86"/>
      <c r="E1" s="86"/>
      <c r="F1" s="86"/>
      <c r="G1" s="86"/>
      <c r="H1" s="86"/>
      <c r="I1" s="86"/>
      <c r="J1" s="86"/>
    </row>
    <row r="2" spans="1:11" ht="32.25" customHeight="1" x14ac:dyDescent="0.25">
      <c r="A2" s="87" t="s">
        <v>12</v>
      </c>
      <c r="B2" s="88"/>
      <c r="C2" s="86" t="str">
        <f>Copertina!C3</f>
        <v>SIUT-SIE-CT-1.0-20210806-Allegato_al_piano_test_006_SIUS_Avvocati.xlsx</v>
      </c>
      <c r="D2" s="86"/>
      <c r="E2" s="86"/>
      <c r="F2" s="86"/>
      <c r="G2" s="86"/>
      <c r="H2" s="86"/>
      <c r="I2" s="86"/>
      <c r="J2" s="86"/>
    </row>
    <row r="3" spans="1:11" ht="40.5" customHeight="1" x14ac:dyDescent="0.25">
      <c r="A3" s="74" t="s">
        <v>7</v>
      </c>
      <c r="B3" s="74" t="s">
        <v>32</v>
      </c>
      <c r="C3" s="75" t="s">
        <v>33</v>
      </c>
      <c r="D3" s="75" t="s">
        <v>31</v>
      </c>
      <c r="E3" s="75" t="s">
        <v>30</v>
      </c>
      <c r="F3" s="76" t="s">
        <v>8</v>
      </c>
      <c r="G3" s="77" t="s">
        <v>29</v>
      </c>
      <c r="H3" s="78" t="s">
        <v>9</v>
      </c>
      <c r="I3" s="79" t="s">
        <v>10</v>
      </c>
      <c r="J3" s="76" t="s">
        <v>11</v>
      </c>
    </row>
    <row r="4" spans="1:11" ht="60.75" customHeight="1" x14ac:dyDescent="0.25">
      <c r="A4" s="68" t="s">
        <v>82</v>
      </c>
      <c r="B4" s="69" t="s">
        <v>94</v>
      </c>
      <c r="C4" s="69" t="s">
        <v>94</v>
      </c>
      <c r="D4" s="70" t="s">
        <v>79</v>
      </c>
      <c r="E4" s="71" t="s">
        <v>95</v>
      </c>
      <c r="F4" s="68" t="s">
        <v>80</v>
      </c>
      <c r="G4" s="71" t="s">
        <v>96</v>
      </c>
      <c r="H4" s="72">
        <v>3</v>
      </c>
      <c r="I4" s="72" t="s">
        <v>26</v>
      </c>
      <c r="J4" s="73"/>
      <c r="K4" s="38"/>
    </row>
  </sheetData>
  <mergeCells count="4">
    <mergeCell ref="C1:J1"/>
    <mergeCell ref="C2:J2"/>
    <mergeCell ref="A1:B1"/>
    <mergeCell ref="A2:B2"/>
  </mergeCells>
  <phoneticPr fontId="22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tabSelected="1" zoomScale="71" zoomScaleNormal="71" workbookViewId="0">
      <selection sqref="A1:XFD1048576"/>
    </sheetView>
  </sheetViews>
  <sheetFormatPr defaultRowHeight="15" x14ac:dyDescent="0.25"/>
  <cols>
    <col min="1" max="1" width="23.140625" style="1" bestFit="1" customWidth="1"/>
    <col min="2" max="2" width="10.42578125" style="1" customWidth="1"/>
    <col min="3" max="3" width="20.85546875" style="1" customWidth="1"/>
    <col min="4" max="4" width="46.140625" style="1" customWidth="1"/>
    <col min="5" max="5" width="30.140625" style="1" customWidth="1"/>
    <col min="6" max="6" width="51.140625" style="1" customWidth="1"/>
    <col min="7" max="7" width="9.140625" style="1" customWidth="1"/>
    <col min="8" max="8" width="11.5703125" style="1" customWidth="1"/>
    <col min="9" max="9" width="44.28515625" style="1" bestFit="1" customWidth="1"/>
    <col min="10" max="10" width="9.140625" style="1"/>
    <col min="11" max="11" width="25.85546875" style="1" bestFit="1" customWidth="1"/>
    <col min="12" max="16384" width="9.140625" style="1"/>
  </cols>
  <sheetData>
    <row r="1" spans="1:7" ht="27.75" customHeight="1" x14ac:dyDescent="0.25">
      <c r="A1" s="91" t="s">
        <v>4</v>
      </c>
      <c r="B1" s="92"/>
      <c r="C1" s="93"/>
      <c r="D1" s="94" t="str">
        <f>Copertina!C7</f>
        <v>MEV 2019_006 SIUS Avvocati</v>
      </c>
      <c r="E1" s="94"/>
      <c r="F1" s="94"/>
      <c r="G1" s="94"/>
    </row>
    <row r="2" spans="1:7" ht="32.25" customHeight="1" thickBot="1" x14ac:dyDescent="0.3">
      <c r="A2" s="95" t="s">
        <v>12</v>
      </c>
      <c r="B2" s="96"/>
      <c r="C2" s="97"/>
      <c r="D2" s="94" t="str">
        <f>Copertina!C3</f>
        <v>SIUT-SIE-CT-1.0-20210806-Allegato_al_piano_test_006_SIUS_Avvocati.xlsx</v>
      </c>
      <c r="E2" s="94"/>
      <c r="F2" s="94"/>
      <c r="G2" s="94"/>
    </row>
    <row r="3" spans="1:7" s="39" customFormat="1" ht="30.75" customHeight="1" x14ac:dyDescent="0.25">
      <c r="A3" s="67" t="s">
        <v>13</v>
      </c>
      <c r="B3" s="98" t="s">
        <v>28</v>
      </c>
      <c r="C3" s="99"/>
      <c r="D3" s="98" t="s">
        <v>30</v>
      </c>
      <c r="E3" s="99"/>
      <c r="F3" s="98" t="s">
        <v>29</v>
      </c>
      <c r="G3" s="99"/>
    </row>
    <row r="4" spans="1:7" s="32" customFormat="1" ht="41.25" customHeight="1" thickBot="1" x14ac:dyDescent="0.3">
      <c r="A4" s="52" t="str">
        <f>TabellaTest!F4</f>
        <v>TF001.UC01</v>
      </c>
      <c r="B4" s="102" t="str">
        <f>TabellaTest!C4</f>
        <v>REQ-SIE-006-01</v>
      </c>
      <c r="C4" s="103"/>
      <c r="D4" s="100" t="str">
        <f>TabellaTest!E4</f>
        <v>Verifica Inserimento Fissazione Udienza in SIUS</v>
      </c>
      <c r="E4" s="104"/>
      <c r="F4" s="100" t="str">
        <f>TabellaTest!G4</f>
        <v>Verifica: Verificare che nel sottosistema SIUS, nella fase di inserimento fissazione udienza, la ricerca dell'udienza dia risultati congrui con l'installazione precedente</v>
      </c>
      <c r="G4" s="101"/>
    </row>
    <row r="5" spans="1:7" ht="30" x14ac:dyDescent="0.25">
      <c r="A5" s="90"/>
      <c r="B5" s="53" t="s">
        <v>34</v>
      </c>
      <c r="C5" s="54" t="s">
        <v>35</v>
      </c>
      <c r="D5" s="49" t="s">
        <v>36</v>
      </c>
      <c r="E5" s="49" t="s">
        <v>37</v>
      </c>
      <c r="F5" s="49" t="s">
        <v>38</v>
      </c>
      <c r="G5" s="50" t="s">
        <v>11</v>
      </c>
    </row>
    <row r="6" spans="1:7" ht="54" customHeight="1" x14ac:dyDescent="0.25">
      <c r="A6" s="89"/>
      <c r="B6" s="55" t="s">
        <v>39</v>
      </c>
      <c r="C6" s="56" t="s">
        <v>40</v>
      </c>
      <c r="D6" s="40" t="s">
        <v>89</v>
      </c>
      <c r="E6" s="40" t="s">
        <v>90</v>
      </c>
      <c r="F6" s="40"/>
      <c r="G6" s="42"/>
    </row>
    <row r="7" spans="1:7" ht="43.5" customHeight="1" x14ac:dyDescent="0.25">
      <c r="A7" s="89"/>
      <c r="B7" s="55" t="s">
        <v>39</v>
      </c>
      <c r="C7" s="56" t="s">
        <v>41</v>
      </c>
      <c r="D7" s="40" t="s">
        <v>88</v>
      </c>
      <c r="E7" s="40"/>
      <c r="F7" s="43"/>
      <c r="G7" s="42"/>
    </row>
    <row r="8" spans="1:7" ht="37.5" customHeight="1" x14ac:dyDescent="0.25">
      <c r="A8" s="89"/>
      <c r="B8" s="57">
        <v>1</v>
      </c>
      <c r="C8" s="58" t="s">
        <v>42</v>
      </c>
      <c r="D8" s="44" t="s">
        <v>97</v>
      </c>
      <c r="E8" s="45"/>
      <c r="F8" s="40" t="s">
        <v>98</v>
      </c>
      <c r="G8" s="42"/>
    </row>
    <row r="9" spans="1:7" ht="37.5" customHeight="1" x14ac:dyDescent="0.25">
      <c r="A9" s="89"/>
      <c r="B9" s="59" t="s">
        <v>83</v>
      </c>
      <c r="C9" s="60" t="s">
        <v>43</v>
      </c>
      <c r="D9" s="40" t="s">
        <v>99</v>
      </c>
      <c r="E9" s="45"/>
      <c r="F9" s="40" t="s">
        <v>100</v>
      </c>
      <c r="G9" s="42"/>
    </row>
    <row r="10" spans="1:7" ht="48" customHeight="1" x14ac:dyDescent="0.25">
      <c r="A10" s="89"/>
      <c r="B10" s="61" t="s">
        <v>85</v>
      </c>
      <c r="C10" s="62" t="s">
        <v>86</v>
      </c>
      <c r="D10" s="40" t="s">
        <v>101</v>
      </c>
      <c r="E10" s="43"/>
      <c r="F10" s="40"/>
      <c r="G10" s="42" t="s">
        <v>50</v>
      </c>
    </row>
    <row r="11" spans="1:7" ht="43.5" customHeight="1" x14ac:dyDescent="0.25">
      <c r="A11" s="89"/>
      <c r="B11" s="61" t="s">
        <v>85</v>
      </c>
      <c r="C11" s="62" t="s">
        <v>86</v>
      </c>
      <c r="D11" s="40" t="s">
        <v>102</v>
      </c>
      <c r="E11" s="43"/>
      <c r="F11" s="40"/>
      <c r="G11" s="42" t="s">
        <v>50</v>
      </c>
    </row>
    <row r="12" spans="1:7" ht="43.5" customHeight="1" x14ac:dyDescent="0.25">
      <c r="A12" s="89"/>
      <c r="B12" s="63" t="s">
        <v>84</v>
      </c>
      <c r="C12" s="64" t="s">
        <v>43</v>
      </c>
      <c r="D12" s="46" t="s">
        <v>103</v>
      </c>
      <c r="E12" s="46"/>
      <c r="F12" s="46"/>
      <c r="G12" s="47"/>
    </row>
    <row r="13" spans="1:7" ht="48.75" customHeight="1" thickBot="1" x14ac:dyDescent="0.3">
      <c r="A13" s="89"/>
      <c r="B13" s="65" t="s">
        <v>85</v>
      </c>
      <c r="C13" s="66" t="s">
        <v>86</v>
      </c>
      <c r="D13" s="48" t="s">
        <v>102</v>
      </c>
      <c r="E13" s="48"/>
      <c r="F13" s="48"/>
      <c r="G13" s="51" t="s">
        <v>50</v>
      </c>
    </row>
  </sheetData>
  <autoFilter ref="A3:G3">
    <filterColumn colId="1" showButton="0"/>
    <filterColumn colId="3" showButton="0"/>
    <filterColumn colId="5" showButton="0"/>
  </autoFilter>
  <mergeCells count="11">
    <mergeCell ref="A5:A13"/>
    <mergeCell ref="B4:C4"/>
    <mergeCell ref="D4:E4"/>
    <mergeCell ref="A1:C1"/>
    <mergeCell ref="D1:G1"/>
    <mergeCell ref="A2:C2"/>
    <mergeCell ref="D2:G2"/>
    <mergeCell ref="B3:C3"/>
    <mergeCell ref="D3:E3"/>
    <mergeCell ref="F3:G3"/>
    <mergeCell ref="F4:G4"/>
  </mergeCells>
  <phoneticPr fontId="22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  <ignoredErrors>
    <ignoredError sqref="B12 B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sqref="A1:XFD1048576"/>
    </sheetView>
  </sheetViews>
  <sheetFormatPr defaultRowHeight="12.75" x14ac:dyDescent="0.25"/>
  <cols>
    <col min="1" max="1" width="4" style="8" bestFit="1" customWidth="1"/>
    <col min="2" max="2" width="21.28515625" style="8" customWidth="1"/>
    <col min="3" max="3" width="22.7109375" style="8" bestFit="1" customWidth="1"/>
    <col min="4" max="4" width="32.5703125" style="8" customWidth="1"/>
    <col min="5" max="5" width="57.28515625" style="8" customWidth="1"/>
    <col min="6" max="6" width="15.5703125" style="9" customWidth="1"/>
    <col min="7" max="7" width="17.7109375" style="8" customWidth="1"/>
    <col min="8" max="254" width="9.140625" style="8"/>
    <col min="255" max="255" width="4" style="8" bestFit="1" customWidth="1"/>
    <col min="256" max="256" width="26.7109375" style="8" bestFit="1" customWidth="1"/>
    <col min="257" max="257" width="22.7109375" style="8" bestFit="1" customWidth="1"/>
    <col min="258" max="258" width="32.5703125" style="8" customWidth="1"/>
    <col min="259" max="259" width="57.28515625" style="8" customWidth="1"/>
    <col min="260" max="260" width="15.5703125" style="8" customWidth="1"/>
    <col min="261" max="261" width="16.7109375" style="8" customWidth="1"/>
    <col min="262" max="510" width="9.140625" style="8"/>
    <col min="511" max="511" width="4" style="8" bestFit="1" customWidth="1"/>
    <col min="512" max="512" width="26.7109375" style="8" bestFit="1" customWidth="1"/>
    <col min="513" max="513" width="22.7109375" style="8" bestFit="1" customWidth="1"/>
    <col min="514" max="514" width="32.5703125" style="8" customWidth="1"/>
    <col min="515" max="515" width="57.28515625" style="8" customWidth="1"/>
    <col min="516" max="516" width="15.5703125" style="8" customWidth="1"/>
    <col min="517" max="517" width="16.7109375" style="8" customWidth="1"/>
    <col min="518" max="766" width="9.140625" style="8"/>
    <col min="767" max="767" width="4" style="8" bestFit="1" customWidth="1"/>
    <col min="768" max="768" width="26.7109375" style="8" bestFit="1" customWidth="1"/>
    <col min="769" max="769" width="22.7109375" style="8" bestFit="1" customWidth="1"/>
    <col min="770" max="770" width="32.5703125" style="8" customWidth="1"/>
    <col min="771" max="771" width="57.28515625" style="8" customWidth="1"/>
    <col min="772" max="772" width="15.5703125" style="8" customWidth="1"/>
    <col min="773" max="773" width="16.7109375" style="8" customWidth="1"/>
    <col min="774" max="1022" width="9.140625" style="8"/>
    <col min="1023" max="1023" width="4" style="8" bestFit="1" customWidth="1"/>
    <col min="1024" max="1024" width="26.7109375" style="8" bestFit="1" customWidth="1"/>
    <col min="1025" max="1025" width="22.7109375" style="8" bestFit="1" customWidth="1"/>
    <col min="1026" max="1026" width="32.5703125" style="8" customWidth="1"/>
    <col min="1027" max="1027" width="57.28515625" style="8" customWidth="1"/>
    <col min="1028" max="1028" width="15.5703125" style="8" customWidth="1"/>
    <col min="1029" max="1029" width="16.7109375" style="8" customWidth="1"/>
    <col min="1030" max="1278" width="9.140625" style="8"/>
    <col min="1279" max="1279" width="4" style="8" bestFit="1" customWidth="1"/>
    <col min="1280" max="1280" width="26.7109375" style="8" bestFit="1" customWidth="1"/>
    <col min="1281" max="1281" width="22.7109375" style="8" bestFit="1" customWidth="1"/>
    <col min="1282" max="1282" width="32.5703125" style="8" customWidth="1"/>
    <col min="1283" max="1283" width="57.28515625" style="8" customWidth="1"/>
    <col min="1284" max="1284" width="15.5703125" style="8" customWidth="1"/>
    <col min="1285" max="1285" width="16.7109375" style="8" customWidth="1"/>
    <col min="1286" max="1534" width="9.140625" style="8"/>
    <col min="1535" max="1535" width="4" style="8" bestFit="1" customWidth="1"/>
    <col min="1536" max="1536" width="26.7109375" style="8" bestFit="1" customWidth="1"/>
    <col min="1537" max="1537" width="22.7109375" style="8" bestFit="1" customWidth="1"/>
    <col min="1538" max="1538" width="32.5703125" style="8" customWidth="1"/>
    <col min="1539" max="1539" width="57.28515625" style="8" customWidth="1"/>
    <col min="1540" max="1540" width="15.5703125" style="8" customWidth="1"/>
    <col min="1541" max="1541" width="16.7109375" style="8" customWidth="1"/>
    <col min="1542" max="1790" width="9.140625" style="8"/>
    <col min="1791" max="1791" width="4" style="8" bestFit="1" customWidth="1"/>
    <col min="1792" max="1792" width="26.7109375" style="8" bestFit="1" customWidth="1"/>
    <col min="1793" max="1793" width="22.7109375" style="8" bestFit="1" customWidth="1"/>
    <col min="1794" max="1794" width="32.5703125" style="8" customWidth="1"/>
    <col min="1795" max="1795" width="57.28515625" style="8" customWidth="1"/>
    <col min="1796" max="1796" width="15.5703125" style="8" customWidth="1"/>
    <col min="1797" max="1797" width="16.7109375" style="8" customWidth="1"/>
    <col min="1798" max="2046" width="9.140625" style="8"/>
    <col min="2047" max="2047" width="4" style="8" bestFit="1" customWidth="1"/>
    <col min="2048" max="2048" width="26.7109375" style="8" bestFit="1" customWidth="1"/>
    <col min="2049" max="2049" width="22.7109375" style="8" bestFit="1" customWidth="1"/>
    <col min="2050" max="2050" width="32.5703125" style="8" customWidth="1"/>
    <col min="2051" max="2051" width="57.28515625" style="8" customWidth="1"/>
    <col min="2052" max="2052" width="15.5703125" style="8" customWidth="1"/>
    <col min="2053" max="2053" width="16.7109375" style="8" customWidth="1"/>
    <col min="2054" max="2302" width="9.140625" style="8"/>
    <col min="2303" max="2303" width="4" style="8" bestFit="1" customWidth="1"/>
    <col min="2304" max="2304" width="26.7109375" style="8" bestFit="1" customWidth="1"/>
    <col min="2305" max="2305" width="22.7109375" style="8" bestFit="1" customWidth="1"/>
    <col min="2306" max="2306" width="32.5703125" style="8" customWidth="1"/>
    <col min="2307" max="2307" width="57.28515625" style="8" customWidth="1"/>
    <col min="2308" max="2308" width="15.5703125" style="8" customWidth="1"/>
    <col min="2309" max="2309" width="16.7109375" style="8" customWidth="1"/>
    <col min="2310" max="2558" width="9.140625" style="8"/>
    <col min="2559" max="2559" width="4" style="8" bestFit="1" customWidth="1"/>
    <col min="2560" max="2560" width="26.7109375" style="8" bestFit="1" customWidth="1"/>
    <col min="2561" max="2561" width="22.7109375" style="8" bestFit="1" customWidth="1"/>
    <col min="2562" max="2562" width="32.5703125" style="8" customWidth="1"/>
    <col min="2563" max="2563" width="57.28515625" style="8" customWidth="1"/>
    <col min="2564" max="2564" width="15.5703125" style="8" customWidth="1"/>
    <col min="2565" max="2565" width="16.7109375" style="8" customWidth="1"/>
    <col min="2566" max="2814" width="9.140625" style="8"/>
    <col min="2815" max="2815" width="4" style="8" bestFit="1" customWidth="1"/>
    <col min="2816" max="2816" width="26.7109375" style="8" bestFit="1" customWidth="1"/>
    <col min="2817" max="2817" width="22.7109375" style="8" bestFit="1" customWidth="1"/>
    <col min="2818" max="2818" width="32.5703125" style="8" customWidth="1"/>
    <col min="2819" max="2819" width="57.28515625" style="8" customWidth="1"/>
    <col min="2820" max="2820" width="15.5703125" style="8" customWidth="1"/>
    <col min="2821" max="2821" width="16.7109375" style="8" customWidth="1"/>
    <col min="2822" max="3070" width="9.140625" style="8"/>
    <col min="3071" max="3071" width="4" style="8" bestFit="1" customWidth="1"/>
    <col min="3072" max="3072" width="26.7109375" style="8" bestFit="1" customWidth="1"/>
    <col min="3073" max="3073" width="22.7109375" style="8" bestFit="1" customWidth="1"/>
    <col min="3074" max="3074" width="32.5703125" style="8" customWidth="1"/>
    <col min="3075" max="3075" width="57.28515625" style="8" customWidth="1"/>
    <col min="3076" max="3076" width="15.5703125" style="8" customWidth="1"/>
    <col min="3077" max="3077" width="16.7109375" style="8" customWidth="1"/>
    <col min="3078" max="3326" width="9.140625" style="8"/>
    <col min="3327" max="3327" width="4" style="8" bestFit="1" customWidth="1"/>
    <col min="3328" max="3328" width="26.7109375" style="8" bestFit="1" customWidth="1"/>
    <col min="3329" max="3329" width="22.7109375" style="8" bestFit="1" customWidth="1"/>
    <col min="3330" max="3330" width="32.5703125" style="8" customWidth="1"/>
    <col min="3331" max="3331" width="57.28515625" style="8" customWidth="1"/>
    <col min="3332" max="3332" width="15.5703125" style="8" customWidth="1"/>
    <col min="3333" max="3333" width="16.7109375" style="8" customWidth="1"/>
    <col min="3334" max="3582" width="9.140625" style="8"/>
    <col min="3583" max="3583" width="4" style="8" bestFit="1" customWidth="1"/>
    <col min="3584" max="3584" width="26.7109375" style="8" bestFit="1" customWidth="1"/>
    <col min="3585" max="3585" width="22.7109375" style="8" bestFit="1" customWidth="1"/>
    <col min="3586" max="3586" width="32.5703125" style="8" customWidth="1"/>
    <col min="3587" max="3587" width="57.28515625" style="8" customWidth="1"/>
    <col min="3588" max="3588" width="15.5703125" style="8" customWidth="1"/>
    <col min="3589" max="3589" width="16.7109375" style="8" customWidth="1"/>
    <col min="3590" max="3838" width="9.140625" style="8"/>
    <col min="3839" max="3839" width="4" style="8" bestFit="1" customWidth="1"/>
    <col min="3840" max="3840" width="26.7109375" style="8" bestFit="1" customWidth="1"/>
    <col min="3841" max="3841" width="22.7109375" style="8" bestFit="1" customWidth="1"/>
    <col min="3842" max="3842" width="32.5703125" style="8" customWidth="1"/>
    <col min="3843" max="3843" width="57.28515625" style="8" customWidth="1"/>
    <col min="3844" max="3844" width="15.5703125" style="8" customWidth="1"/>
    <col min="3845" max="3845" width="16.7109375" style="8" customWidth="1"/>
    <col min="3846" max="4094" width="9.140625" style="8"/>
    <col min="4095" max="4095" width="4" style="8" bestFit="1" customWidth="1"/>
    <col min="4096" max="4096" width="26.7109375" style="8" bestFit="1" customWidth="1"/>
    <col min="4097" max="4097" width="22.7109375" style="8" bestFit="1" customWidth="1"/>
    <col min="4098" max="4098" width="32.5703125" style="8" customWidth="1"/>
    <col min="4099" max="4099" width="57.28515625" style="8" customWidth="1"/>
    <col min="4100" max="4100" width="15.5703125" style="8" customWidth="1"/>
    <col min="4101" max="4101" width="16.7109375" style="8" customWidth="1"/>
    <col min="4102" max="4350" width="9.140625" style="8"/>
    <col min="4351" max="4351" width="4" style="8" bestFit="1" customWidth="1"/>
    <col min="4352" max="4352" width="26.7109375" style="8" bestFit="1" customWidth="1"/>
    <col min="4353" max="4353" width="22.7109375" style="8" bestFit="1" customWidth="1"/>
    <col min="4354" max="4354" width="32.5703125" style="8" customWidth="1"/>
    <col min="4355" max="4355" width="57.28515625" style="8" customWidth="1"/>
    <col min="4356" max="4356" width="15.5703125" style="8" customWidth="1"/>
    <col min="4357" max="4357" width="16.7109375" style="8" customWidth="1"/>
    <col min="4358" max="4606" width="9.140625" style="8"/>
    <col min="4607" max="4607" width="4" style="8" bestFit="1" customWidth="1"/>
    <col min="4608" max="4608" width="26.7109375" style="8" bestFit="1" customWidth="1"/>
    <col min="4609" max="4609" width="22.7109375" style="8" bestFit="1" customWidth="1"/>
    <col min="4610" max="4610" width="32.5703125" style="8" customWidth="1"/>
    <col min="4611" max="4611" width="57.28515625" style="8" customWidth="1"/>
    <col min="4612" max="4612" width="15.5703125" style="8" customWidth="1"/>
    <col min="4613" max="4613" width="16.7109375" style="8" customWidth="1"/>
    <col min="4614" max="4862" width="9.140625" style="8"/>
    <col min="4863" max="4863" width="4" style="8" bestFit="1" customWidth="1"/>
    <col min="4864" max="4864" width="26.7109375" style="8" bestFit="1" customWidth="1"/>
    <col min="4865" max="4865" width="22.7109375" style="8" bestFit="1" customWidth="1"/>
    <col min="4866" max="4866" width="32.5703125" style="8" customWidth="1"/>
    <col min="4867" max="4867" width="57.28515625" style="8" customWidth="1"/>
    <col min="4868" max="4868" width="15.5703125" style="8" customWidth="1"/>
    <col min="4869" max="4869" width="16.7109375" style="8" customWidth="1"/>
    <col min="4870" max="5118" width="9.140625" style="8"/>
    <col min="5119" max="5119" width="4" style="8" bestFit="1" customWidth="1"/>
    <col min="5120" max="5120" width="26.7109375" style="8" bestFit="1" customWidth="1"/>
    <col min="5121" max="5121" width="22.7109375" style="8" bestFit="1" customWidth="1"/>
    <col min="5122" max="5122" width="32.5703125" style="8" customWidth="1"/>
    <col min="5123" max="5123" width="57.28515625" style="8" customWidth="1"/>
    <col min="5124" max="5124" width="15.5703125" style="8" customWidth="1"/>
    <col min="5125" max="5125" width="16.7109375" style="8" customWidth="1"/>
    <col min="5126" max="5374" width="9.140625" style="8"/>
    <col min="5375" max="5375" width="4" style="8" bestFit="1" customWidth="1"/>
    <col min="5376" max="5376" width="26.7109375" style="8" bestFit="1" customWidth="1"/>
    <col min="5377" max="5377" width="22.7109375" style="8" bestFit="1" customWidth="1"/>
    <col min="5378" max="5378" width="32.5703125" style="8" customWidth="1"/>
    <col min="5379" max="5379" width="57.28515625" style="8" customWidth="1"/>
    <col min="5380" max="5380" width="15.5703125" style="8" customWidth="1"/>
    <col min="5381" max="5381" width="16.7109375" style="8" customWidth="1"/>
    <col min="5382" max="5630" width="9.140625" style="8"/>
    <col min="5631" max="5631" width="4" style="8" bestFit="1" customWidth="1"/>
    <col min="5632" max="5632" width="26.7109375" style="8" bestFit="1" customWidth="1"/>
    <col min="5633" max="5633" width="22.7109375" style="8" bestFit="1" customWidth="1"/>
    <col min="5634" max="5634" width="32.5703125" style="8" customWidth="1"/>
    <col min="5635" max="5635" width="57.28515625" style="8" customWidth="1"/>
    <col min="5636" max="5636" width="15.5703125" style="8" customWidth="1"/>
    <col min="5637" max="5637" width="16.7109375" style="8" customWidth="1"/>
    <col min="5638" max="5886" width="9.140625" style="8"/>
    <col min="5887" max="5887" width="4" style="8" bestFit="1" customWidth="1"/>
    <col min="5888" max="5888" width="26.7109375" style="8" bestFit="1" customWidth="1"/>
    <col min="5889" max="5889" width="22.7109375" style="8" bestFit="1" customWidth="1"/>
    <col min="5890" max="5890" width="32.5703125" style="8" customWidth="1"/>
    <col min="5891" max="5891" width="57.28515625" style="8" customWidth="1"/>
    <col min="5892" max="5892" width="15.5703125" style="8" customWidth="1"/>
    <col min="5893" max="5893" width="16.7109375" style="8" customWidth="1"/>
    <col min="5894" max="6142" width="9.140625" style="8"/>
    <col min="6143" max="6143" width="4" style="8" bestFit="1" customWidth="1"/>
    <col min="6144" max="6144" width="26.7109375" style="8" bestFit="1" customWidth="1"/>
    <col min="6145" max="6145" width="22.7109375" style="8" bestFit="1" customWidth="1"/>
    <col min="6146" max="6146" width="32.5703125" style="8" customWidth="1"/>
    <col min="6147" max="6147" width="57.28515625" style="8" customWidth="1"/>
    <col min="6148" max="6148" width="15.5703125" style="8" customWidth="1"/>
    <col min="6149" max="6149" width="16.7109375" style="8" customWidth="1"/>
    <col min="6150" max="6398" width="9.140625" style="8"/>
    <col min="6399" max="6399" width="4" style="8" bestFit="1" customWidth="1"/>
    <col min="6400" max="6400" width="26.7109375" style="8" bestFit="1" customWidth="1"/>
    <col min="6401" max="6401" width="22.7109375" style="8" bestFit="1" customWidth="1"/>
    <col min="6402" max="6402" width="32.5703125" style="8" customWidth="1"/>
    <col min="6403" max="6403" width="57.28515625" style="8" customWidth="1"/>
    <col min="6404" max="6404" width="15.5703125" style="8" customWidth="1"/>
    <col min="6405" max="6405" width="16.7109375" style="8" customWidth="1"/>
    <col min="6406" max="6654" width="9.140625" style="8"/>
    <col min="6655" max="6655" width="4" style="8" bestFit="1" customWidth="1"/>
    <col min="6656" max="6656" width="26.7109375" style="8" bestFit="1" customWidth="1"/>
    <col min="6657" max="6657" width="22.7109375" style="8" bestFit="1" customWidth="1"/>
    <col min="6658" max="6658" width="32.5703125" style="8" customWidth="1"/>
    <col min="6659" max="6659" width="57.28515625" style="8" customWidth="1"/>
    <col min="6660" max="6660" width="15.5703125" style="8" customWidth="1"/>
    <col min="6661" max="6661" width="16.7109375" style="8" customWidth="1"/>
    <col min="6662" max="6910" width="9.140625" style="8"/>
    <col min="6911" max="6911" width="4" style="8" bestFit="1" customWidth="1"/>
    <col min="6912" max="6912" width="26.7109375" style="8" bestFit="1" customWidth="1"/>
    <col min="6913" max="6913" width="22.7109375" style="8" bestFit="1" customWidth="1"/>
    <col min="6914" max="6914" width="32.5703125" style="8" customWidth="1"/>
    <col min="6915" max="6915" width="57.28515625" style="8" customWidth="1"/>
    <col min="6916" max="6916" width="15.5703125" style="8" customWidth="1"/>
    <col min="6917" max="6917" width="16.7109375" style="8" customWidth="1"/>
    <col min="6918" max="7166" width="9.140625" style="8"/>
    <col min="7167" max="7167" width="4" style="8" bestFit="1" customWidth="1"/>
    <col min="7168" max="7168" width="26.7109375" style="8" bestFit="1" customWidth="1"/>
    <col min="7169" max="7169" width="22.7109375" style="8" bestFit="1" customWidth="1"/>
    <col min="7170" max="7170" width="32.5703125" style="8" customWidth="1"/>
    <col min="7171" max="7171" width="57.28515625" style="8" customWidth="1"/>
    <col min="7172" max="7172" width="15.5703125" style="8" customWidth="1"/>
    <col min="7173" max="7173" width="16.7109375" style="8" customWidth="1"/>
    <col min="7174" max="7422" width="9.140625" style="8"/>
    <col min="7423" max="7423" width="4" style="8" bestFit="1" customWidth="1"/>
    <col min="7424" max="7424" width="26.7109375" style="8" bestFit="1" customWidth="1"/>
    <col min="7425" max="7425" width="22.7109375" style="8" bestFit="1" customWidth="1"/>
    <col min="7426" max="7426" width="32.5703125" style="8" customWidth="1"/>
    <col min="7427" max="7427" width="57.28515625" style="8" customWidth="1"/>
    <col min="7428" max="7428" width="15.5703125" style="8" customWidth="1"/>
    <col min="7429" max="7429" width="16.7109375" style="8" customWidth="1"/>
    <col min="7430" max="7678" width="9.140625" style="8"/>
    <col min="7679" max="7679" width="4" style="8" bestFit="1" customWidth="1"/>
    <col min="7680" max="7680" width="26.7109375" style="8" bestFit="1" customWidth="1"/>
    <col min="7681" max="7681" width="22.7109375" style="8" bestFit="1" customWidth="1"/>
    <col min="7682" max="7682" width="32.5703125" style="8" customWidth="1"/>
    <col min="7683" max="7683" width="57.28515625" style="8" customWidth="1"/>
    <col min="7684" max="7684" width="15.5703125" style="8" customWidth="1"/>
    <col min="7685" max="7685" width="16.7109375" style="8" customWidth="1"/>
    <col min="7686" max="7934" width="9.140625" style="8"/>
    <col min="7935" max="7935" width="4" style="8" bestFit="1" customWidth="1"/>
    <col min="7936" max="7936" width="26.7109375" style="8" bestFit="1" customWidth="1"/>
    <col min="7937" max="7937" width="22.7109375" style="8" bestFit="1" customWidth="1"/>
    <col min="7938" max="7938" width="32.5703125" style="8" customWidth="1"/>
    <col min="7939" max="7939" width="57.28515625" style="8" customWidth="1"/>
    <col min="7940" max="7940" width="15.5703125" style="8" customWidth="1"/>
    <col min="7941" max="7941" width="16.7109375" style="8" customWidth="1"/>
    <col min="7942" max="8190" width="9.140625" style="8"/>
    <col min="8191" max="8191" width="4" style="8" bestFit="1" customWidth="1"/>
    <col min="8192" max="8192" width="26.7109375" style="8" bestFit="1" customWidth="1"/>
    <col min="8193" max="8193" width="22.7109375" style="8" bestFit="1" customWidth="1"/>
    <col min="8194" max="8194" width="32.5703125" style="8" customWidth="1"/>
    <col min="8195" max="8195" width="57.28515625" style="8" customWidth="1"/>
    <col min="8196" max="8196" width="15.5703125" style="8" customWidth="1"/>
    <col min="8197" max="8197" width="16.7109375" style="8" customWidth="1"/>
    <col min="8198" max="8446" width="9.140625" style="8"/>
    <col min="8447" max="8447" width="4" style="8" bestFit="1" customWidth="1"/>
    <col min="8448" max="8448" width="26.7109375" style="8" bestFit="1" customWidth="1"/>
    <col min="8449" max="8449" width="22.7109375" style="8" bestFit="1" customWidth="1"/>
    <col min="8450" max="8450" width="32.5703125" style="8" customWidth="1"/>
    <col min="8451" max="8451" width="57.28515625" style="8" customWidth="1"/>
    <col min="8452" max="8452" width="15.5703125" style="8" customWidth="1"/>
    <col min="8453" max="8453" width="16.7109375" style="8" customWidth="1"/>
    <col min="8454" max="8702" width="9.140625" style="8"/>
    <col min="8703" max="8703" width="4" style="8" bestFit="1" customWidth="1"/>
    <col min="8704" max="8704" width="26.7109375" style="8" bestFit="1" customWidth="1"/>
    <col min="8705" max="8705" width="22.7109375" style="8" bestFit="1" customWidth="1"/>
    <col min="8706" max="8706" width="32.5703125" style="8" customWidth="1"/>
    <col min="8707" max="8707" width="57.28515625" style="8" customWidth="1"/>
    <col min="8708" max="8708" width="15.5703125" style="8" customWidth="1"/>
    <col min="8709" max="8709" width="16.7109375" style="8" customWidth="1"/>
    <col min="8710" max="8958" width="9.140625" style="8"/>
    <col min="8959" max="8959" width="4" style="8" bestFit="1" customWidth="1"/>
    <col min="8960" max="8960" width="26.7109375" style="8" bestFit="1" customWidth="1"/>
    <col min="8961" max="8961" width="22.7109375" style="8" bestFit="1" customWidth="1"/>
    <col min="8962" max="8962" width="32.5703125" style="8" customWidth="1"/>
    <col min="8963" max="8963" width="57.28515625" style="8" customWidth="1"/>
    <col min="8964" max="8964" width="15.5703125" style="8" customWidth="1"/>
    <col min="8965" max="8965" width="16.7109375" style="8" customWidth="1"/>
    <col min="8966" max="9214" width="9.140625" style="8"/>
    <col min="9215" max="9215" width="4" style="8" bestFit="1" customWidth="1"/>
    <col min="9216" max="9216" width="26.7109375" style="8" bestFit="1" customWidth="1"/>
    <col min="9217" max="9217" width="22.7109375" style="8" bestFit="1" customWidth="1"/>
    <col min="9218" max="9218" width="32.5703125" style="8" customWidth="1"/>
    <col min="9219" max="9219" width="57.28515625" style="8" customWidth="1"/>
    <col min="9220" max="9220" width="15.5703125" style="8" customWidth="1"/>
    <col min="9221" max="9221" width="16.7109375" style="8" customWidth="1"/>
    <col min="9222" max="9470" width="9.140625" style="8"/>
    <col min="9471" max="9471" width="4" style="8" bestFit="1" customWidth="1"/>
    <col min="9472" max="9472" width="26.7109375" style="8" bestFit="1" customWidth="1"/>
    <col min="9473" max="9473" width="22.7109375" style="8" bestFit="1" customWidth="1"/>
    <col min="9474" max="9474" width="32.5703125" style="8" customWidth="1"/>
    <col min="9475" max="9475" width="57.28515625" style="8" customWidth="1"/>
    <col min="9476" max="9476" width="15.5703125" style="8" customWidth="1"/>
    <col min="9477" max="9477" width="16.7109375" style="8" customWidth="1"/>
    <col min="9478" max="9726" width="9.140625" style="8"/>
    <col min="9727" max="9727" width="4" style="8" bestFit="1" customWidth="1"/>
    <col min="9728" max="9728" width="26.7109375" style="8" bestFit="1" customWidth="1"/>
    <col min="9729" max="9729" width="22.7109375" style="8" bestFit="1" customWidth="1"/>
    <col min="9730" max="9730" width="32.5703125" style="8" customWidth="1"/>
    <col min="9731" max="9731" width="57.28515625" style="8" customWidth="1"/>
    <col min="9732" max="9732" width="15.5703125" style="8" customWidth="1"/>
    <col min="9733" max="9733" width="16.7109375" style="8" customWidth="1"/>
    <col min="9734" max="9982" width="9.140625" style="8"/>
    <col min="9983" max="9983" width="4" style="8" bestFit="1" customWidth="1"/>
    <col min="9984" max="9984" width="26.7109375" style="8" bestFit="1" customWidth="1"/>
    <col min="9985" max="9985" width="22.7109375" style="8" bestFit="1" customWidth="1"/>
    <col min="9986" max="9986" width="32.5703125" style="8" customWidth="1"/>
    <col min="9987" max="9987" width="57.28515625" style="8" customWidth="1"/>
    <col min="9988" max="9988" width="15.5703125" style="8" customWidth="1"/>
    <col min="9989" max="9989" width="16.7109375" style="8" customWidth="1"/>
    <col min="9990" max="10238" width="9.140625" style="8"/>
    <col min="10239" max="10239" width="4" style="8" bestFit="1" customWidth="1"/>
    <col min="10240" max="10240" width="26.7109375" style="8" bestFit="1" customWidth="1"/>
    <col min="10241" max="10241" width="22.7109375" style="8" bestFit="1" customWidth="1"/>
    <col min="10242" max="10242" width="32.5703125" style="8" customWidth="1"/>
    <col min="10243" max="10243" width="57.28515625" style="8" customWidth="1"/>
    <col min="10244" max="10244" width="15.5703125" style="8" customWidth="1"/>
    <col min="10245" max="10245" width="16.7109375" style="8" customWidth="1"/>
    <col min="10246" max="10494" width="9.140625" style="8"/>
    <col min="10495" max="10495" width="4" style="8" bestFit="1" customWidth="1"/>
    <col min="10496" max="10496" width="26.7109375" style="8" bestFit="1" customWidth="1"/>
    <col min="10497" max="10497" width="22.7109375" style="8" bestFit="1" customWidth="1"/>
    <col min="10498" max="10498" width="32.5703125" style="8" customWidth="1"/>
    <col min="10499" max="10499" width="57.28515625" style="8" customWidth="1"/>
    <col min="10500" max="10500" width="15.5703125" style="8" customWidth="1"/>
    <col min="10501" max="10501" width="16.7109375" style="8" customWidth="1"/>
    <col min="10502" max="10750" width="9.140625" style="8"/>
    <col min="10751" max="10751" width="4" style="8" bestFit="1" customWidth="1"/>
    <col min="10752" max="10752" width="26.7109375" style="8" bestFit="1" customWidth="1"/>
    <col min="10753" max="10753" width="22.7109375" style="8" bestFit="1" customWidth="1"/>
    <col min="10754" max="10754" width="32.5703125" style="8" customWidth="1"/>
    <col min="10755" max="10755" width="57.28515625" style="8" customWidth="1"/>
    <col min="10756" max="10756" width="15.5703125" style="8" customWidth="1"/>
    <col min="10757" max="10757" width="16.7109375" style="8" customWidth="1"/>
    <col min="10758" max="11006" width="9.140625" style="8"/>
    <col min="11007" max="11007" width="4" style="8" bestFit="1" customWidth="1"/>
    <col min="11008" max="11008" width="26.7109375" style="8" bestFit="1" customWidth="1"/>
    <col min="11009" max="11009" width="22.7109375" style="8" bestFit="1" customWidth="1"/>
    <col min="11010" max="11010" width="32.5703125" style="8" customWidth="1"/>
    <col min="11011" max="11011" width="57.28515625" style="8" customWidth="1"/>
    <col min="11012" max="11012" width="15.5703125" style="8" customWidth="1"/>
    <col min="11013" max="11013" width="16.7109375" style="8" customWidth="1"/>
    <col min="11014" max="11262" width="9.140625" style="8"/>
    <col min="11263" max="11263" width="4" style="8" bestFit="1" customWidth="1"/>
    <col min="11264" max="11264" width="26.7109375" style="8" bestFit="1" customWidth="1"/>
    <col min="11265" max="11265" width="22.7109375" style="8" bestFit="1" customWidth="1"/>
    <col min="11266" max="11266" width="32.5703125" style="8" customWidth="1"/>
    <col min="11267" max="11267" width="57.28515625" style="8" customWidth="1"/>
    <col min="11268" max="11268" width="15.5703125" style="8" customWidth="1"/>
    <col min="11269" max="11269" width="16.7109375" style="8" customWidth="1"/>
    <col min="11270" max="11518" width="9.140625" style="8"/>
    <col min="11519" max="11519" width="4" style="8" bestFit="1" customWidth="1"/>
    <col min="11520" max="11520" width="26.7109375" style="8" bestFit="1" customWidth="1"/>
    <col min="11521" max="11521" width="22.7109375" style="8" bestFit="1" customWidth="1"/>
    <col min="11522" max="11522" width="32.5703125" style="8" customWidth="1"/>
    <col min="11523" max="11523" width="57.28515625" style="8" customWidth="1"/>
    <col min="11524" max="11524" width="15.5703125" style="8" customWidth="1"/>
    <col min="11525" max="11525" width="16.7109375" style="8" customWidth="1"/>
    <col min="11526" max="11774" width="9.140625" style="8"/>
    <col min="11775" max="11775" width="4" style="8" bestFit="1" customWidth="1"/>
    <col min="11776" max="11776" width="26.7109375" style="8" bestFit="1" customWidth="1"/>
    <col min="11777" max="11777" width="22.7109375" style="8" bestFit="1" customWidth="1"/>
    <col min="11778" max="11778" width="32.5703125" style="8" customWidth="1"/>
    <col min="11779" max="11779" width="57.28515625" style="8" customWidth="1"/>
    <col min="11780" max="11780" width="15.5703125" style="8" customWidth="1"/>
    <col min="11781" max="11781" width="16.7109375" style="8" customWidth="1"/>
    <col min="11782" max="12030" width="9.140625" style="8"/>
    <col min="12031" max="12031" width="4" style="8" bestFit="1" customWidth="1"/>
    <col min="12032" max="12032" width="26.7109375" style="8" bestFit="1" customWidth="1"/>
    <col min="12033" max="12033" width="22.7109375" style="8" bestFit="1" customWidth="1"/>
    <col min="12034" max="12034" width="32.5703125" style="8" customWidth="1"/>
    <col min="12035" max="12035" width="57.28515625" style="8" customWidth="1"/>
    <col min="12036" max="12036" width="15.5703125" style="8" customWidth="1"/>
    <col min="12037" max="12037" width="16.7109375" style="8" customWidth="1"/>
    <col min="12038" max="12286" width="9.140625" style="8"/>
    <col min="12287" max="12287" width="4" style="8" bestFit="1" customWidth="1"/>
    <col min="12288" max="12288" width="26.7109375" style="8" bestFit="1" customWidth="1"/>
    <col min="12289" max="12289" width="22.7109375" style="8" bestFit="1" customWidth="1"/>
    <col min="12290" max="12290" width="32.5703125" style="8" customWidth="1"/>
    <col min="12291" max="12291" width="57.28515625" style="8" customWidth="1"/>
    <col min="12292" max="12292" width="15.5703125" style="8" customWidth="1"/>
    <col min="12293" max="12293" width="16.7109375" style="8" customWidth="1"/>
    <col min="12294" max="12542" width="9.140625" style="8"/>
    <col min="12543" max="12543" width="4" style="8" bestFit="1" customWidth="1"/>
    <col min="12544" max="12544" width="26.7109375" style="8" bestFit="1" customWidth="1"/>
    <col min="12545" max="12545" width="22.7109375" style="8" bestFit="1" customWidth="1"/>
    <col min="12546" max="12546" width="32.5703125" style="8" customWidth="1"/>
    <col min="12547" max="12547" width="57.28515625" style="8" customWidth="1"/>
    <col min="12548" max="12548" width="15.5703125" style="8" customWidth="1"/>
    <col min="12549" max="12549" width="16.7109375" style="8" customWidth="1"/>
    <col min="12550" max="12798" width="9.140625" style="8"/>
    <col min="12799" max="12799" width="4" style="8" bestFit="1" customWidth="1"/>
    <col min="12800" max="12800" width="26.7109375" style="8" bestFit="1" customWidth="1"/>
    <col min="12801" max="12801" width="22.7109375" style="8" bestFit="1" customWidth="1"/>
    <col min="12802" max="12802" width="32.5703125" style="8" customWidth="1"/>
    <col min="12803" max="12803" width="57.28515625" style="8" customWidth="1"/>
    <col min="12804" max="12804" width="15.5703125" style="8" customWidth="1"/>
    <col min="12805" max="12805" width="16.7109375" style="8" customWidth="1"/>
    <col min="12806" max="13054" width="9.140625" style="8"/>
    <col min="13055" max="13055" width="4" style="8" bestFit="1" customWidth="1"/>
    <col min="13056" max="13056" width="26.7109375" style="8" bestFit="1" customWidth="1"/>
    <col min="13057" max="13057" width="22.7109375" style="8" bestFit="1" customWidth="1"/>
    <col min="13058" max="13058" width="32.5703125" style="8" customWidth="1"/>
    <col min="13059" max="13059" width="57.28515625" style="8" customWidth="1"/>
    <col min="13060" max="13060" width="15.5703125" style="8" customWidth="1"/>
    <col min="13061" max="13061" width="16.7109375" style="8" customWidth="1"/>
    <col min="13062" max="13310" width="9.140625" style="8"/>
    <col min="13311" max="13311" width="4" style="8" bestFit="1" customWidth="1"/>
    <col min="13312" max="13312" width="26.7109375" style="8" bestFit="1" customWidth="1"/>
    <col min="13313" max="13313" width="22.7109375" style="8" bestFit="1" customWidth="1"/>
    <col min="13314" max="13314" width="32.5703125" style="8" customWidth="1"/>
    <col min="13315" max="13315" width="57.28515625" style="8" customWidth="1"/>
    <col min="13316" max="13316" width="15.5703125" style="8" customWidth="1"/>
    <col min="13317" max="13317" width="16.7109375" style="8" customWidth="1"/>
    <col min="13318" max="13566" width="9.140625" style="8"/>
    <col min="13567" max="13567" width="4" style="8" bestFit="1" customWidth="1"/>
    <col min="13568" max="13568" width="26.7109375" style="8" bestFit="1" customWidth="1"/>
    <col min="13569" max="13569" width="22.7109375" style="8" bestFit="1" customWidth="1"/>
    <col min="13570" max="13570" width="32.5703125" style="8" customWidth="1"/>
    <col min="13571" max="13571" width="57.28515625" style="8" customWidth="1"/>
    <col min="13572" max="13572" width="15.5703125" style="8" customWidth="1"/>
    <col min="13573" max="13573" width="16.7109375" style="8" customWidth="1"/>
    <col min="13574" max="13822" width="9.140625" style="8"/>
    <col min="13823" max="13823" width="4" style="8" bestFit="1" customWidth="1"/>
    <col min="13824" max="13824" width="26.7109375" style="8" bestFit="1" customWidth="1"/>
    <col min="13825" max="13825" width="22.7109375" style="8" bestFit="1" customWidth="1"/>
    <col min="13826" max="13826" width="32.5703125" style="8" customWidth="1"/>
    <col min="13827" max="13827" width="57.28515625" style="8" customWidth="1"/>
    <col min="13828" max="13828" width="15.5703125" style="8" customWidth="1"/>
    <col min="13829" max="13829" width="16.7109375" style="8" customWidth="1"/>
    <col min="13830" max="14078" width="9.140625" style="8"/>
    <col min="14079" max="14079" width="4" style="8" bestFit="1" customWidth="1"/>
    <col min="14080" max="14080" width="26.7109375" style="8" bestFit="1" customWidth="1"/>
    <col min="14081" max="14081" width="22.7109375" style="8" bestFit="1" customWidth="1"/>
    <col min="14082" max="14082" width="32.5703125" style="8" customWidth="1"/>
    <col min="14083" max="14083" width="57.28515625" style="8" customWidth="1"/>
    <col min="14084" max="14084" width="15.5703125" style="8" customWidth="1"/>
    <col min="14085" max="14085" width="16.7109375" style="8" customWidth="1"/>
    <col min="14086" max="14334" width="9.140625" style="8"/>
    <col min="14335" max="14335" width="4" style="8" bestFit="1" customWidth="1"/>
    <col min="14336" max="14336" width="26.7109375" style="8" bestFit="1" customWidth="1"/>
    <col min="14337" max="14337" width="22.7109375" style="8" bestFit="1" customWidth="1"/>
    <col min="14338" max="14338" width="32.5703125" style="8" customWidth="1"/>
    <col min="14339" max="14339" width="57.28515625" style="8" customWidth="1"/>
    <col min="14340" max="14340" width="15.5703125" style="8" customWidth="1"/>
    <col min="14341" max="14341" width="16.7109375" style="8" customWidth="1"/>
    <col min="14342" max="14590" width="9.140625" style="8"/>
    <col min="14591" max="14591" width="4" style="8" bestFit="1" customWidth="1"/>
    <col min="14592" max="14592" width="26.7109375" style="8" bestFit="1" customWidth="1"/>
    <col min="14593" max="14593" width="22.7109375" style="8" bestFit="1" customWidth="1"/>
    <col min="14594" max="14594" width="32.5703125" style="8" customWidth="1"/>
    <col min="14595" max="14595" width="57.28515625" style="8" customWidth="1"/>
    <col min="14596" max="14596" width="15.5703125" style="8" customWidth="1"/>
    <col min="14597" max="14597" width="16.7109375" style="8" customWidth="1"/>
    <col min="14598" max="14846" width="9.140625" style="8"/>
    <col min="14847" max="14847" width="4" style="8" bestFit="1" customWidth="1"/>
    <col min="14848" max="14848" width="26.7109375" style="8" bestFit="1" customWidth="1"/>
    <col min="14849" max="14849" width="22.7109375" style="8" bestFit="1" customWidth="1"/>
    <col min="14850" max="14850" width="32.5703125" style="8" customWidth="1"/>
    <col min="14851" max="14851" width="57.28515625" style="8" customWidth="1"/>
    <col min="14852" max="14852" width="15.5703125" style="8" customWidth="1"/>
    <col min="14853" max="14853" width="16.7109375" style="8" customWidth="1"/>
    <col min="14854" max="15102" width="9.140625" style="8"/>
    <col min="15103" max="15103" width="4" style="8" bestFit="1" customWidth="1"/>
    <col min="15104" max="15104" width="26.7109375" style="8" bestFit="1" customWidth="1"/>
    <col min="15105" max="15105" width="22.7109375" style="8" bestFit="1" customWidth="1"/>
    <col min="15106" max="15106" width="32.5703125" style="8" customWidth="1"/>
    <col min="15107" max="15107" width="57.28515625" style="8" customWidth="1"/>
    <col min="15108" max="15108" width="15.5703125" style="8" customWidth="1"/>
    <col min="15109" max="15109" width="16.7109375" style="8" customWidth="1"/>
    <col min="15110" max="15358" width="9.140625" style="8"/>
    <col min="15359" max="15359" width="4" style="8" bestFit="1" customWidth="1"/>
    <col min="15360" max="15360" width="26.7109375" style="8" bestFit="1" customWidth="1"/>
    <col min="15361" max="15361" width="22.7109375" style="8" bestFit="1" customWidth="1"/>
    <col min="15362" max="15362" width="32.5703125" style="8" customWidth="1"/>
    <col min="15363" max="15363" width="57.28515625" style="8" customWidth="1"/>
    <col min="15364" max="15364" width="15.5703125" style="8" customWidth="1"/>
    <col min="15365" max="15365" width="16.7109375" style="8" customWidth="1"/>
    <col min="15366" max="15614" width="9.140625" style="8"/>
    <col min="15615" max="15615" width="4" style="8" bestFit="1" customWidth="1"/>
    <col min="15616" max="15616" width="26.7109375" style="8" bestFit="1" customWidth="1"/>
    <col min="15617" max="15617" width="22.7109375" style="8" bestFit="1" customWidth="1"/>
    <col min="15618" max="15618" width="32.5703125" style="8" customWidth="1"/>
    <col min="15619" max="15619" width="57.28515625" style="8" customWidth="1"/>
    <col min="15620" max="15620" width="15.5703125" style="8" customWidth="1"/>
    <col min="15621" max="15621" width="16.7109375" style="8" customWidth="1"/>
    <col min="15622" max="15870" width="9.140625" style="8"/>
    <col min="15871" max="15871" width="4" style="8" bestFit="1" customWidth="1"/>
    <col min="15872" max="15872" width="26.7109375" style="8" bestFit="1" customWidth="1"/>
    <col min="15873" max="15873" width="22.7109375" style="8" bestFit="1" customWidth="1"/>
    <col min="15874" max="15874" width="32.5703125" style="8" customWidth="1"/>
    <col min="15875" max="15875" width="57.28515625" style="8" customWidth="1"/>
    <col min="15876" max="15876" width="15.5703125" style="8" customWidth="1"/>
    <col min="15877" max="15877" width="16.7109375" style="8" customWidth="1"/>
    <col min="15878" max="16126" width="9.140625" style="8"/>
    <col min="16127" max="16127" width="4" style="8" bestFit="1" customWidth="1"/>
    <col min="16128" max="16128" width="26.7109375" style="8" bestFit="1" customWidth="1"/>
    <col min="16129" max="16129" width="22.7109375" style="8" bestFit="1" customWidth="1"/>
    <col min="16130" max="16130" width="32.5703125" style="8" customWidth="1"/>
    <col min="16131" max="16131" width="57.28515625" style="8" customWidth="1"/>
    <col min="16132" max="16132" width="15.5703125" style="8" customWidth="1"/>
    <col min="16133" max="16133" width="16.7109375" style="8" customWidth="1"/>
    <col min="16134" max="16384" width="9.140625" style="8"/>
  </cols>
  <sheetData>
    <row r="1" spans="1:8" s="3" customFormat="1" ht="21" customHeight="1" x14ac:dyDescent="0.25">
      <c r="A1" s="105" t="s">
        <v>4</v>
      </c>
      <c r="B1" s="106"/>
      <c r="C1" s="107"/>
      <c r="D1" s="111" t="str">
        <f>Copertina!C7</f>
        <v>MEV 2019_006 SIUS Avvocati</v>
      </c>
      <c r="E1" s="112"/>
      <c r="F1" s="112"/>
      <c r="G1" s="113"/>
      <c r="H1" s="2"/>
    </row>
    <row r="2" spans="1:8" s="3" customFormat="1" ht="20.25" customHeight="1" thickBot="1" x14ac:dyDescent="0.3">
      <c r="A2" s="108" t="s">
        <v>12</v>
      </c>
      <c r="B2" s="109"/>
      <c r="C2" s="110"/>
      <c r="D2" s="114" t="str">
        <f>Copertina!C3</f>
        <v>SIUT-SIE-CT-1.0-20210806-Allegato_al_piano_test_006_SIUS_Avvocati.xlsx</v>
      </c>
      <c r="E2" s="115"/>
      <c r="F2" s="115"/>
      <c r="G2" s="116"/>
      <c r="H2" s="4"/>
    </row>
    <row r="3" spans="1:8" ht="42" customHeight="1" thickBot="1" x14ac:dyDescent="0.3">
      <c r="A3" s="5" t="s">
        <v>8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7" t="s">
        <v>19</v>
      </c>
    </row>
    <row r="4" spans="1:8" ht="45" x14ac:dyDescent="0.25">
      <c r="A4" s="33" t="s">
        <v>45</v>
      </c>
      <c r="B4" s="34" t="s">
        <v>46</v>
      </c>
      <c r="C4" s="34" t="s">
        <v>47</v>
      </c>
      <c r="D4" s="34" t="s">
        <v>48</v>
      </c>
      <c r="E4" s="35" t="s">
        <v>49</v>
      </c>
      <c r="F4" s="36" t="s">
        <v>50</v>
      </c>
      <c r="G4" s="35"/>
    </row>
    <row r="5" spans="1:8" ht="30" x14ac:dyDescent="0.25">
      <c r="A5" s="33" t="s">
        <v>51</v>
      </c>
      <c r="B5" s="34" t="s">
        <v>46</v>
      </c>
      <c r="C5" s="34" t="s">
        <v>52</v>
      </c>
      <c r="D5" s="34" t="s">
        <v>53</v>
      </c>
      <c r="E5" s="34" t="s">
        <v>54</v>
      </c>
      <c r="F5" s="37" t="s">
        <v>50</v>
      </c>
      <c r="G5" s="34"/>
    </row>
    <row r="6" spans="1:8" ht="30" x14ac:dyDescent="0.25">
      <c r="A6" s="33" t="s">
        <v>55</v>
      </c>
      <c r="B6" s="34" t="s">
        <v>46</v>
      </c>
      <c r="C6" s="34" t="s">
        <v>56</v>
      </c>
      <c r="D6" s="34" t="s">
        <v>57</v>
      </c>
      <c r="E6" s="34" t="s">
        <v>58</v>
      </c>
      <c r="F6" s="37" t="s">
        <v>50</v>
      </c>
      <c r="G6" s="34"/>
    </row>
    <row r="7" spans="1:8" ht="30" x14ac:dyDescent="0.25">
      <c r="A7" s="33" t="s">
        <v>59</v>
      </c>
      <c r="B7" s="34" t="s">
        <v>60</v>
      </c>
      <c r="C7" s="34" t="s">
        <v>61</v>
      </c>
      <c r="D7" s="34" t="s">
        <v>62</v>
      </c>
      <c r="E7" s="34" t="s">
        <v>63</v>
      </c>
      <c r="F7" s="37" t="s">
        <v>50</v>
      </c>
      <c r="G7" s="34"/>
    </row>
    <row r="8" spans="1:8" ht="60" x14ac:dyDescent="0.25">
      <c r="A8" s="33" t="s">
        <v>64</v>
      </c>
      <c r="B8" s="34" t="s">
        <v>65</v>
      </c>
      <c r="C8" s="34" t="s">
        <v>66</v>
      </c>
      <c r="D8" s="34" t="s">
        <v>67</v>
      </c>
      <c r="E8" s="34" t="s">
        <v>68</v>
      </c>
      <c r="F8" s="37" t="s">
        <v>50</v>
      </c>
      <c r="G8" s="34"/>
    </row>
    <row r="9" spans="1:8" ht="30" x14ac:dyDescent="0.25">
      <c r="A9" s="33" t="s">
        <v>69</v>
      </c>
      <c r="B9" s="34" t="s">
        <v>65</v>
      </c>
      <c r="C9" s="34" t="s">
        <v>66</v>
      </c>
      <c r="D9" s="34" t="s">
        <v>70</v>
      </c>
      <c r="E9" s="34" t="s">
        <v>71</v>
      </c>
      <c r="F9" s="37" t="s">
        <v>50</v>
      </c>
      <c r="G9" s="34"/>
    </row>
    <row r="10" spans="1:8" ht="30" x14ac:dyDescent="0.25">
      <c r="A10" s="33" t="s">
        <v>72</v>
      </c>
      <c r="B10" s="34" t="s">
        <v>65</v>
      </c>
      <c r="C10" s="34" t="s">
        <v>66</v>
      </c>
      <c r="D10" s="34" t="s">
        <v>73</v>
      </c>
      <c r="E10" s="34" t="s">
        <v>74</v>
      </c>
      <c r="F10" s="37" t="s">
        <v>50</v>
      </c>
      <c r="G10" s="34"/>
    </row>
    <row r="11" spans="1:8" ht="60" x14ac:dyDescent="0.25">
      <c r="A11" s="33" t="s">
        <v>75</v>
      </c>
      <c r="B11" s="34" t="s">
        <v>65</v>
      </c>
      <c r="C11" s="34" t="s">
        <v>76</v>
      </c>
      <c r="D11" s="34" t="s">
        <v>77</v>
      </c>
      <c r="E11" s="34" t="s">
        <v>78</v>
      </c>
      <c r="F11" s="37" t="s">
        <v>50</v>
      </c>
      <c r="G11" s="34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15" customWidth="1"/>
    <col min="2" max="2" width="29.85546875" style="15" customWidth="1"/>
    <col min="3" max="3" width="28.140625" style="15" customWidth="1"/>
    <col min="4" max="4" width="27" style="15" customWidth="1"/>
    <col min="5" max="5" width="30.5703125" style="15" customWidth="1"/>
    <col min="6" max="6" width="1.7109375" style="15" customWidth="1"/>
    <col min="7" max="7" width="9.140625" style="24"/>
    <col min="8" max="256" width="9.140625" style="15"/>
    <col min="257" max="257" width="24.140625" style="15" customWidth="1"/>
    <col min="258" max="258" width="29.85546875" style="15" customWidth="1"/>
    <col min="259" max="259" width="28.140625" style="15" customWidth="1"/>
    <col min="260" max="260" width="27" style="15" customWidth="1"/>
    <col min="261" max="261" width="30.5703125" style="15" customWidth="1"/>
    <col min="262" max="262" width="1.7109375" style="15" customWidth="1"/>
    <col min="263" max="512" width="9.140625" style="15"/>
    <col min="513" max="513" width="24.140625" style="15" customWidth="1"/>
    <col min="514" max="514" width="29.85546875" style="15" customWidth="1"/>
    <col min="515" max="515" width="28.140625" style="15" customWidth="1"/>
    <col min="516" max="516" width="27" style="15" customWidth="1"/>
    <col min="517" max="517" width="30.5703125" style="15" customWidth="1"/>
    <col min="518" max="518" width="1.7109375" style="15" customWidth="1"/>
    <col min="519" max="768" width="9.140625" style="15"/>
    <col min="769" max="769" width="24.140625" style="15" customWidth="1"/>
    <col min="770" max="770" width="29.85546875" style="15" customWidth="1"/>
    <col min="771" max="771" width="28.140625" style="15" customWidth="1"/>
    <col min="772" max="772" width="27" style="15" customWidth="1"/>
    <col min="773" max="773" width="30.5703125" style="15" customWidth="1"/>
    <col min="774" max="774" width="1.7109375" style="15" customWidth="1"/>
    <col min="775" max="1024" width="9.140625" style="15"/>
    <col min="1025" max="1025" width="24.140625" style="15" customWidth="1"/>
    <col min="1026" max="1026" width="29.85546875" style="15" customWidth="1"/>
    <col min="1027" max="1027" width="28.140625" style="15" customWidth="1"/>
    <col min="1028" max="1028" width="27" style="15" customWidth="1"/>
    <col min="1029" max="1029" width="30.5703125" style="15" customWidth="1"/>
    <col min="1030" max="1030" width="1.7109375" style="15" customWidth="1"/>
    <col min="1031" max="1280" width="9.140625" style="15"/>
    <col min="1281" max="1281" width="24.140625" style="15" customWidth="1"/>
    <col min="1282" max="1282" width="29.85546875" style="15" customWidth="1"/>
    <col min="1283" max="1283" width="28.140625" style="15" customWidth="1"/>
    <col min="1284" max="1284" width="27" style="15" customWidth="1"/>
    <col min="1285" max="1285" width="30.5703125" style="15" customWidth="1"/>
    <col min="1286" max="1286" width="1.7109375" style="15" customWidth="1"/>
    <col min="1287" max="1536" width="9.140625" style="15"/>
    <col min="1537" max="1537" width="24.140625" style="15" customWidth="1"/>
    <col min="1538" max="1538" width="29.85546875" style="15" customWidth="1"/>
    <col min="1539" max="1539" width="28.140625" style="15" customWidth="1"/>
    <col min="1540" max="1540" width="27" style="15" customWidth="1"/>
    <col min="1541" max="1541" width="30.5703125" style="15" customWidth="1"/>
    <col min="1542" max="1542" width="1.7109375" style="15" customWidth="1"/>
    <col min="1543" max="1792" width="9.140625" style="15"/>
    <col min="1793" max="1793" width="24.140625" style="15" customWidth="1"/>
    <col min="1794" max="1794" width="29.85546875" style="15" customWidth="1"/>
    <col min="1795" max="1795" width="28.140625" style="15" customWidth="1"/>
    <col min="1796" max="1796" width="27" style="15" customWidth="1"/>
    <col min="1797" max="1797" width="30.5703125" style="15" customWidth="1"/>
    <col min="1798" max="1798" width="1.7109375" style="15" customWidth="1"/>
    <col min="1799" max="2048" width="9.140625" style="15"/>
    <col min="2049" max="2049" width="24.140625" style="15" customWidth="1"/>
    <col min="2050" max="2050" width="29.85546875" style="15" customWidth="1"/>
    <col min="2051" max="2051" width="28.140625" style="15" customWidth="1"/>
    <col min="2052" max="2052" width="27" style="15" customWidth="1"/>
    <col min="2053" max="2053" width="30.5703125" style="15" customWidth="1"/>
    <col min="2054" max="2054" width="1.7109375" style="15" customWidth="1"/>
    <col min="2055" max="2304" width="9.140625" style="15"/>
    <col min="2305" max="2305" width="24.140625" style="15" customWidth="1"/>
    <col min="2306" max="2306" width="29.85546875" style="15" customWidth="1"/>
    <col min="2307" max="2307" width="28.140625" style="15" customWidth="1"/>
    <col min="2308" max="2308" width="27" style="15" customWidth="1"/>
    <col min="2309" max="2309" width="30.5703125" style="15" customWidth="1"/>
    <col min="2310" max="2310" width="1.7109375" style="15" customWidth="1"/>
    <col min="2311" max="2560" width="9.140625" style="15"/>
    <col min="2561" max="2561" width="24.140625" style="15" customWidth="1"/>
    <col min="2562" max="2562" width="29.85546875" style="15" customWidth="1"/>
    <col min="2563" max="2563" width="28.140625" style="15" customWidth="1"/>
    <col min="2564" max="2564" width="27" style="15" customWidth="1"/>
    <col min="2565" max="2565" width="30.5703125" style="15" customWidth="1"/>
    <col min="2566" max="2566" width="1.7109375" style="15" customWidth="1"/>
    <col min="2567" max="2816" width="9.140625" style="15"/>
    <col min="2817" max="2817" width="24.140625" style="15" customWidth="1"/>
    <col min="2818" max="2818" width="29.85546875" style="15" customWidth="1"/>
    <col min="2819" max="2819" width="28.140625" style="15" customWidth="1"/>
    <col min="2820" max="2820" width="27" style="15" customWidth="1"/>
    <col min="2821" max="2821" width="30.5703125" style="15" customWidth="1"/>
    <col min="2822" max="2822" width="1.7109375" style="15" customWidth="1"/>
    <col min="2823" max="3072" width="9.140625" style="15"/>
    <col min="3073" max="3073" width="24.140625" style="15" customWidth="1"/>
    <col min="3074" max="3074" width="29.85546875" style="15" customWidth="1"/>
    <col min="3075" max="3075" width="28.140625" style="15" customWidth="1"/>
    <col min="3076" max="3076" width="27" style="15" customWidth="1"/>
    <col min="3077" max="3077" width="30.5703125" style="15" customWidth="1"/>
    <col min="3078" max="3078" width="1.7109375" style="15" customWidth="1"/>
    <col min="3079" max="3328" width="9.140625" style="15"/>
    <col min="3329" max="3329" width="24.140625" style="15" customWidth="1"/>
    <col min="3330" max="3330" width="29.85546875" style="15" customWidth="1"/>
    <col min="3331" max="3331" width="28.140625" style="15" customWidth="1"/>
    <col min="3332" max="3332" width="27" style="15" customWidth="1"/>
    <col min="3333" max="3333" width="30.5703125" style="15" customWidth="1"/>
    <col min="3334" max="3334" width="1.7109375" style="15" customWidth="1"/>
    <col min="3335" max="3584" width="9.140625" style="15"/>
    <col min="3585" max="3585" width="24.140625" style="15" customWidth="1"/>
    <col min="3586" max="3586" width="29.85546875" style="15" customWidth="1"/>
    <col min="3587" max="3587" width="28.140625" style="15" customWidth="1"/>
    <col min="3588" max="3588" width="27" style="15" customWidth="1"/>
    <col min="3589" max="3589" width="30.5703125" style="15" customWidth="1"/>
    <col min="3590" max="3590" width="1.7109375" style="15" customWidth="1"/>
    <col min="3591" max="3840" width="9.140625" style="15"/>
    <col min="3841" max="3841" width="24.140625" style="15" customWidth="1"/>
    <col min="3842" max="3842" width="29.85546875" style="15" customWidth="1"/>
    <col min="3843" max="3843" width="28.140625" style="15" customWidth="1"/>
    <col min="3844" max="3844" width="27" style="15" customWidth="1"/>
    <col min="3845" max="3845" width="30.5703125" style="15" customWidth="1"/>
    <col min="3846" max="3846" width="1.7109375" style="15" customWidth="1"/>
    <col min="3847" max="4096" width="9.140625" style="15"/>
    <col min="4097" max="4097" width="24.140625" style="15" customWidth="1"/>
    <col min="4098" max="4098" width="29.85546875" style="15" customWidth="1"/>
    <col min="4099" max="4099" width="28.140625" style="15" customWidth="1"/>
    <col min="4100" max="4100" width="27" style="15" customWidth="1"/>
    <col min="4101" max="4101" width="30.5703125" style="15" customWidth="1"/>
    <col min="4102" max="4102" width="1.7109375" style="15" customWidth="1"/>
    <col min="4103" max="4352" width="9.140625" style="15"/>
    <col min="4353" max="4353" width="24.140625" style="15" customWidth="1"/>
    <col min="4354" max="4354" width="29.85546875" style="15" customWidth="1"/>
    <col min="4355" max="4355" width="28.140625" style="15" customWidth="1"/>
    <col min="4356" max="4356" width="27" style="15" customWidth="1"/>
    <col min="4357" max="4357" width="30.5703125" style="15" customWidth="1"/>
    <col min="4358" max="4358" width="1.7109375" style="15" customWidth="1"/>
    <col min="4359" max="4608" width="9.140625" style="15"/>
    <col min="4609" max="4609" width="24.140625" style="15" customWidth="1"/>
    <col min="4610" max="4610" width="29.85546875" style="15" customWidth="1"/>
    <col min="4611" max="4611" width="28.140625" style="15" customWidth="1"/>
    <col min="4612" max="4612" width="27" style="15" customWidth="1"/>
    <col min="4613" max="4613" width="30.5703125" style="15" customWidth="1"/>
    <col min="4614" max="4614" width="1.7109375" style="15" customWidth="1"/>
    <col min="4615" max="4864" width="9.140625" style="15"/>
    <col min="4865" max="4865" width="24.140625" style="15" customWidth="1"/>
    <col min="4866" max="4866" width="29.85546875" style="15" customWidth="1"/>
    <col min="4867" max="4867" width="28.140625" style="15" customWidth="1"/>
    <col min="4868" max="4868" width="27" style="15" customWidth="1"/>
    <col min="4869" max="4869" width="30.5703125" style="15" customWidth="1"/>
    <col min="4870" max="4870" width="1.7109375" style="15" customWidth="1"/>
    <col min="4871" max="5120" width="9.140625" style="15"/>
    <col min="5121" max="5121" width="24.140625" style="15" customWidth="1"/>
    <col min="5122" max="5122" width="29.85546875" style="15" customWidth="1"/>
    <col min="5123" max="5123" width="28.140625" style="15" customWidth="1"/>
    <col min="5124" max="5124" width="27" style="15" customWidth="1"/>
    <col min="5125" max="5125" width="30.5703125" style="15" customWidth="1"/>
    <col min="5126" max="5126" width="1.7109375" style="15" customWidth="1"/>
    <col min="5127" max="5376" width="9.140625" style="15"/>
    <col min="5377" max="5377" width="24.140625" style="15" customWidth="1"/>
    <col min="5378" max="5378" width="29.85546875" style="15" customWidth="1"/>
    <col min="5379" max="5379" width="28.140625" style="15" customWidth="1"/>
    <col min="5380" max="5380" width="27" style="15" customWidth="1"/>
    <col min="5381" max="5381" width="30.5703125" style="15" customWidth="1"/>
    <col min="5382" max="5382" width="1.7109375" style="15" customWidth="1"/>
    <col min="5383" max="5632" width="9.140625" style="15"/>
    <col min="5633" max="5633" width="24.140625" style="15" customWidth="1"/>
    <col min="5634" max="5634" width="29.85546875" style="15" customWidth="1"/>
    <col min="5635" max="5635" width="28.140625" style="15" customWidth="1"/>
    <col min="5636" max="5636" width="27" style="15" customWidth="1"/>
    <col min="5637" max="5637" width="30.5703125" style="15" customWidth="1"/>
    <col min="5638" max="5638" width="1.7109375" style="15" customWidth="1"/>
    <col min="5639" max="5888" width="9.140625" style="15"/>
    <col min="5889" max="5889" width="24.140625" style="15" customWidth="1"/>
    <col min="5890" max="5890" width="29.85546875" style="15" customWidth="1"/>
    <col min="5891" max="5891" width="28.140625" style="15" customWidth="1"/>
    <col min="5892" max="5892" width="27" style="15" customWidth="1"/>
    <col min="5893" max="5893" width="30.5703125" style="15" customWidth="1"/>
    <col min="5894" max="5894" width="1.7109375" style="15" customWidth="1"/>
    <col min="5895" max="6144" width="9.140625" style="15"/>
    <col min="6145" max="6145" width="24.140625" style="15" customWidth="1"/>
    <col min="6146" max="6146" width="29.85546875" style="15" customWidth="1"/>
    <col min="6147" max="6147" width="28.140625" style="15" customWidth="1"/>
    <col min="6148" max="6148" width="27" style="15" customWidth="1"/>
    <col min="6149" max="6149" width="30.5703125" style="15" customWidth="1"/>
    <col min="6150" max="6150" width="1.7109375" style="15" customWidth="1"/>
    <col min="6151" max="6400" width="9.140625" style="15"/>
    <col min="6401" max="6401" width="24.140625" style="15" customWidth="1"/>
    <col min="6402" max="6402" width="29.85546875" style="15" customWidth="1"/>
    <col min="6403" max="6403" width="28.140625" style="15" customWidth="1"/>
    <col min="6404" max="6404" width="27" style="15" customWidth="1"/>
    <col min="6405" max="6405" width="30.5703125" style="15" customWidth="1"/>
    <col min="6406" max="6406" width="1.7109375" style="15" customWidth="1"/>
    <col min="6407" max="6656" width="9.140625" style="15"/>
    <col min="6657" max="6657" width="24.140625" style="15" customWidth="1"/>
    <col min="6658" max="6658" width="29.85546875" style="15" customWidth="1"/>
    <col min="6659" max="6659" width="28.140625" style="15" customWidth="1"/>
    <col min="6660" max="6660" width="27" style="15" customWidth="1"/>
    <col min="6661" max="6661" width="30.5703125" style="15" customWidth="1"/>
    <col min="6662" max="6662" width="1.7109375" style="15" customWidth="1"/>
    <col min="6663" max="6912" width="9.140625" style="15"/>
    <col min="6913" max="6913" width="24.140625" style="15" customWidth="1"/>
    <col min="6914" max="6914" width="29.85546875" style="15" customWidth="1"/>
    <col min="6915" max="6915" width="28.140625" style="15" customWidth="1"/>
    <col min="6916" max="6916" width="27" style="15" customWidth="1"/>
    <col min="6917" max="6917" width="30.5703125" style="15" customWidth="1"/>
    <col min="6918" max="6918" width="1.7109375" style="15" customWidth="1"/>
    <col min="6919" max="7168" width="9.140625" style="15"/>
    <col min="7169" max="7169" width="24.140625" style="15" customWidth="1"/>
    <col min="7170" max="7170" width="29.85546875" style="15" customWidth="1"/>
    <col min="7171" max="7171" width="28.140625" style="15" customWidth="1"/>
    <col min="7172" max="7172" width="27" style="15" customWidth="1"/>
    <col min="7173" max="7173" width="30.5703125" style="15" customWidth="1"/>
    <col min="7174" max="7174" width="1.7109375" style="15" customWidth="1"/>
    <col min="7175" max="7424" width="9.140625" style="15"/>
    <col min="7425" max="7425" width="24.140625" style="15" customWidth="1"/>
    <col min="7426" max="7426" width="29.85546875" style="15" customWidth="1"/>
    <col min="7427" max="7427" width="28.140625" style="15" customWidth="1"/>
    <col min="7428" max="7428" width="27" style="15" customWidth="1"/>
    <col min="7429" max="7429" width="30.5703125" style="15" customWidth="1"/>
    <col min="7430" max="7430" width="1.7109375" style="15" customWidth="1"/>
    <col min="7431" max="7680" width="9.140625" style="15"/>
    <col min="7681" max="7681" width="24.140625" style="15" customWidth="1"/>
    <col min="7682" max="7682" width="29.85546875" style="15" customWidth="1"/>
    <col min="7683" max="7683" width="28.140625" style="15" customWidth="1"/>
    <col min="7684" max="7684" width="27" style="15" customWidth="1"/>
    <col min="7685" max="7685" width="30.5703125" style="15" customWidth="1"/>
    <col min="7686" max="7686" width="1.7109375" style="15" customWidth="1"/>
    <col min="7687" max="7936" width="9.140625" style="15"/>
    <col min="7937" max="7937" width="24.140625" style="15" customWidth="1"/>
    <col min="7938" max="7938" width="29.85546875" style="15" customWidth="1"/>
    <col min="7939" max="7939" width="28.140625" style="15" customWidth="1"/>
    <col min="7940" max="7940" width="27" style="15" customWidth="1"/>
    <col min="7941" max="7941" width="30.5703125" style="15" customWidth="1"/>
    <col min="7942" max="7942" width="1.7109375" style="15" customWidth="1"/>
    <col min="7943" max="8192" width="9.140625" style="15"/>
    <col min="8193" max="8193" width="24.140625" style="15" customWidth="1"/>
    <col min="8194" max="8194" width="29.85546875" style="15" customWidth="1"/>
    <col min="8195" max="8195" width="28.140625" style="15" customWidth="1"/>
    <col min="8196" max="8196" width="27" style="15" customWidth="1"/>
    <col min="8197" max="8197" width="30.5703125" style="15" customWidth="1"/>
    <col min="8198" max="8198" width="1.7109375" style="15" customWidth="1"/>
    <col min="8199" max="8448" width="9.140625" style="15"/>
    <col min="8449" max="8449" width="24.140625" style="15" customWidth="1"/>
    <col min="8450" max="8450" width="29.85546875" style="15" customWidth="1"/>
    <col min="8451" max="8451" width="28.140625" style="15" customWidth="1"/>
    <col min="8452" max="8452" width="27" style="15" customWidth="1"/>
    <col min="8453" max="8453" width="30.5703125" style="15" customWidth="1"/>
    <col min="8454" max="8454" width="1.7109375" style="15" customWidth="1"/>
    <col min="8455" max="8704" width="9.140625" style="15"/>
    <col min="8705" max="8705" width="24.140625" style="15" customWidth="1"/>
    <col min="8706" max="8706" width="29.85546875" style="15" customWidth="1"/>
    <col min="8707" max="8707" width="28.140625" style="15" customWidth="1"/>
    <col min="8708" max="8708" width="27" style="15" customWidth="1"/>
    <col min="8709" max="8709" width="30.5703125" style="15" customWidth="1"/>
    <col min="8710" max="8710" width="1.7109375" style="15" customWidth="1"/>
    <col min="8711" max="8960" width="9.140625" style="15"/>
    <col min="8961" max="8961" width="24.140625" style="15" customWidth="1"/>
    <col min="8962" max="8962" width="29.85546875" style="15" customWidth="1"/>
    <col min="8963" max="8963" width="28.140625" style="15" customWidth="1"/>
    <col min="8964" max="8964" width="27" style="15" customWidth="1"/>
    <col min="8965" max="8965" width="30.5703125" style="15" customWidth="1"/>
    <col min="8966" max="8966" width="1.7109375" style="15" customWidth="1"/>
    <col min="8967" max="9216" width="9.140625" style="15"/>
    <col min="9217" max="9217" width="24.140625" style="15" customWidth="1"/>
    <col min="9218" max="9218" width="29.85546875" style="15" customWidth="1"/>
    <col min="9219" max="9219" width="28.140625" style="15" customWidth="1"/>
    <col min="9220" max="9220" width="27" style="15" customWidth="1"/>
    <col min="9221" max="9221" width="30.5703125" style="15" customWidth="1"/>
    <col min="9222" max="9222" width="1.7109375" style="15" customWidth="1"/>
    <col min="9223" max="9472" width="9.140625" style="15"/>
    <col min="9473" max="9473" width="24.140625" style="15" customWidth="1"/>
    <col min="9474" max="9474" width="29.85546875" style="15" customWidth="1"/>
    <col min="9475" max="9475" width="28.140625" style="15" customWidth="1"/>
    <col min="9476" max="9476" width="27" style="15" customWidth="1"/>
    <col min="9477" max="9477" width="30.5703125" style="15" customWidth="1"/>
    <col min="9478" max="9478" width="1.7109375" style="15" customWidth="1"/>
    <col min="9479" max="9728" width="9.140625" style="15"/>
    <col min="9729" max="9729" width="24.140625" style="15" customWidth="1"/>
    <col min="9730" max="9730" width="29.85546875" style="15" customWidth="1"/>
    <col min="9731" max="9731" width="28.140625" style="15" customWidth="1"/>
    <col min="9732" max="9732" width="27" style="15" customWidth="1"/>
    <col min="9733" max="9733" width="30.5703125" style="15" customWidth="1"/>
    <col min="9734" max="9734" width="1.7109375" style="15" customWidth="1"/>
    <col min="9735" max="9984" width="9.140625" style="15"/>
    <col min="9985" max="9985" width="24.140625" style="15" customWidth="1"/>
    <col min="9986" max="9986" width="29.85546875" style="15" customWidth="1"/>
    <col min="9987" max="9987" width="28.140625" style="15" customWidth="1"/>
    <col min="9988" max="9988" width="27" style="15" customWidth="1"/>
    <col min="9989" max="9989" width="30.5703125" style="15" customWidth="1"/>
    <col min="9990" max="9990" width="1.7109375" style="15" customWidth="1"/>
    <col min="9991" max="10240" width="9.140625" style="15"/>
    <col min="10241" max="10241" width="24.140625" style="15" customWidth="1"/>
    <col min="10242" max="10242" width="29.85546875" style="15" customWidth="1"/>
    <col min="10243" max="10243" width="28.140625" style="15" customWidth="1"/>
    <col min="10244" max="10244" width="27" style="15" customWidth="1"/>
    <col min="10245" max="10245" width="30.5703125" style="15" customWidth="1"/>
    <col min="10246" max="10246" width="1.7109375" style="15" customWidth="1"/>
    <col min="10247" max="10496" width="9.140625" style="15"/>
    <col min="10497" max="10497" width="24.140625" style="15" customWidth="1"/>
    <col min="10498" max="10498" width="29.85546875" style="15" customWidth="1"/>
    <col min="10499" max="10499" width="28.140625" style="15" customWidth="1"/>
    <col min="10500" max="10500" width="27" style="15" customWidth="1"/>
    <col min="10501" max="10501" width="30.5703125" style="15" customWidth="1"/>
    <col min="10502" max="10502" width="1.7109375" style="15" customWidth="1"/>
    <col min="10503" max="10752" width="9.140625" style="15"/>
    <col min="10753" max="10753" width="24.140625" style="15" customWidth="1"/>
    <col min="10754" max="10754" width="29.85546875" style="15" customWidth="1"/>
    <col min="10755" max="10755" width="28.140625" style="15" customWidth="1"/>
    <col min="10756" max="10756" width="27" style="15" customWidth="1"/>
    <col min="10757" max="10757" width="30.5703125" style="15" customWidth="1"/>
    <col min="10758" max="10758" width="1.7109375" style="15" customWidth="1"/>
    <col min="10759" max="11008" width="9.140625" style="15"/>
    <col min="11009" max="11009" width="24.140625" style="15" customWidth="1"/>
    <col min="11010" max="11010" width="29.85546875" style="15" customWidth="1"/>
    <col min="11011" max="11011" width="28.140625" style="15" customWidth="1"/>
    <col min="11012" max="11012" width="27" style="15" customWidth="1"/>
    <col min="11013" max="11013" width="30.5703125" style="15" customWidth="1"/>
    <col min="11014" max="11014" width="1.7109375" style="15" customWidth="1"/>
    <col min="11015" max="11264" width="9.140625" style="15"/>
    <col min="11265" max="11265" width="24.140625" style="15" customWidth="1"/>
    <col min="11266" max="11266" width="29.85546875" style="15" customWidth="1"/>
    <col min="11267" max="11267" width="28.140625" style="15" customWidth="1"/>
    <col min="11268" max="11268" width="27" style="15" customWidth="1"/>
    <col min="11269" max="11269" width="30.5703125" style="15" customWidth="1"/>
    <col min="11270" max="11270" width="1.7109375" style="15" customWidth="1"/>
    <col min="11271" max="11520" width="9.140625" style="15"/>
    <col min="11521" max="11521" width="24.140625" style="15" customWidth="1"/>
    <col min="11522" max="11522" width="29.85546875" style="15" customWidth="1"/>
    <col min="11523" max="11523" width="28.140625" style="15" customWidth="1"/>
    <col min="11524" max="11524" width="27" style="15" customWidth="1"/>
    <col min="11525" max="11525" width="30.5703125" style="15" customWidth="1"/>
    <col min="11526" max="11526" width="1.7109375" style="15" customWidth="1"/>
    <col min="11527" max="11776" width="9.140625" style="15"/>
    <col min="11777" max="11777" width="24.140625" style="15" customWidth="1"/>
    <col min="11778" max="11778" width="29.85546875" style="15" customWidth="1"/>
    <col min="11779" max="11779" width="28.140625" style="15" customWidth="1"/>
    <col min="11780" max="11780" width="27" style="15" customWidth="1"/>
    <col min="11781" max="11781" width="30.5703125" style="15" customWidth="1"/>
    <col min="11782" max="11782" width="1.7109375" style="15" customWidth="1"/>
    <col min="11783" max="12032" width="9.140625" style="15"/>
    <col min="12033" max="12033" width="24.140625" style="15" customWidth="1"/>
    <col min="12034" max="12034" width="29.85546875" style="15" customWidth="1"/>
    <col min="12035" max="12035" width="28.140625" style="15" customWidth="1"/>
    <col min="12036" max="12036" width="27" style="15" customWidth="1"/>
    <col min="12037" max="12037" width="30.5703125" style="15" customWidth="1"/>
    <col min="12038" max="12038" width="1.7109375" style="15" customWidth="1"/>
    <col min="12039" max="12288" width="9.140625" style="15"/>
    <col min="12289" max="12289" width="24.140625" style="15" customWidth="1"/>
    <col min="12290" max="12290" width="29.85546875" style="15" customWidth="1"/>
    <col min="12291" max="12291" width="28.140625" style="15" customWidth="1"/>
    <col min="12292" max="12292" width="27" style="15" customWidth="1"/>
    <col min="12293" max="12293" width="30.5703125" style="15" customWidth="1"/>
    <col min="12294" max="12294" width="1.7109375" style="15" customWidth="1"/>
    <col min="12295" max="12544" width="9.140625" style="15"/>
    <col min="12545" max="12545" width="24.140625" style="15" customWidth="1"/>
    <col min="12546" max="12546" width="29.85546875" style="15" customWidth="1"/>
    <col min="12547" max="12547" width="28.140625" style="15" customWidth="1"/>
    <col min="12548" max="12548" width="27" style="15" customWidth="1"/>
    <col min="12549" max="12549" width="30.5703125" style="15" customWidth="1"/>
    <col min="12550" max="12550" width="1.7109375" style="15" customWidth="1"/>
    <col min="12551" max="12800" width="9.140625" style="15"/>
    <col min="12801" max="12801" width="24.140625" style="15" customWidth="1"/>
    <col min="12802" max="12802" width="29.85546875" style="15" customWidth="1"/>
    <col min="12803" max="12803" width="28.140625" style="15" customWidth="1"/>
    <col min="12804" max="12804" width="27" style="15" customWidth="1"/>
    <col min="12805" max="12805" width="30.5703125" style="15" customWidth="1"/>
    <col min="12806" max="12806" width="1.7109375" style="15" customWidth="1"/>
    <col min="12807" max="13056" width="9.140625" style="15"/>
    <col min="13057" max="13057" width="24.140625" style="15" customWidth="1"/>
    <col min="13058" max="13058" width="29.85546875" style="15" customWidth="1"/>
    <col min="13059" max="13059" width="28.140625" style="15" customWidth="1"/>
    <col min="13060" max="13060" width="27" style="15" customWidth="1"/>
    <col min="13061" max="13061" width="30.5703125" style="15" customWidth="1"/>
    <col min="13062" max="13062" width="1.7109375" style="15" customWidth="1"/>
    <col min="13063" max="13312" width="9.140625" style="15"/>
    <col min="13313" max="13313" width="24.140625" style="15" customWidth="1"/>
    <col min="13314" max="13314" width="29.85546875" style="15" customWidth="1"/>
    <col min="13315" max="13315" width="28.140625" style="15" customWidth="1"/>
    <col min="13316" max="13316" width="27" style="15" customWidth="1"/>
    <col min="13317" max="13317" width="30.5703125" style="15" customWidth="1"/>
    <col min="13318" max="13318" width="1.7109375" style="15" customWidth="1"/>
    <col min="13319" max="13568" width="9.140625" style="15"/>
    <col min="13569" max="13569" width="24.140625" style="15" customWidth="1"/>
    <col min="13570" max="13570" width="29.85546875" style="15" customWidth="1"/>
    <col min="13571" max="13571" width="28.140625" style="15" customWidth="1"/>
    <col min="13572" max="13572" width="27" style="15" customWidth="1"/>
    <col min="13573" max="13573" width="30.5703125" style="15" customWidth="1"/>
    <col min="13574" max="13574" width="1.7109375" style="15" customWidth="1"/>
    <col min="13575" max="13824" width="9.140625" style="15"/>
    <col min="13825" max="13825" width="24.140625" style="15" customWidth="1"/>
    <col min="13826" max="13826" width="29.85546875" style="15" customWidth="1"/>
    <col min="13827" max="13827" width="28.140625" style="15" customWidth="1"/>
    <col min="13828" max="13828" width="27" style="15" customWidth="1"/>
    <col min="13829" max="13829" width="30.5703125" style="15" customWidth="1"/>
    <col min="13830" max="13830" width="1.7109375" style="15" customWidth="1"/>
    <col min="13831" max="14080" width="9.140625" style="15"/>
    <col min="14081" max="14081" width="24.140625" style="15" customWidth="1"/>
    <col min="14082" max="14082" width="29.85546875" style="15" customWidth="1"/>
    <col min="14083" max="14083" width="28.140625" style="15" customWidth="1"/>
    <col min="14084" max="14084" width="27" style="15" customWidth="1"/>
    <col min="14085" max="14085" width="30.5703125" style="15" customWidth="1"/>
    <col min="14086" max="14086" width="1.7109375" style="15" customWidth="1"/>
    <col min="14087" max="14336" width="9.140625" style="15"/>
    <col min="14337" max="14337" width="24.140625" style="15" customWidth="1"/>
    <col min="14338" max="14338" width="29.85546875" style="15" customWidth="1"/>
    <col min="14339" max="14339" width="28.140625" style="15" customWidth="1"/>
    <col min="14340" max="14340" width="27" style="15" customWidth="1"/>
    <col min="14341" max="14341" width="30.5703125" style="15" customWidth="1"/>
    <col min="14342" max="14342" width="1.7109375" style="15" customWidth="1"/>
    <col min="14343" max="14592" width="9.140625" style="15"/>
    <col min="14593" max="14593" width="24.140625" style="15" customWidth="1"/>
    <col min="14594" max="14594" width="29.85546875" style="15" customWidth="1"/>
    <col min="14595" max="14595" width="28.140625" style="15" customWidth="1"/>
    <col min="14596" max="14596" width="27" style="15" customWidth="1"/>
    <col min="14597" max="14597" width="30.5703125" style="15" customWidth="1"/>
    <col min="14598" max="14598" width="1.7109375" style="15" customWidth="1"/>
    <col min="14599" max="14848" width="9.140625" style="15"/>
    <col min="14849" max="14849" width="24.140625" style="15" customWidth="1"/>
    <col min="14850" max="14850" width="29.85546875" style="15" customWidth="1"/>
    <col min="14851" max="14851" width="28.140625" style="15" customWidth="1"/>
    <col min="14852" max="14852" width="27" style="15" customWidth="1"/>
    <col min="14853" max="14853" width="30.5703125" style="15" customWidth="1"/>
    <col min="14854" max="14854" width="1.7109375" style="15" customWidth="1"/>
    <col min="14855" max="15104" width="9.140625" style="15"/>
    <col min="15105" max="15105" width="24.140625" style="15" customWidth="1"/>
    <col min="15106" max="15106" width="29.85546875" style="15" customWidth="1"/>
    <col min="15107" max="15107" width="28.140625" style="15" customWidth="1"/>
    <col min="15108" max="15108" width="27" style="15" customWidth="1"/>
    <col min="15109" max="15109" width="30.5703125" style="15" customWidth="1"/>
    <col min="15110" max="15110" width="1.7109375" style="15" customWidth="1"/>
    <col min="15111" max="15360" width="9.140625" style="15"/>
    <col min="15361" max="15361" width="24.140625" style="15" customWidth="1"/>
    <col min="15362" max="15362" width="29.85546875" style="15" customWidth="1"/>
    <col min="15363" max="15363" width="28.140625" style="15" customWidth="1"/>
    <col min="15364" max="15364" width="27" style="15" customWidth="1"/>
    <col min="15365" max="15365" width="30.5703125" style="15" customWidth="1"/>
    <col min="15366" max="15366" width="1.7109375" style="15" customWidth="1"/>
    <col min="15367" max="15616" width="9.140625" style="15"/>
    <col min="15617" max="15617" width="24.140625" style="15" customWidth="1"/>
    <col min="15618" max="15618" width="29.85546875" style="15" customWidth="1"/>
    <col min="15619" max="15619" width="28.140625" style="15" customWidth="1"/>
    <col min="15620" max="15620" width="27" style="15" customWidth="1"/>
    <col min="15621" max="15621" width="30.5703125" style="15" customWidth="1"/>
    <col min="15622" max="15622" width="1.7109375" style="15" customWidth="1"/>
    <col min="15623" max="15872" width="9.140625" style="15"/>
    <col min="15873" max="15873" width="24.140625" style="15" customWidth="1"/>
    <col min="15874" max="15874" width="29.85546875" style="15" customWidth="1"/>
    <col min="15875" max="15875" width="28.140625" style="15" customWidth="1"/>
    <col min="15876" max="15876" width="27" style="15" customWidth="1"/>
    <col min="15877" max="15877" width="30.5703125" style="15" customWidth="1"/>
    <col min="15878" max="15878" width="1.7109375" style="15" customWidth="1"/>
    <col min="15879" max="16128" width="9.140625" style="15"/>
    <col min="16129" max="16129" width="24.140625" style="15" customWidth="1"/>
    <col min="16130" max="16130" width="29.85546875" style="15" customWidth="1"/>
    <col min="16131" max="16131" width="28.140625" style="15" customWidth="1"/>
    <col min="16132" max="16132" width="27" style="15" customWidth="1"/>
    <col min="16133" max="16133" width="30.5703125" style="15" customWidth="1"/>
    <col min="16134" max="16134" width="1.7109375" style="15" customWidth="1"/>
    <col min="16135" max="16384" width="9.140625" style="15"/>
  </cols>
  <sheetData>
    <row r="1" spans="1:9" s="3" customFormat="1" ht="21" customHeight="1" x14ac:dyDescent="0.25">
      <c r="A1" s="117" t="s">
        <v>4</v>
      </c>
      <c r="B1" s="117"/>
      <c r="C1" s="119" t="str">
        <f>Copertina!C7</f>
        <v>MEV 2019_006 SIUS Avvocati</v>
      </c>
      <c r="D1" s="119"/>
      <c r="E1" s="119"/>
      <c r="F1" s="10"/>
      <c r="G1" s="11"/>
      <c r="H1" s="2"/>
    </row>
    <row r="2" spans="1:9" s="3" customFormat="1" ht="20.25" customHeight="1" thickBot="1" x14ac:dyDescent="0.3">
      <c r="A2" s="118" t="s">
        <v>12</v>
      </c>
      <c r="B2" s="118"/>
      <c r="C2" s="120" t="str">
        <f>Copertina!C3</f>
        <v>SIUT-SIE-CT-1.0-20210806-Allegato_al_piano_test_006_SIUS_Avvocati.xlsx</v>
      </c>
      <c r="D2" s="120"/>
      <c r="E2" s="120"/>
      <c r="F2" s="12"/>
      <c r="G2" s="13"/>
      <c r="H2" s="4"/>
    </row>
    <row r="3" spans="1:9" s="14" customFormat="1" ht="27" customHeight="1" thickBot="1" x14ac:dyDescent="0.3">
      <c r="A3" s="129" t="s">
        <v>20</v>
      </c>
      <c r="B3" s="130"/>
      <c r="C3" s="130"/>
      <c r="D3" s="130"/>
      <c r="E3" s="131"/>
      <c r="G3" s="132" t="s">
        <v>21</v>
      </c>
      <c r="H3" s="133"/>
      <c r="I3" s="134"/>
    </row>
    <row r="4" spans="1:9" ht="23.25" customHeight="1" thickBot="1" x14ac:dyDescent="0.25">
      <c r="A4" s="141" t="s">
        <v>22</v>
      </c>
      <c r="B4" s="142" t="s">
        <v>23</v>
      </c>
      <c r="C4" s="143"/>
      <c r="D4" s="143"/>
      <c r="E4" s="144"/>
      <c r="G4" s="135"/>
      <c r="H4" s="136"/>
      <c r="I4" s="137"/>
    </row>
    <row r="5" spans="1:9" ht="26.25" customHeight="1" thickBot="1" x14ac:dyDescent="0.25">
      <c r="A5" s="125"/>
      <c r="B5" s="16">
        <v>1</v>
      </c>
      <c r="C5" s="16">
        <v>2</v>
      </c>
      <c r="D5" s="16">
        <v>3</v>
      </c>
      <c r="E5" s="17">
        <v>4</v>
      </c>
      <c r="G5" s="135"/>
      <c r="H5" s="136"/>
      <c r="I5" s="137"/>
    </row>
    <row r="6" spans="1:9" ht="15.75" thickBot="1" x14ac:dyDescent="0.25">
      <c r="A6" s="18" t="s">
        <v>24</v>
      </c>
      <c r="B6" s="19">
        <f>COUNTIFS(TabellaTest!$H$4:$H$318,1,TabellaTest!$I$4:$I$318,"A",TabellaTest!$J$4:$J$318,"KO")</f>
        <v>0</v>
      </c>
      <c r="C6" s="19">
        <f>COUNTIFS(TabellaTest!$H$4:$H$318,2,TabellaTest!$I$4:$I$318,"A",TabellaTest!$J$4:$J$318,"KO")</f>
        <v>0</v>
      </c>
      <c r="D6" s="19">
        <f>COUNTIFS(TabellaTest!$H$4:$H$318,3,TabellaTest!$I$4:$I$318,"A",TabellaTest!$J$4:$J$318,"KO")</f>
        <v>0</v>
      </c>
      <c r="E6" s="19">
        <f>COUNTIFS(TabellaTest!$H$4:$H$318,4,TabellaTest!$I$4:$I$318,"A",TabellaTest!$J$4:$J$318,"KO")</f>
        <v>0</v>
      </c>
      <c r="G6" s="135"/>
      <c r="H6" s="136"/>
      <c r="I6" s="137"/>
    </row>
    <row r="7" spans="1:9" ht="15.75" thickBot="1" x14ac:dyDescent="0.25">
      <c r="A7" s="20" t="s">
        <v>25</v>
      </c>
      <c r="B7" s="19">
        <f>COUNTIFS(TabellaTest!$H$4:$H$318,1,TabellaTest!$I$4:$I$318,"B",TabellaTest!$J$4:$J$318,"KO")</f>
        <v>0</v>
      </c>
      <c r="C7" s="19">
        <f>COUNTIFS(TabellaTest!$H$4:$H$318,2,TabellaTest!$I$4:$I$318,"B",TabellaTest!$J$4:$J$318,"KO")</f>
        <v>0</v>
      </c>
      <c r="D7" s="19">
        <f>COUNTIFS(TabellaTest!$H$4:$H$318,3,TabellaTest!$I$4:$I$318,"B",TabellaTest!$J$4:$J$318,"KO")</f>
        <v>0</v>
      </c>
      <c r="E7" s="19">
        <f>COUNTIFS(TabellaTest!$H$4:$H$318,4,TabellaTest!$I$4:$I$318,"B",TabellaTest!$J$4:$J$318,"KO")</f>
        <v>0</v>
      </c>
      <c r="G7" s="135"/>
      <c r="H7" s="136"/>
      <c r="I7" s="137"/>
    </row>
    <row r="8" spans="1:9" ht="15.75" thickBot="1" x14ac:dyDescent="0.25">
      <c r="A8" s="21" t="s">
        <v>26</v>
      </c>
      <c r="B8" s="19">
        <f>COUNTIFS(TabellaTest!$H$4:$H$318,1,TabellaTest!$I$4:$I$318,"C",TabellaTest!$J$4:$J$318,"KO")</f>
        <v>0</v>
      </c>
      <c r="C8" s="19">
        <f>COUNTIFS(TabellaTest!$H$4:$H$318,2,TabellaTest!$I$4:$I$318,"C",TabellaTest!$J$4:$J$318,"KO")</f>
        <v>0</v>
      </c>
      <c r="D8" s="19">
        <f>COUNTIFS(TabellaTest!$H$4:$H$318,3,TabellaTest!$I$4:$I$318,"C",TabellaTest!$J$4:$J$318,"KO")</f>
        <v>0</v>
      </c>
      <c r="E8" s="19">
        <f>COUNTIFS(TabellaTest!$H$4:$H$318,4,TabellaTest!$I$4:$I$318,"C",TabellaTest!$J$4:$J$318,"KO")</f>
        <v>0</v>
      </c>
      <c r="G8" s="138"/>
      <c r="H8" s="139"/>
      <c r="I8" s="140"/>
    </row>
    <row r="9" spans="1:9" x14ac:dyDescent="0.2">
      <c r="G9" s="22"/>
      <c r="H9" s="23"/>
      <c r="I9" s="23"/>
    </row>
    <row r="12" spans="1:9" ht="10.5" customHeight="1" thickBot="1" x14ac:dyDescent="0.25"/>
    <row r="13" spans="1:9" ht="13.5" hidden="1" thickBot="1" x14ac:dyDescent="0.25"/>
    <row r="14" spans="1:9" s="14" customFormat="1" ht="28.5" customHeight="1" x14ac:dyDescent="0.25">
      <c r="A14" s="121" t="s">
        <v>27</v>
      </c>
      <c r="B14" s="122"/>
      <c r="C14" s="122"/>
      <c r="D14" s="122"/>
      <c r="E14" s="123"/>
      <c r="G14" s="25"/>
    </row>
    <row r="15" spans="1:9" ht="15.75" thickBot="1" x14ac:dyDescent="0.25">
      <c r="A15" s="124" t="s">
        <v>22</v>
      </c>
      <c r="B15" s="126" t="s">
        <v>23</v>
      </c>
      <c r="C15" s="127"/>
      <c r="D15" s="127"/>
      <c r="E15" s="128"/>
    </row>
    <row r="16" spans="1:9" ht="15.75" thickBot="1" x14ac:dyDescent="0.25">
      <c r="A16" s="125"/>
      <c r="B16" s="26">
        <v>1</v>
      </c>
      <c r="C16" s="26">
        <v>2</v>
      </c>
      <c r="D16" s="26">
        <v>3</v>
      </c>
      <c r="E16" s="27">
        <v>4</v>
      </c>
    </row>
    <row r="17" spans="1:5" ht="15.75" thickBot="1" x14ac:dyDescent="0.25">
      <c r="A17" s="28" t="s">
        <v>24</v>
      </c>
      <c r="B17" s="29">
        <f>COUNTIFS(TabellaTest!$H$4:$H$318,1,TabellaTest!$I$4:$I$318,"A")</f>
        <v>0</v>
      </c>
      <c r="C17" s="29">
        <f>COUNTIFS(TabellaTest!$H$4:$H$318,2,TabellaTest!$I$4:$I$318,"A")</f>
        <v>0</v>
      </c>
      <c r="D17" s="29">
        <f>COUNTIFS(TabellaTest!$H$4:$H$318,3,TabellaTest!$I$4:$I$318,"A")</f>
        <v>0</v>
      </c>
      <c r="E17" s="29">
        <f>COUNTIFS(TabellaTest!$H$4:$H$318,4,TabellaTest!$I$4:$I$318,"A")</f>
        <v>0</v>
      </c>
    </row>
    <row r="18" spans="1:5" ht="15.75" thickBot="1" x14ac:dyDescent="0.25">
      <c r="A18" s="30" t="s">
        <v>25</v>
      </c>
      <c r="B18" s="29">
        <f>COUNTIFS(TabellaTest!$H$4:$H$318,1,TabellaTest!$I$4:$I$318,"B")</f>
        <v>0</v>
      </c>
      <c r="C18" s="29">
        <f>COUNTIFS(TabellaTest!$H$4:$H$318,2,TabellaTest!$I$4:$I$318,"B")</f>
        <v>0</v>
      </c>
      <c r="D18" s="29">
        <f>COUNTIFS(TabellaTest!$H$4:$H$318,3,TabellaTest!$I$4:$I$318,"B")</f>
        <v>0</v>
      </c>
      <c r="E18" s="29">
        <f>COUNTIFS(TabellaTest!$H$4:$H$318,4,TabellaTest!$I$4:$I$318,"B")</f>
        <v>0</v>
      </c>
    </row>
    <row r="19" spans="1:5" ht="15.75" thickBot="1" x14ac:dyDescent="0.25">
      <c r="A19" s="31" t="s">
        <v>26</v>
      </c>
      <c r="B19" s="29">
        <f>COUNTIFS(TabellaTest!$H$4:$H$318,1,TabellaTest!$I$4:$I$318,"C")</f>
        <v>0</v>
      </c>
      <c r="C19" s="29">
        <f>COUNTIFS(TabellaTest!$H$4:$H$318,2,TabellaTest!$I$4:$I$318,"C")</f>
        <v>0</v>
      </c>
      <c r="D19" s="29">
        <f>COUNTIFS(TabellaTest!$H$4:$H$318,3,TabellaTest!$I$4:$I$318,"C")</f>
        <v>1</v>
      </c>
      <c r="E19" s="29">
        <f>COUNTIFS(TabellaTest!$H$4:$H$318,4,TabellaTest!$I$4:$I$318,"C")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B1"/>
    <mergeCell ref="A2:B2"/>
    <mergeCell ref="C1:E1"/>
    <mergeCell ref="C2:E2"/>
    <mergeCell ref="A14:E1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A223A0-14F8-4CF7-B03D-5B8241C56AE5}">
  <ds:schemaRefs>
    <ds:schemaRef ds:uri="http://www.w3.org/XML/1998/namespace"/>
    <ds:schemaRef ds:uri="http://purl.org/dc/terms/"/>
    <ds:schemaRef ds:uri="a3ae56ea-36dd-4ec5-b67e-65253cb58edc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05f6d153-fdd9-4ea0-9d5e-dbae83f18a55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Simone Gioggi</cp:lastModifiedBy>
  <cp:lastPrinted>2019-11-08T14:17:06Z</cp:lastPrinted>
  <dcterms:created xsi:type="dcterms:W3CDTF">2019-11-07T09:38:15Z</dcterms:created>
  <dcterms:modified xsi:type="dcterms:W3CDTF">2021-08-05T11:22:46Z</dcterms:modified>
</cp:coreProperties>
</file>