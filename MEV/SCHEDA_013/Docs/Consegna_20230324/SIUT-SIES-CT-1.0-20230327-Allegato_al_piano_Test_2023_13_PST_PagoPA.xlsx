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0" i="3" l="1"/>
  <c r="D180" i="3"/>
  <c r="A180" i="3"/>
  <c r="A172" i="3"/>
  <c r="A4" i="3" l="1"/>
  <c r="D87" i="3" l="1"/>
  <c r="F164" i="3" l="1"/>
  <c r="D164" i="3"/>
  <c r="B164" i="3"/>
  <c r="A164" i="3"/>
  <c r="D95" i="3"/>
  <c r="A145" i="3"/>
  <c r="F153" i="3"/>
  <c r="D153" i="3"/>
  <c r="B153" i="3"/>
  <c r="A153" i="3"/>
  <c r="F145" i="3" l="1"/>
  <c r="D145" i="3"/>
  <c r="B145" i="3"/>
  <c r="F135" i="3"/>
  <c r="D135" i="3"/>
  <c r="B135" i="3"/>
  <c r="A135" i="3"/>
  <c r="F125" i="3"/>
  <c r="D125" i="3"/>
  <c r="B125" i="3"/>
  <c r="A125" i="3"/>
  <c r="F119" i="3"/>
  <c r="D119" i="3"/>
  <c r="B119" i="3"/>
  <c r="A119" i="3"/>
  <c r="F113" i="3"/>
  <c r="D113" i="3"/>
  <c r="A113" i="3"/>
  <c r="F106" i="3"/>
  <c r="D106" i="3"/>
  <c r="B106" i="3"/>
  <c r="A106" i="3"/>
  <c r="F95" i="3"/>
  <c r="B95" i="3"/>
  <c r="A95" i="3"/>
  <c r="F87" i="3"/>
  <c r="B87" i="3"/>
  <c r="A87" i="3"/>
  <c r="A80" i="3" l="1"/>
  <c r="B80" i="3"/>
  <c r="D80" i="3"/>
  <c r="F80" i="3"/>
  <c r="B172" i="3"/>
  <c r="D172" i="3"/>
  <c r="F172" i="3"/>
  <c r="F73" i="3"/>
  <c r="D73" i="3"/>
  <c r="B73" i="3"/>
  <c r="A73" i="3"/>
  <c r="F62" i="3" l="1"/>
  <c r="D62" i="3"/>
  <c r="B62" i="3"/>
  <c r="A62" i="3"/>
  <c r="F55" i="3"/>
  <c r="D55" i="3"/>
  <c r="B55" i="3"/>
  <c r="A55" i="3"/>
  <c r="F47" i="3" l="1"/>
  <c r="D47" i="3"/>
  <c r="B47" i="3"/>
  <c r="A47" i="3"/>
  <c r="F36" i="3"/>
  <c r="D36" i="3"/>
  <c r="B36" i="3"/>
  <c r="A36" i="3"/>
  <c r="F27" i="3"/>
  <c r="D27" i="3"/>
  <c r="B27" i="3"/>
  <c r="A27" i="3"/>
  <c r="B16" i="3"/>
  <c r="F16" i="3"/>
  <c r="D16" i="3"/>
  <c r="A16" i="3"/>
  <c r="D1" i="3"/>
  <c r="D4" i="3"/>
  <c r="B17" i="5" l="1"/>
  <c r="F4" i="3" l="1"/>
  <c r="B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<sst xmlns="http://schemas.openxmlformats.org/spreadsheetml/2006/main" count="918" uniqueCount="327">
  <si>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</si>
  <si>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</si>
  <si>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</si>
  <si>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</si>
  <si>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</si>
  <si>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</si>
  <si>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</si>
  <si>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</si>
  <si>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</si>
  <si>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</si>
  <si>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</si>
  <si>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</si>
  <si>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</si>
  <si>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</si>
  <si>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</si>
  <si>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</si>
  <si>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</si>
  <si>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</si>
  <si>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</si>
  <si>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</si>
  <si>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</si>
  <si>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</si>
  <si>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</si>
  <si>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</si>
  <si>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</si>
  <si>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</si>
  <si>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</si>
  <si>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</si>
  <si>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</si>
  <si>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</si>
  <si>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</si>
  <si>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</si>
  <si>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</si>
  <si>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</si>
  <si>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</si>
  <si>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</si>
  <si>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</si>
  <si>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</si>
  <si>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</si>
  <si>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</si>
  <si>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</si>
  <si>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</si>
  <si>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</si>
  <si>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</si>
  <si>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</si>
  <si>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</si>
  <si>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</si>
  <si>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</si>
  <si>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</si>
  <si>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</si>
  <si>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</si>
  <si>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</si>
  <si>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</si>
  <si>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</si>
  <si>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</si>
  <si>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</si>
  <si>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</si>
  <si>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</si>
  <si>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</si>
  <si>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</si>
  <si>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</si>
  <si>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</si>
  <si>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</si>
  <si>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</si>
  <si>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</si>
  <si>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</si>
  <si>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</si>
  <si>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</si>
  <si>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</si>
  <si>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</si>
  <si>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</si>
  <si>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</si>
  <si>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</si>
  <si>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</si>
  <si>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</si>
  <si>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</si>
  <si>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</si>
  <si>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</si>
  <si>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</si>
  <si>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</si>
  <si>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</si>
  <si>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</si>
  <si>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</si>
  <si>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</si>
  <si>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</si>
  <si>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</si>
  <si>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</si>
  <si>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</si>
  <si>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</si>
  <si>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</si>
  <si>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</si>
  <si>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</si>
  <si>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</si>
  <si>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</si>
  <si>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1.0</t>
  </si>
  <si>
    <t>TF002.UC01</t>
  </si>
  <si>
    <t>TF002.UC02</t>
  </si>
  <si>
    <t>TF004.UC01</t>
  </si>
  <si>
    <t>TF004.UC02</t>
  </si>
  <si>
    <t>TF004.UC03</t>
  </si>
  <si>
    <t>TF003.UC01</t>
  </si>
  <si>
    <t>TF003.UC02</t>
  </si>
  <si>
    <t>TF003.UC03</t>
  </si>
  <si>
    <t>TF001.UC03</t>
  </si>
  <si>
    <t xml:space="preserve">L'utente effettua l'accesso al sistema SIGE come Tribunale Ordinario </t>
  </si>
  <si>
    <t>Txxxxx (Tribunale Ordinario)</t>
  </si>
  <si>
    <t xml:space="preserve">L'utente effettua l'accesso al sistema SIEP come Procura della Repubblica Presso il Tribunale Ordinario </t>
  </si>
  <si>
    <t>Axxxxx (Procura della Repubblica Presso il Tribunale Ordinario)</t>
  </si>
  <si>
    <t>R1</t>
  </si>
  <si>
    <t>Riciclo Test</t>
  </si>
  <si>
    <t>Cliccare su OK</t>
  </si>
  <si>
    <t>TF005.UC01</t>
  </si>
  <si>
    <t>TF005.UC02</t>
  </si>
  <si>
    <t>UC04</t>
  </si>
  <si>
    <t>Ricercare lo stesso  procedimento  del test precedente</t>
  </si>
  <si>
    <t>PAR. 2.1-013-01</t>
  </si>
  <si>
    <t>Verifica inserimento pena complessiva in SIEP</t>
  </si>
  <si>
    <t xml:space="preserve">L'utente effettua l'accesso al sistema SIEP come Procura della Repubblica c/o Tribunale Ordinario </t>
  </si>
  <si>
    <t>Axxxxx (Procura della Repubblica c/o Tribunale Ordinario)</t>
  </si>
  <si>
    <t>L'utente si trova nella pagina di Dettaglio di un Procedimento in stato di Iscritto privo della pena complessiva</t>
  </si>
  <si>
    <t xml:space="preserve">Nella toolbar delle funzioni, seleziona Iscrizione Pena Complessiva e Icona "Vai" </t>
  </si>
  <si>
    <t>Verificare che sia presente la sezione relativa all'iscrizione delle Pene Sostitutive delle Pene Detentive Brevi</t>
  </si>
  <si>
    <t>Cliccare alternativamente sui Check box di Sanzione Sostitutiva e Pene Sostituve</t>
  </si>
  <si>
    <t>nella form si abilitano alternativamente per la digitazione i campi relativi al check box selezionato</t>
  </si>
  <si>
    <t>Verificare che nella combo box Tipo di Pene Sostitutive siano presenti le seguenti voci: -, Detenzione Domiciliare Sostitutiva, Lavoro Pubblica Utilità Sostitutivo, Pena Pecuniaria Sostitutiva, Semilibertà Sostitutiva</t>
  </si>
  <si>
    <t>Compilare almeno un campo della Pena, i campi della Pena Sostitutiva e Confermare</t>
  </si>
  <si>
    <t xml:space="preserve">Verificare che nella form: siano riportati i campi valorizzati, conformi a quelli digitati al passo precedente; accanto all'intestazione della form siano presenti le icone di Modifica e Cancellazione; nella toolbar delle funzioni siano presenti le voci Modalità Pagamento Pena Pecuniaria, Civilmente Obbligato per la Pena Pecuniaria, Ulteriori Sentenze in continuazione </t>
  </si>
  <si>
    <t>Cliccare su Anno e Numero Procedimento</t>
  </si>
  <si>
    <t>Visualizzazione form Dettaglio Procedimento</t>
  </si>
  <si>
    <t>Verificare che nella form visualizzata siano riportate correttamente le tipologie ed i quantum relativi alla Pena e alla Pena sostitutiva</t>
  </si>
  <si>
    <t>Verifica modifica pena complessiva in SIEP</t>
  </si>
  <si>
    <t>L'utente si trova nella pagina di Dettaglio di un Procedimento di cui al precedente Test</t>
  </si>
  <si>
    <t>Cliccare sull'icona di Modifica</t>
  </si>
  <si>
    <t>Modificare i dati di interesse e Confermare</t>
  </si>
  <si>
    <t>Visualizzazione pagina  Dettaglio Pena Complessiva</t>
  </si>
  <si>
    <t>Verifica cancellazione pena complessiva in SIEP</t>
  </si>
  <si>
    <t>Verifica: Verificare che nel sottosistema SIEP nella iscrizione della pena complessiva siaano gestite le Pene Sostitutive delle Pene Detentive Brevi</t>
  </si>
  <si>
    <t>Verifica: Verificare che nel sottosistema SIEP nella modifica della pena complessiva siaano gestite le Pene Sostitutive delle Pene Detentive Brevi</t>
  </si>
  <si>
    <t>Verifica: Verificare che nel sottosistema SIEP nella cancellazione della pena complessiva siaano gestite le Pene Sostitutive delle Pene Detentive Brevi</t>
  </si>
  <si>
    <t>L'utente si trova nella pagina di Dettaglio della Pena Complessiva del procedimento di cui al precedente Test</t>
  </si>
  <si>
    <t>Cliccare sull'icona di Cancellazione</t>
  </si>
  <si>
    <t>Verificare che siano riportati i quantum della pena principale (detentiva e pecuniaria) e quelli della pena sostitutiva</t>
  </si>
  <si>
    <t>Visualizzazione messaggio con richiesta autorizzazione a procedere</t>
  </si>
  <si>
    <t>cliccare su OK</t>
  </si>
  <si>
    <t>Visualizzazione pagina Dettaglio Procedimento</t>
  </si>
  <si>
    <t>Verificare che nella form visualizzata non siano presenti i dati della pena e della pena sostitutiva</t>
  </si>
  <si>
    <t>Cliccare sull'icona di Modifica della Pena Complessiva</t>
  </si>
  <si>
    <t>PAR. 2.2-013-01</t>
  </si>
  <si>
    <t>PAR. 2.3-013-01</t>
  </si>
  <si>
    <t>Verifica inserimento modalità di pagamento pena pecuniaria in SIEP</t>
  </si>
  <si>
    <t>L'utente si trova nella pagina di Dettaglio della Pena Complessiva di un procedimento in stato di iscritto (eventualmente ripetere test TF001.UC01)</t>
  </si>
  <si>
    <t xml:space="preserve">Nella toolbar delle funzioni, selezionare Dettaglio Pena Complessiva e Icona "Vai" </t>
  </si>
  <si>
    <t xml:space="preserve">Nella toolbar delle funzioni, selezionare Modalità Pagamento Pena Pecuniaria e Icona "Vai" </t>
  </si>
  <si>
    <t>Verificare che sia presente la sezione relativa alla modifica delle Pene Sostitutive delle Pene Detentive Brevi e che siano riportati tutti i quantum relativi alla pena complessiva</t>
  </si>
  <si>
    <t>Verificare che il valore del campo Importo da pagare sia uguale alla somma degli importi della Pena Pecuniaria (multa e ammenda) e della Pena Pecuniaria Sostitutiva e che il radio button Tipo rateizzazione sia impostato su "Unica soluzione"</t>
  </si>
  <si>
    <t>Compilare i campi importo e n.ro giorni  e Confermare</t>
  </si>
  <si>
    <t>Ripetere il test da 1 a 2 su altro procedimento o sullo stesso dopo aver cancellato la Modalità pagamento</t>
  </si>
  <si>
    <t>Nella form di inserimento impostare radio button Tipo Rateizzazione su "Pagamento Rateizzato", inserire almeno due righe di rateizzazione e Confermare</t>
  </si>
  <si>
    <t>Verifica modifica modalità di pagamento pena pecuniaria in SIEP</t>
  </si>
  <si>
    <t>L'utente si trova nella pagina di Dettaglio Modalità pagamento Pena Pecuniaria (es, con rateizzazione del pagamento)</t>
  </si>
  <si>
    <t>Modificare i dati di interesse, inserendo un totale complessivo dell'importo delle rate, superiore all'importo da pagare e Confermare</t>
  </si>
  <si>
    <t>Visualizzazione messaggio di avviso che la somma delle rate inserite nella form supera l'importo da pagare, con richiesta di autorizzazione a procedere</t>
  </si>
  <si>
    <t>Cliccare su annulla, correggere le rate e riconfermare</t>
  </si>
  <si>
    <t>Visualizzazione pagina  Dettaglio Modalità pagamento Pena Pecuniaria</t>
  </si>
  <si>
    <t>Verifica cancellazione modalità di pagamento pena pecuniaria in SIEP</t>
  </si>
  <si>
    <t xml:space="preserve">L'utente si trova nella pagina di Dettaglio Modalità pagamento Pena Pecuniaria </t>
  </si>
  <si>
    <t>Visualizzazione messaggio  con richiesta di autorizzazione a procedere alla cancellazione delle modalità di pagamento e anche degli eventuali bollettini già emessi</t>
  </si>
  <si>
    <t>Non essendo presenti nella base dati Modalità di pagamento, viene presentata la form di Inserimento</t>
  </si>
  <si>
    <t>PAR. 2.4-013-01</t>
  </si>
  <si>
    <t xml:space="preserve">Nella toolbar delle funzioni, selezionare Civilmente Obbligato per la Pena Pecuniaria e cliccare Icona "Vai" </t>
  </si>
  <si>
    <t>Lasciando la qualifica a '-', Inserire gli estremi estremi Anagrafici di un soggetto, la residenza e Confermare</t>
  </si>
  <si>
    <t>Ripetere il test da 1 a 2 su altro procedimento o sullo stesso dopo aver cancellato il Civilmente Obbligato</t>
  </si>
  <si>
    <t>Nella form di inserimento Persona Fisica, selezionare nella combo Qualifica la voce 'Esercente Responsabilità Genitoriale'</t>
  </si>
  <si>
    <t>Digitare gli estremi anagrafici e la residenza delle due persone Civilmente Obbligate e Confermare</t>
  </si>
  <si>
    <t>Visualizzazione pagina Dettaglio Civilmente Obbligato</t>
  </si>
  <si>
    <t>Verificare che siano riportate i dati delle due persone fisiche e che gli stessi corrispondano a quelli inseriti</t>
  </si>
  <si>
    <t>Verificare che i dati visualizzati corrispondano a quelli inseriti</t>
  </si>
  <si>
    <t>Verificare che siano presenti lo stesso numero di righe di rateizzazione inserite  e che i valori dei campi Importo da pagare, importo rate e numero giorni corrispondano a quelli inseriti</t>
  </si>
  <si>
    <t>Verificare che i valori del campo Importo da pagare, importo rata unica e numero giorni corrispondano a quanto inserito</t>
  </si>
  <si>
    <t>Verificare che nella form i dati riportati corrispondano a quelli modificati</t>
  </si>
  <si>
    <t>Verifica inserimento Civilmente Obbligato per la pena pecuniaria in SIEP (persona fisica)</t>
  </si>
  <si>
    <t>Verifica inserimento Civilmente Obbligato per la pena pecuniaria in SIEP (persona giuridica)</t>
  </si>
  <si>
    <t>Verifica modifica Civilmente Obbligato per la pena pecuniaria in SIEP (persona fisica)</t>
  </si>
  <si>
    <t>Verifica cancellazione Civilmente Obbligato per la pena pecuniaria in SIEP (persona fisica)</t>
  </si>
  <si>
    <t xml:space="preserve">L'utente si trova nella pagina di Dettaglio del Civilmente Obbligato (persona fisica) </t>
  </si>
  <si>
    <t>Verificare che i dati visualizzati corrispondano a quelli confermati</t>
  </si>
  <si>
    <t>Visualizzazione messaggio  di conferma a procedere alla cancellazione del Civilmente Obbligato</t>
  </si>
  <si>
    <t>Visualizzazione pagina Dettaglio Pena Complessiva</t>
  </si>
  <si>
    <t xml:space="preserve">Nella toolbar delle funzioni, selezionare Civilment Obbligato per la Pena Pecuniaria e Icona "Vai" </t>
  </si>
  <si>
    <t>Non essendo presenti nella base dati del Civilmente Obblicato, viene presentata la form di Inserimento</t>
  </si>
  <si>
    <t>Impostare il radio button su Persona Giuridica</t>
  </si>
  <si>
    <t>Inserire i dati dell'Ente, del legale rappresentante, la residenza e Confermare</t>
  </si>
  <si>
    <t>TF003.UC04</t>
  </si>
  <si>
    <t>PAR. 2.5.1-013-01</t>
  </si>
  <si>
    <t xml:space="preserve">Verifica inserimento Ordine Ingiunzione al Pagamento  pena pecuniaria in SIEP </t>
  </si>
  <si>
    <t>L'utente si trova nella pagina principale dell'applicazione e non ha nessun procedimento in sessione</t>
  </si>
  <si>
    <t>Gestione Altre Sanzioni&gt;&gt;Riscossione Pene Pecuniarie</t>
  </si>
  <si>
    <t>Visualizzazione pagina di Ricerca Procedimento</t>
  </si>
  <si>
    <t>Digitare anno e numero procedimento per il quale sono state inserite Modalità Pagamento e Civilmente Obbligato</t>
  </si>
  <si>
    <t>Selezionare funzione Ordine Ingiunzione al Pagamento</t>
  </si>
  <si>
    <t>Digitare Data Emissione, Data Trsmissione, il Magistrato, le autorità preposte alla Notifica e Confermare</t>
  </si>
  <si>
    <t>Ripetere il test da 1  su altro procedimento privo dei dati della modalità di pagamento pena pecuniaria</t>
  </si>
  <si>
    <t>Visualizzazione messaggio di impossibilità a procedere per assenza dati di Modalità Pagamento</t>
  </si>
  <si>
    <t xml:space="preserve">Verifica modifica Ordine Ingiunzione al Pagamento  pena pecuniaria in SIEP </t>
  </si>
  <si>
    <t>L'utente si trova nella pagina di  Dettaglio Ordine Ingiunzione al Pagamento Pena Pecuniaria del procedimento del precedente test</t>
  </si>
  <si>
    <t>Cliccare sull'Icona Modifica</t>
  </si>
  <si>
    <t>TF004.UC04</t>
  </si>
  <si>
    <t xml:space="preserve">Verifica stampa Ordine Ingiunzione al Pagamento  pena pecuniaria in SIEP </t>
  </si>
  <si>
    <t>Cliccare sull'Icona Stampa</t>
  </si>
  <si>
    <t xml:space="preserve">Apertura di una nuova finestra del browser e successiva Visualizzazione a video del documento associato all'Ordine di Ingiunzione </t>
  </si>
  <si>
    <t>Verificare che venga prodotto il template SIEP_PP_OI_PAGAMENTO_UN.rtf, in caso di pagamento in unica rata, oppure il template SIEP_PP_OI_PAGAMENTO_RR.rtf, in caso di pagamento rateizzato</t>
  </si>
  <si>
    <t xml:space="preserve">Verifica validazione Ordine Ingiunzione al Pagamento  pena pecuniaria in SIEP </t>
  </si>
  <si>
    <t>L'utente si trova nella pagina di  Dettaglio Ordine Ingiunzione al Pagamento Pena Pecuniaria del procedimento del precedente test successivamente alla stampa</t>
  </si>
  <si>
    <t>Spuntare il check box "Valida Documento" e Confermare</t>
  </si>
  <si>
    <t>Cliccare su anno e numero Procedimento, nella successiva form di Dettaglio Procedimento verificare che lo stato del procedimento sia "Emesso Ordine esecuzione di Ingiunzione al Pagamento della Pena Pecuniaria"</t>
  </si>
  <si>
    <t>PAR. 2.5.2.1-013-01</t>
  </si>
  <si>
    <t xml:space="preserve">Verifica inserimento Notifiche Ordine Ingiunzione al Pagamento  pena pecuniaria in SIEP </t>
  </si>
  <si>
    <t>L'utente si trova nella pagina Dettaglio Ordine Ingiunzione al Pagamento Pena Pecuniaria, validato, del precedente test</t>
  </si>
  <si>
    <t>Cliccare sul link Visualizza Stato Notifiche</t>
  </si>
  <si>
    <t>Valorizzare la data avvenuta notifica solo per il condannato e Confermare</t>
  </si>
  <si>
    <t>Ripetere il test da 1  sullo stesso Ordine Ingiunzione al Pagamento</t>
  </si>
  <si>
    <t>Verificare che i dati visualizzati corrispondano a quelli inseriti in precedenza</t>
  </si>
  <si>
    <t xml:space="preserve">Verifica modifica  Notifiche Ordine Ingiunzione al Pagamento  pena pecuniaria in SIEP </t>
  </si>
  <si>
    <t>L'utente si trova nella pagina principale del Dettaglio Avvenuta Notifica alle Parti</t>
  </si>
  <si>
    <t>Modificare la data avvenuta notifica già valorizzata, valorizzare la date avvenuta notifiche delle parti, che ne sono ancora prive e Confermare</t>
  </si>
  <si>
    <t xml:space="preserve">Verificare che i dati visualizzati corrispondano a quelli inseriti </t>
  </si>
  <si>
    <t>Ripetere il test passo 1, partendo dal Dettaglio Avvenuta Notifica alle Parti del precedente test</t>
  </si>
  <si>
    <t xml:space="preserve">Azzerare la data avvenuta notifica al Difensore e Confermare                                                         </t>
  </si>
  <si>
    <t>Verificare che la  data avvenuta notifica al difensore risulti nulla</t>
  </si>
  <si>
    <t>PAR. 2.5.3.1-013-01</t>
  </si>
  <si>
    <t>TF006.UC01</t>
  </si>
  <si>
    <t>Gestione Altre Sanzioni&gt;&gt;Riscossione Pene Pecuniarie&gt;&gt;Gestione Bollettini pagoPA&gt;&gt;Richiesta Bollettini</t>
  </si>
  <si>
    <t>Visualizzazione messaggio di impossibilità a procedere per assenza del codice fiscale sul condannato</t>
  </si>
  <si>
    <t>Procedere alla valorizzazione del codice fiscale e Confermare</t>
  </si>
  <si>
    <t>Verificare che il codice fiscale risulti valorizzato</t>
  </si>
  <si>
    <t>L'utente ha in sessione il procedimento del precedente test, con soggetto privo di codice fiscale, e si trova in una pagina qualsiasi dell'applicazione</t>
  </si>
  <si>
    <t>Verifica richiesta generazione Bollettini a pagoPA  per Pagamento  pena pecuniaria in SIEP (soggetto privo di codice fiscale)</t>
  </si>
  <si>
    <t>TF006.UC02</t>
  </si>
  <si>
    <t>Verifica richiesta generazione Bollettini a pagoPA  per Pagamento  pena pecuniaria in SIEP (soggetto con codice fiscale)</t>
  </si>
  <si>
    <t>Cliccare su icona inoltra</t>
  </si>
  <si>
    <t>Cliccare su tasto Salva</t>
  </si>
  <si>
    <t>Cliccare su icona Visualizza</t>
  </si>
  <si>
    <t xml:space="preserve">Cliccare sull'icona di stampa per uno qualsiasi dei bollettini </t>
  </si>
  <si>
    <t>Verificare la correttezza formale dei dati riportati nel pdf con i dati a video</t>
  </si>
  <si>
    <t>PAR. 2.5.3.2-013-01</t>
  </si>
  <si>
    <t>TF007.UC01</t>
  </si>
  <si>
    <t>Verifica funzione Verifica stato pagamenti pena pecuniaria</t>
  </si>
  <si>
    <t>L'utente ha in sessione il procedimento del precedente test, con soggetto provvisto di codice fiscale, e si trova in una pagina qualsiasi dell'applicazione</t>
  </si>
  <si>
    <t>L'utente ha in sessione il procedimento del precedente test, per il quale sono stati già generati i bollettini, e si trova in una pagina qualsiasi dell'applicazione</t>
  </si>
  <si>
    <t>Cliccare su Icona Visualizza</t>
  </si>
  <si>
    <t>PAR. 2.5.3.3-013-01</t>
  </si>
  <si>
    <t>TF008.UC01</t>
  </si>
  <si>
    <t>Verifica funzione Verifica stato bollettino su pagoPA</t>
  </si>
  <si>
    <t>Gestione Altre Sanzioni&gt;&gt;Riscossione Pene Pecuniarie&gt;&gt;Gestione Bollettini pagoPA&gt;&gt;Verifica Stato Bollettino su pagoPA</t>
  </si>
  <si>
    <t>Selezionare alcuni bollettini, spuntando il relativo check box e cliccare il tasto INOLTRA</t>
  </si>
  <si>
    <t>Verificare la correttezza dello stato di pagamento dei bollettini per cui si è ricevuta risposta da pagoPA</t>
  </si>
  <si>
    <t>Attenzione: non essendoci al momento, in ambiente di test pagoPA, la possibilità di simulare un pagamento, il risultato di questo test fornirà sempre Bolletini in stato pagamemento NON PAGATO</t>
  </si>
  <si>
    <t>SIUT-SIES-CT-1.0-20230327-Allegato_al_piano_Test_2023_13_PST_PagoPA</t>
  </si>
  <si>
    <t>SIUT-SIES-PT-1.0-20230327-Piano_dei_Test_2023_13_PST_PagoPA</t>
  </si>
  <si>
    <t>MEV 2023_13_PST_PagoPA</t>
  </si>
  <si>
    <t>PAR. 2.7.3-013-01</t>
  </si>
  <si>
    <t>TF009.UC01</t>
  </si>
  <si>
    <t>Verifica: Verificare nel sottosistema SIEP l'utilizzo della funzione  Verifica stato bollettino su pagoPA</t>
  </si>
  <si>
    <t>Verifica: Verificare nel sottosistema SIEP l'utilizzo della funzione inserimento modalità di pagamento pena pecuniaria</t>
  </si>
  <si>
    <t>Verifica: Verificare nel sottosistema SIEP l'utilizzo della funzione modifica modalità di pagamento pena pecuniaria</t>
  </si>
  <si>
    <t>Verifica: Verificare nel sottosistema SIEP l'utilizzo della funzione cancellazione modalità di pagamento pena pecuniaria</t>
  </si>
  <si>
    <t>Verifica: Verificare nel sottosistema SIEP l'utilizzo della funzione inserimento Civilmente Obbligato per la  pena pecuniaria (persona fisica)</t>
  </si>
  <si>
    <t>Verifica: Verificare nel sottosistema SIEP l'utilizzo della funzione modifica Civilmente Obbligato per la  pena pecuniaria (persona fisica)</t>
  </si>
  <si>
    <t>Verifica: Verificare nel sottosistema SIEP l'utilizzo della funzione cancellazione Civilmente Obbligato per la  pena pecuniaria (persona fisica)</t>
  </si>
  <si>
    <t>Verifica: Verificare nel sottosistema SIEP l'utilizzo della funzione inserimento Civilmente Obbligato per la  pena pecuniaria (persona giuridica)</t>
  </si>
  <si>
    <t>Verifica: Verificare nel sottosistema SIEP l'utilizzo della funzione inserimento Ordine Ingiunzione al Pagamento  pena pecuniaria</t>
  </si>
  <si>
    <t>Verifica: Verificare nel sottosistema SIEP l'utilizzo della funzione modifica Ordine Ingiunzione al Pagamento  pena pecuniaria</t>
  </si>
  <si>
    <t>Verifica: Verificare nel sottosistema SIEP l'utilizzo della funzione stampa Ordine Ingiunzione al Pagamento  pena pecuniaria</t>
  </si>
  <si>
    <t>Verifica: Verificare nel sottosistema SIEP l'utilizzo della funzione validazione Ordine Ingiunzione al Pagamento  pena pecuniaria</t>
  </si>
  <si>
    <t>Verifica: Verificare nel sottosistema SIEP l'utilizzo della funzione inserimento Notifiche Ordine Ingiunzione al Pagamento  pena pecuniaria</t>
  </si>
  <si>
    <t>Verifica: Verificare nel sottosistema SIEP l'utilizzo della funzione modifica Notifiche Ordine Ingiunzione al Pagamento  pena pecuniaria</t>
  </si>
  <si>
    <t>Verifica: Verificare nel sottosistema SIEP l'utilizzo della funzione richiesta generazione Bollettini a pagoPA  per Pagamento  pena pecuniaria (soggetto privo di codice fiscale)</t>
  </si>
  <si>
    <t>Verifica: Verificare nel sottosistema SIEP l'utilizzo della funzione richiesta generazione Bollettini a pagoPA  per Pagamento  pena pecuniaria (soggetto con codice fiscale)</t>
  </si>
  <si>
    <t>Verifica: Verificare nel sottosistema SIEP l'utilizzo della funzione verifica stato pagamenti pena pecuniaria</t>
  </si>
  <si>
    <t>Verifica funzione Batch Di Verifica Stato Del Pagamento</t>
  </si>
  <si>
    <t>Verifica: Verificare nel sottosistema SIEP l'utilizzo della funzione Batch Di Verifica Stato Del Pagamento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</si>
  <si>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Inserimento Pena Complessiva</t>
    </r>
  </si>
  <si>
    <r>
      <t xml:space="preserve">Visualizzazione form </t>
    </r>
    <r>
      <rPr>
        <b/>
        <sz val="11"/>
        <rFont val="Calibri"/>
        <family val="2"/>
        <scheme val="minor"/>
      </rPr>
      <t>Dettaglio Pena Complessiva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</si>
  <si>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Pena Complessiva</t>
    </r>
  </si>
  <si>
    <r>
      <t xml:space="preserve">Visualizzazione pagina </t>
    </r>
    <r>
      <rPr>
        <b/>
        <sz val="11"/>
        <rFont val="Calibri"/>
        <family val="2"/>
        <scheme val="minor"/>
      </rPr>
      <t>Modifica Pena Complessiva e sentenze in Continuazione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</si>
  <si>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Modifica Pena Complessiva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</si>
  <si>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Cancella Pena Complessiva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</si>
  <si>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Inserimento Modalità Pagamento Pena Pecuniaria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</si>
  <si>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Modalità pagamento Pena Pecuniaria</t>
    </r>
  </si>
  <si>
    <r>
      <t xml:space="preserve">Visualizzazione pagina </t>
    </r>
    <r>
      <rPr>
        <b/>
        <sz val="11"/>
        <rFont val="Calibri"/>
        <family val="2"/>
        <scheme val="minor"/>
      </rPr>
      <t>Modifica Modalità pagamento Pena Pecuniaria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</si>
  <si>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Inserimento Civilmente Obbligato Pena Pecuniaria</t>
    </r>
    <r>
      <rPr>
        <sz val="11"/>
        <rFont val="Calibri"/>
        <family val="2"/>
        <scheme val="minor"/>
      </rPr>
      <t>, impostata su Persona Fisica</t>
    </r>
  </si>
  <si>
    <r>
      <t xml:space="preserve">Visualizzazione pagina </t>
    </r>
    <r>
      <rPr>
        <b/>
        <sz val="11"/>
        <rFont val="Calibri"/>
        <family val="2"/>
        <scheme val="minor"/>
      </rPr>
      <t>Dettaglio Civilmente Obbligato</t>
    </r>
  </si>
  <si>
    <r>
      <t xml:space="preserve">Visualizzazione nella pagina </t>
    </r>
    <r>
      <rPr>
        <b/>
        <sz val="11"/>
        <rFont val="Calibri"/>
        <family val="2"/>
        <scheme val="minor"/>
      </rPr>
      <t xml:space="preserve"> Inserimento Civilmente Obbligato Pena Pecuniaria </t>
    </r>
    <r>
      <rPr>
        <sz val="11"/>
        <rFont val="Calibri"/>
        <family val="2"/>
        <scheme val="minor"/>
      </rPr>
      <t>dei campi per l'acquisizione dei dati di una seconda persona fisica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</si>
  <si>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Modifica Civilmente Obbligato Pena Pecuniaria </t>
    </r>
    <r>
      <rPr>
        <sz val="11"/>
        <rFont val="Calibri"/>
        <family val="2"/>
        <scheme val="minor"/>
      </rPr>
      <t>(persona fisica)</t>
    </r>
  </si>
  <si>
    <r>
      <t xml:space="preserve">Visualizzazione pagina </t>
    </r>
    <r>
      <rPr>
        <b/>
        <sz val="11"/>
        <rFont val="Calibri"/>
        <family val="2"/>
        <scheme val="minor"/>
      </rPr>
      <t>Inserimento Civilmente Obbligato Pena Pecuniaria (persona giuridica)</t>
    </r>
  </si>
  <si>
    <r>
      <t xml:space="preserve">Visualizzazione pagina </t>
    </r>
    <r>
      <rPr>
        <b/>
        <sz val="11"/>
        <rFont val="Calibri"/>
        <family val="2"/>
        <scheme val="minor"/>
      </rPr>
      <t>Gestione Riscossione Pene Pecuniarie</t>
    </r>
  </si>
  <si>
    <r>
      <t xml:space="preserve">Visualizzazione pagina di inserimento </t>
    </r>
    <r>
      <rPr>
        <b/>
        <sz val="11"/>
        <rFont val="Calibri"/>
        <family val="2"/>
        <scheme val="minor"/>
      </rPr>
      <t>Ordine Ingiunzione al Pagamento Pena Pecuniaria</t>
    </r>
    <r>
      <rPr>
        <sz val="11"/>
        <rFont val="Calibri"/>
        <family val="2"/>
        <scheme val="minor"/>
      </rPr>
      <t>, in cui sono visualizzate le Modalità di Pagamento ed il Civilment Obbligato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</si>
  <si>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Ordine Ingiunzione al Pagamento Pena Pecuniaria </t>
    </r>
    <r>
      <rPr>
        <sz val="11"/>
        <rFont val="Calibri"/>
        <family val="2"/>
        <scheme val="minor"/>
      </rPr>
      <t>con icona Modifica e Icona Stampa</t>
    </r>
  </si>
  <si>
    <r>
      <t xml:space="preserve">Visualizzazione pagina </t>
    </r>
    <r>
      <rPr>
        <b/>
        <sz val="11"/>
        <rFont val="Calibri"/>
        <family val="2"/>
        <scheme val="minor"/>
      </rPr>
      <t>Modifica Ordine Ingiunzione al Pagamento Pena Pecuniaria</t>
    </r>
  </si>
  <si>
    <r>
      <t xml:space="preserve">Visualizzazione pagina </t>
    </r>
    <r>
      <rPr>
        <b/>
        <sz val="11"/>
        <rFont val="Calibri"/>
        <family val="2"/>
        <scheme val="minor"/>
      </rPr>
      <t>Dettaglio Ordine Ingiunzione al Pagamento Pena Pecuniaria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</si>
  <si>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Ordine Ingiunzione al Pagamento Pena Pecuniaria, </t>
    </r>
    <r>
      <rPr>
        <sz val="11"/>
        <rFont val="Calibri"/>
        <family val="2"/>
        <scheme val="minor"/>
      </rPr>
      <t>che non presenta ulteriori azioni relative al provvedimento da poter attivare</t>
    </r>
  </si>
  <si>
    <r>
      <t xml:space="preserve">Visualizzazione pagina </t>
    </r>
    <r>
      <rPr>
        <b/>
        <sz val="11"/>
        <rFont val="Calibri"/>
        <family val="2"/>
        <scheme val="minor"/>
      </rPr>
      <t>Inserimento Avvenuta Notifica alle Parti</t>
    </r>
  </si>
  <si>
    <r>
      <t xml:space="preserve">Visualizzazione pagina </t>
    </r>
    <r>
      <rPr>
        <b/>
        <sz val="11"/>
        <rFont val="Calibri"/>
        <family val="2"/>
        <scheme val="minor"/>
      </rPr>
      <t>Dettaglio Avvenuta Notifica alle Parti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</si>
  <si>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Avvenuta Notifica alle Parti, </t>
    </r>
    <r>
      <rPr>
        <sz val="11"/>
        <rFont val="Calibri"/>
        <family val="2"/>
        <scheme val="minor"/>
      </rPr>
      <t xml:space="preserve">in quantoil sistema ritrova una data avvenuta Notifica già valorizzata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</si>
  <si>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Avvenuta Notifica alle Parti</t>
    </r>
  </si>
  <si>
    <r>
      <t xml:space="preserve">Visualizzazione pagina </t>
    </r>
    <r>
      <rPr>
        <b/>
        <sz val="11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</si>
  <si>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1"/>
        <rFont val="Calibri"/>
        <family val="2"/>
        <scheme val="minor"/>
      </rPr>
      <t>Dettaglio Procedimento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</si>
  <si>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>Dettaglio Soggetto</t>
    </r>
  </si>
  <si>
    <r>
      <t xml:space="preserve">Selezionare dall'elenco provvedimenti sul link  </t>
    </r>
    <r>
      <rPr>
        <b/>
        <sz val="11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</si>
  <si>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1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</si>
  <si>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1"/>
        <rFont val="Calibri"/>
        <family val="2"/>
        <scheme val="minor"/>
      </rPr>
      <t>Richiesta a pagoPA generazione Bollettini Pagamento Pena Pecuniaria</t>
    </r>
    <r>
      <rPr>
        <sz val="11"/>
        <rFont val="Calibri"/>
        <family val="2"/>
        <scheme val="minor"/>
      </rPr>
      <t xml:space="preserve"> con gli estremi dell'ordine di esecuzione validato, privo di Data Richiesta e Data Ricezione</t>
    </r>
  </si>
  <si>
    <r>
      <t xml:space="preserve">Visualizzazione pagina </t>
    </r>
    <r>
      <rPr>
        <b/>
        <sz val="11"/>
        <rFont val="Calibri"/>
        <family val="2"/>
        <scheme val="minor"/>
      </rPr>
      <t>Richiesta a pagoPA generazione Bollettini Pagamento Pena Pecuniaria</t>
    </r>
    <r>
      <rPr>
        <sz val="11"/>
        <rFont val="Calibri"/>
        <family val="2"/>
        <scheme val="minor"/>
      </rPr>
      <t xml:space="preserve"> con elenco bollettini da richiedere a pagoPA</t>
    </r>
  </si>
  <si>
    <r>
      <t xml:space="preserve">Visualizzazione messaggio di </t>
    </r>
    <r>
      <rPr>
        <b/>
        <sz val="11"/>
        <rFont val="Calibri"/>
        <family val="2"/>
        <scheme val="minor"/>
      </rPr>
      <t>avvenuta generazione degli avvisi pagoPA</t>
    </r>
  </si>
  <si>
    <r>
      <t xml:space="preserve">Visualizzazione pagina </t>
    </r>
    <r>
      <rPr>
        <b/>
        <sz val="11"/>
        <rFont val="Calibri"/>
        <family val="2"/>
        <scheme val="minor"/>
      </rPr>
      <t>Richiesta a pagoPA generazione Bollettini Pagamento Pena Pecuniaria</t>
    </r>
    <r>
      <rPr>
        <sz val="11"/>
        <rFont val="Calibri"/>
        <family val="2"/>
        <scheme val="minor"/>
      </rPr>
      <t xml:space="preserve"> con elenco bollettini, aventi lo IUV valorizzato e bollettino formato pdf, stampabile</t>
    </r>
  </si>
  <si>
    <r>
      <t xml:space="preserve">Visualizzazione documento cartaceo </t>
    </r>
    <r>
      <rPr>
        <b/>
        <sz val="11"/>
        <rFont val="Calibri"/>
        <family val="2"/>
        <scheme val="minor"/>
      </rPr>
      <t xml:space="preserve">Avviso pagamento di pagoPA, </t>
    </r>
    <r>
      <rPr>
        <sz val="11"/>
        <rFont val="Calibri"/>
        <family val="2"/>
        <scheme val="minor"/>
      </rPr>
      <t>disponibile per la stampa</t>
    </r>
  </si>
  <si>
    <r>
      <t xml:space="preserve">Visualizzazione pagina </t>
    </r>
    <r>
      <rPr>
        <b/>
        <sz val="11"/>
        <rFont val="Calibri"/>
        <family val="2"/>
        <scheme val="minor"/>
      </rPr>
      <t>Verifica stato Bollettini per Pagamento Pena Pecuniaria</t>
    </r>
    <r>
      <rPr>
        <sz val="11"/>
        <rFont val="Calibri"/>
        <family val="2"/>
        <scheme val="minor"/>
      </rPr>
      <t xml:space="preserve"> con gli estremi dell'ordine di Ingiunziona al pagamento emesso</t>
    </r>
  </si>
  <si>
    <r>
      <t xml:space="preserve">Visualizzazione pagina </t>
    </r>
    <r>
      <rPr>
        <b/>
        <sz val="11"/>
        <rFont val="Calibri"/>
        <family val="2"/>
        <scheme val="minor"/>
      </rPr>
      <t>Stato Bollettini per Pagamento Pena Pecuniaria</t>
    </r>
    <r>
      <rPr>
        <sz val="11"/>
        <rFont val="Calibri"/>
        <family val="2"/>
        <scheme val="minor"/>
      </rPr>
      <t xml:space="preserve"> conl'elenco di tutti i bollettini e il relativo stato di pagamento</t>
    </r>
  </si>
  <si>
    <r>
      <t xml:space="preserve">Visualizzazione pagina </t>
    </r>
    <r>
      <rPr>
        <b/>
        <sz val="11"/>
        <rFont val="Calibri"/>
        <family val="2"/>
        <scheme val="minor"/>
      </rPr>
      <t>Verifica Stato pagamentoBollettini su pagoPA</t>
    </r>
    <r>
      <rPr>
        <sz val="11"/>
        <rFont val="Calibri"/>
        <family val="2"/>
        <scheme val="minor"/>
      </rPr>
      <t xml:space="preserve"> con gli estremi dell'ordine di esecuzione validato, con Data Richiesta e Data Ricezione</t>
    </r>
  </si>
  <si>
    <r>
      <t xml:space="preserve">Visualizzazione pagina </t>
    </r>
    <r>
      <rPr>
        <b/>
        <sz val="11"/>
        <rFont val="Calibri"/>
        <family val="2"/>
        <scheme val="minor"/>
      </rPr>
      <t>Verifica Stato pagamentoBollettini su pagoPA per Pagamento Pena Pecuniaria</t>
    </r>
    <r>
      <rPr>
        <sz val="11"/>
        <rFont val="Calibri"/>
        <family val="2"/>
        <scheme val="minor"/>
      </rPr>
      <t xml:space="preserve"> con elenco bollettini da già ricevuti </t>
    </r>
  </si>
  <si>
    <r>
      <t xml:space="preserve">Visualizzazione messaggio di </t>
    </r>
    <r>
      <rPr>
        <b/>
        <sz val="11"/>
        <rFont val="Calibri"/>
        <family val="2"/>
        <scheme val="minor"/>
      </rPr>
      <t>con elenco dei bollettini richiesti e realtivo stato pagamento</t>
    </r>
  </si>
  <si>
    <r>
      <t xml:space="preserve">Visualizzazione pagina </t>
    </r>
    <r>
      <rPr>
        <b/>
        <sz val="11"/>
        <rFont val="Calibri"/>
        <family val="2"/>
        <scheme val="minor"/>
      </rPr>
      <t>Verifica Stato pagamentoBollettini su pagoPA per Pagamento Pena Pecuniaria</t>
    </r>
    <r>
      <rPr>
        <sz val="11"/>
        <rFont val="Calibri"/>
        <family val="2"/>
        <scheme val="minor"/>
      </rPr>
      <t xml:space="preserve"> con elenco bollettini aggiornati in base allo stato pervenuto da pagoPA</t>
    </r>
  </si>
  <si>
    <t>/opt/jboss-eap-6.4/standalone/log/sies</t>
  </si>
  <si>
    <t>L'utente effettua l'accesso al server SIES e si posiziona nella cartella dei log applicativi</t>
  </si>
  <si>
    <t>L'utente ha schedulato l'avvio del batch notturno ad un determinato orario</t>
  </si>
  <si>
    <t>Verificare l'avvenuta esecuzione del batch notturno leggendo il file di log dedicato</t>
  </si>
  <si>
    <t>PagoPaBatch.log</t>
  </si>
  <si>
    <r>
      <t>Controllare la presenza della dicitura "</t>
    </r>
    <r>
      <rPr>
        <b/>
        <sz val="11"/>
        <rFont val="Calibri"/>
        <family val="2"/>
        <scheme val="minor"/>
      </rPr>
      <t>Schedulatore avviato</t>
    </r>
    <r>
      <rPr>
        <sz val="11"/>
        <rFont val="Calibri"/>
        <family val="2"/>
        <scheme val="minor"/>
      </rPr>
      <t>" e verificare l'assenza di messaggi di errore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</si>
</sst>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7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73">
    <xf numFmtId="0" fontId="0" fillId="0" borderId="0" xfId="0"/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18" fillId="14" borderId="66" xfId="0" applyFont="1" applyFill="1" applyBorder="1" applyAlignment="1">
      <alignment horizontal="center" vertical="center" wrapText="1"/>
    </xf>
    <xf numFmtId="0" fontId="18" fillId="14" borderId="69" xfId="0" applyFont="1" applyFill="1" applyBorder="1" applyAlignment="1">
      <alignment horizontal="center" vertical="center" wrapText="1"/>
    </xf>
    <xf numFmtId="0" fontId="18" fillId="14" borderId="7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20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2" borderId="45" xfId="0" applyFont="1" applyFill="1" applyBorder="1" applyAlignment="1" applyProtection="1">
      <alignment horizontal="center" vertical="center" wrapText="1"/>
      <protection locked="0"/>
    </xf>
    <xf numFmtId="49" fontId="7" fillId="0" borderId="45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15" borderId="62" xfId="0" applyFont="1" applyFill="1" applyBorder="1" applyAlignment="1">
      <alignment horizontal="center" vertical="center" wrapText="1"/>
    </xf>
    <xf numFmtId="0" fontId="3" fillId="15" borderId="63" xfId="0" applyFont="1" applyFill="1" applyBorder="1" applyAlignment="1">
      <alignment horizontal="center" vertical="center" wrapText="1"/>
    </xf>
    <xf numFmtId="0" fontId="0" fillId="13" borderId="50" xfId="0" applyFont="1" applyFill="1" applyBorder="1" applyAlignment="1">
      <alignment horizontal="center" vertical="center" wrapText="1"/>
    </xf>
    <xf numFmtId="0" fontId="0" fillId="13" borderId="51" xfId="0" applyFont="1" applyFill="1" applyBorder="1" applyAlignment="1">
      <alignment horizontal="center" vertical="center" wrapText="1"/>
    </xf>
    <xf numFmtId="0" fontId="0" fillId="13" borderId="52" xfId="0" applyFont="1" applyFill="1" applyBorder="1" applyAlignment="1">
      <alignment horizontal="center" vertical="center" wrapText="1"/>
    </xf>
    <xf numFmtId="0" fontId="0" fillId="13" borderId="53" xfId="0" applyFont="1" applyFill="1" applyBorder="1" applyAlignment="1">
      <alignment horizontal="center" vertical="center" wrapText="1"/>
    </xf>
    <xf numFmtId="0" fontId="0" fillId="0" borderId="53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49" fontId="3" fillId="15" borderId="11" xfId="0" applyNumberFormat="1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49" fontId="3" fillId="16" borderId="49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44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3" fillId="18" borderId="36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49" fontId="3" fillId="17" borderId="36" xfId="0" applyNumberFormat="1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49" fontId="3" fillId="17" borderId="67" xfId="0" applyNumberFormat="1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18" fillId="12" borderId="65" xfId="0" applyFont="1" applyFill="1" applyBorder="1" applyAlignment="1">
      <alignment horizontal="center" vertical="center" wrapText="1"/>
    </xf>
    <xf numFmtId="0" fontId="3" fillId="18" borderId="68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13" borderId="55" xfId="0" applyFont="1" applyFill="1" applyBorder="1" applyAlignment="1">
      <alignment horizontal="center" vertical="center" wrapText="1"/>
    </xf>
    <xf numFmtId="0" fontId="0" fillId="13" borderId="56" xfId="0" applyFont="1" applyFill="1" applyBorder="1" applyAlignment="1">
      <alignment horizontal="center" vertical="center" wrapText="1"/>
    </xf>
    <xf numFmtId="0" fontId="0" fillId="13" borderId="57" xfId="0" applyFont="1" applyFill="1" applyBorder="1" applyAlignment="1">
      <alignment horizontal="center" vertical="center" wrapText="1"/>
    </xf>
    <xf numFmtId="0" fontId="0" fillId="13" borderId="58" xfId="0" applyFont="1" applyFill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49" fontId="3" fillId="16" borderId="36" xfId="0" applyNumberFormat="1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3" fillId="15" borderId="36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1" fontId="0" fillId="13" borderId="56" xfId="0" applyNumberFormat="1" applyFont="1" applyFill="1" applyBorder="1" applyAlignment="1">
      <alignment horizontal="center" vertical="center" wrapText="1"/>
    </xf>
    <xf numFmtId="1" fontId="0" fillId="13" borderId="57" xfId="0" applyNumberFormat="1" applyFont="1" applyFill="1" applyBorder="1" applyAlignment="1">
      <alignment horizontal="center" vertical="center" wrapText="1"/>
    </xf>
    <xf numFmtId="0" fontId="0" fillId="13" borderId="64" xfId="0" applyFont="1" applyFill="1" applyBorder="1" applyAlignment="1">
      <alignment horizontal="center" vertical="center" wrapText="1"/>
    </xf>
    <xf numFmtId="0" fontId="0" fillId="13" borderId="70" xfId="0" applyFont="1" applyFill="1" applyBorder="1" applyAlignment="1">
      <alignment horizontal="center" vertical="center" wrapText="1"/>
    </xf>
    <xf numFmtId="0" fontId="0" fillId="0" borderId="70" xfId="0" applyFont="1" applyBorder="1" applyAlignment="1">
      <alignment horizontal="center" vertical="center" wrapText="1"/>
    </xf>
    <xf numFmtId="0" fontId="0" fillId="13" borderId="41" xfId="0" applyFont="1" applyFill="1" applyBorder="1" applyAlignment="1">
      <alignment horizontal="center" vertical="center" wrapText="1"/>
    </xf>
    <xf numFmtId="0" fontId="0" fillId="13" borderId="43" xfId="0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0" fillId="13" borderId="46" xfId="0" applyFont="1" applyFill="1" applyBorder="1" applyAlignment="1">
      <alignment horizontal="center" vertical="center" wrapText="1"/>
    </xf>
    <xf numFmtId="0" fontId="3" fillId="18" borderId="19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12" borderId="37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xmlns="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1362076</xdr:colOff>
      <xdr:row>0</xdr:row>
      <xdr:rowOff>19050</xdr:rowOff>
    </xdr:from>
    <xdr:to>
      <xdr:col>1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xmlns="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sqref="A1:XFD1048576"/>
    </sheetView>
  </sheetViews>
  <sheetFormatPr defaultRowHeight="120.75" customHeight="1" x14ac:dyDescent="0.25"/>
  <cols>
    <col min="1" max="1" width="31.28515625" style="40" customWidth="1"/>
    <col min="2" max="2" width="94.7109375" style="40" customWidth="1"/>
    <col min="3" max="3" width="51.7109375" style="40" customWidth="1"/>
    <col min="4" max="255" width="9.140625" style="40"/>
    <col min="256" max="256" width="1.42578125" style="40" customWidth="1"/>
    <col min="257" max="257" width="31.28515625" style="40" customWidth="1"/>
    <col min="258" max="258" width="83.5703125" style="40" bestFit="1" customWidth="1"/>
    <col min="259" max="259" width="51.7109375" style="40" customWidth="1"/>
    <col min="260" max="511" width="9.140625" style="40"/>
    <col min="512" max="512" width="1.42578125" style="40" customWidth="1"/>
    <col min="513" max="513" width="31.28515625" style="40" customWidth="1"/>
    <col min="514" max="514" width="83.5703125" style="40" bestFit="1" customWidth="1"/>
    <col min="515" max="515" width="51.7109375" style="40" customWidth="1"/>
    <col min="516" max="767" width="9.140625" style="40"/>
    <col min="768" max="768" width="1.42578125" style="40" customWidth="1"/>
    <col min="769" max="769" width="31.28515625" style="40" customWidth="1"/>
    <col min="770" max="770" width="83.5703125" style="40" bestFit="1" customWidth="1"/>
    <col min="771" max="771" width="51.7109375" style="40" customWidth="1"/>
    <col min="772" max="1023" width="9.140625" style="40"/>
    <col min="1024" max="1024" width="1.42578125" style="40" customWidth="1"/>
    <col min="1025" max="1025" width="31.28515625" style="40" customWidth="1"/>
    <col min="1026" max="1026" width="83.5703125" style="40" bestFit="1" customWidth="1"/>
    <col min="1027" max="1027" width="51.7109375" style="40" customWidth="1"/>
    <col min="1028" max="1279" width="9.140625" style="40"/>
    <col min="1280" max="1280" width="1.42578125" style="40" customWidth="1"/>
    <col min="1281" max="1281" width="31.28515625" style="40" customWidth="1"/>
    <col min="1282" max="1282" width="83.5703125" style="40" bestFit="1" customWidth="1"/>
    <col min="1283" max="1283" width="51.7109375" style="40" customWidth="1"/>
    <col min="1284" max="1535" width="9.140625" style="40"/>
    <col min="1536" max="1536" width="1.42578125" style="40" customWidth="1"/>
    <col min="1537" max="1537" width="31.28515625" style="40" customWidth="1"/>
    <col min="1538" max="1538" width="83.5703125" style="40" bestFit="1" customWidth="1"/>
    <col min="1539" max="1539" width="51.7109375" style="40" customWidth="1"/>
    <col min="1540" max="1791" width="9.140625" style="40"/>
    <col min="1792" max="1792" width="1.42578125" style="40" customWidth="1"/>
    <col min="1793" max="1793" width="31.28515625" style="40" customWidth="1"/>
    <col min="1794" max="1794" width="83.5703125" style="40" bestFit="1" customWidth="1"/>
    <col min="1795" max="1795" width="51.7109375" style="40" customWidth="1"/>
    <col min="1796" max="2047" width="9.140625" style="40"/>
    <col min="2048" max="2048" width="1.42578125" style="40" customWidth="1"/>
    <col min="2049" max="2049" width="31.28515625" style="40" customWidth="1"/>
    <col min="2050" max="2050" width="83.5703125" style="40" bestFit="1" customWidth="1"/>
    <col min="2051" max="2051" width="51.7109375" style="40" customWidth="1"/>
    <col min="2052" max="2303" width="9.140625" style="40"/>
    <col min="2304" max="2304" width="1.42578125" style="40" customWidth="1"/>
    <col min="2305" max="2305" width="31.28515625" style="40" customWidth="1"/>
    <col min="2306" max="2306" width="83.5703125" style="40" bestFit="1" customWidth="1"/>
    <col min="2307" max="2307" width="51.7109375" style="40" customWidth="1"/>
    <col min="2308" max="2559" width="9.140625" style="40"/>
    <col min="2560" max="2560" width="1.42578125" style="40" customWidth="1"/>
    <col min="2561" max="2561" width="31.28515625" style="40" customWidth="1"/>
    <col min="2562" max="2562" width="83.5703125" style="40" bestFit="1" customWidth="1"/>
    <col min="2563" max="2563" width="51.7109375" style="40" customWidth="1"/>
    <col min="2564" max="2815" width="9.140625" style="40"/>
    <col min="2816" max="2816" width="1.42578125" style="40" customWidth="1"/>
    <col min="2817" max="2817" width="31.28515625" style="40" customWidth="1"/>
    <col min="2818" max="2818" width="83.5703125" style="40" bestFit="1" customWidth="1"/>
    <col min="2819" max="2819" width="51.7109375" style="40" customWidth="1"/>
    <col min="2820" max="3071" width="9.140625" style="40"/>
    <col min="3072" max="3072" width="1.42578125" style="40" customWidth="1"/>
    <col min="3073" max="3073" width="31.28515625" style="40" customWidth="1"/>
    <col min="3074" max="3074" width="83.5703125" style="40" bestFit="1" customWidth="1"/>
    <col min="3075" max="3075" width="51.7109375" style="40" customWidth="1"/>
    <col min="3076" max="3327" width="9.140625" style="40"/>
    <col min="3328" max="3328" width="1.42578125" style="40" customWidth="1"/>
    <col min="3329" max="3329" width="31.28515625" style="40" customWidth="1"/>
    <col min="3330" max="3330" width="83.5703125" style="40" bestFit="1" customWidth="1"/>
    <col min="3331" max="3331" width="51.7109375" style="40" customWidth="1"/>
    <col min="3332" max="3583" width="9.140625" style="40"/>
    <col min="3584" max="3584" width="1.42578125" style="40" customWidth="1"/>
    <col min="3585" max="3585" width="31.28515625" style="40" customWidth="1"/>
    <col min="3586" max="3586" width="83.5703125" style="40" bestFit="1" customWidth="1"/>
    <col min="3587" max="3587" width="51.7109375" style="40" customWidth="1"/>
    <col min="3588" max="3839" width="9.140625" style="40"/>
    <col min="3840" max="3840" width="1.42578125" style="40" customWidth="1"/>
    <col min="3841" max="3841" width="31.28515625" style="40" customWidth="1"/>
    <col min="3842" max="3842" width="83.5703125" style="40" bestFit="1" customWidth="1"/>
    <col min="3843" max="3843" width="51.7109375" style="40" customWidth="1"/>
    <col min="3844" max="4095" width="9.140625" style="40"/>
    <col min="4096" max="4096" width="1.42578125" style="40" customWidth="1"/>
    <col min="4097" max="4097" width="31.28515625" style="40" customWidth="1"/>
    <col min="4098" max="4098" width="83.5703125" style="40" bestFit="1" customWidth="1"/>
    <col min="4099" max="4099" width="51.7109375" style="40" customWidth="1"/>
    <col min="4100" max="4351" width="9.140625" style="40"/>
    <col min="4352" max="4352" width="1.42578125" style="40" customWidth="1"/>
    <col min="4353" max="4353" width="31.28515625" style="40" customWidth="1"/>
    <col min="4354" max="4354" width="83.5703125" style="40" bestFit="1" customWidth="1"/>
    <col min="4355" max="4355" width="51.7109375" style="40" customWidth="1"/>
    <col min="4356" max="4607" width="9.140625" style="40"/>
    <col min="4608" max="4608" width="1.42578125" style="40" customWidth="1"/>
    <col min="4609" max="4609" width="31.28515625" style="40" customWidth="1"/>
    <col min="4610" max="4610" width="83.5703125" style="40" bestFit="1" customWidth="1"/>
    <col min="4611" max="4611" width="51.7109375" style="40" customWidth="1"/>
    <col min="4612" max="4863" width="9.140625" style="40"/>
    <col min="4864" max="4864" width="1.42578125" style="40" customWidth="1"/>
    <col min="4865" max="4865" width="31.28515625" style="40" customWidth="1"/>
    <col min="4866" max="4866" width="83.5703125" style="40" bestFit="1" customWidth="1"/>
    <col min="4867" max="4867" width="51.7109375" style="40" customWidth="1"/>
    <col min="4868" max="5119" width="9.140625" style="40"/>
    <col min="5120" max="5120" width="1.42578125" style="40" customWidth="1"/>
    <col min="5121" max="5121" width="31.28515625" style="40" customWidth="1"/>
    <col min="5122" max="5122" width="83.5703125" style="40" bestFit="1" customWidth="1"/>
    <col min="5123" max="5123" width="51.7109375" style="40" customWidth="1"/>
    <col min="5124" max="5375" width="9.140625" style="40"/>
    <col min="5376" max="5376" width="1.42578125" style="40" customWidth="1"/>
    <col min="5377" max="5377" width="31.28515625" style="40" customWidth="1"/>
    <col min="5378" max="5378" width="83.5703125" style="40" bestFit="1" customWidth="1"/>
    <col min="5379" max="5379" width="51.7109375" style="40" customWidth="1"/>
    <col min="5380" max="5631" width="9.140625" style="40"/>
    <col min="5632" max="5632" width="1.42578125" style="40" customWidth="1"/>
    <col min="5633" max="5633" width="31.28515625" style="40" customWidth="1"/>
    <col min="5634" max="5634" width="83.5703125" style="40" bestFit="1" customWidth="1"/>
    <col min="5635" max="5635" width="51.7109375" style="40" customWidth="1"/>
    <col min="5636" max="5887" width="9.140625" style="40"/>
    <col min="5888" max="5888" width="1.42578125" style="40" customWidth="1"/>
    <col min="5889" max="5889" width="31.28515625" style="40" customWidth="1"/>
    <col min="5890" max="5890" width="83.5703125" style="40" bestFit="1" customWidth="1"/>
    <col min="5891" max="5891" width="51.7109375" style="40" customWidth="1"/>
    <col min="5892" max="6143" width="9.140625" style="40"/>
    <col min="6144" max="6144" width="1.42578125" style="40" customWidth="1"/>
    <col min="6145" max="6145" width="31.28515625" style="40" customWidth="1"/>
    <col min="6146" max="6146" width="83.5703125" style="40" bestFit="1" customWidth="1"/>
    <col min="6147" max="6147" width="51.7109375" style="40" customWidth="1"/>
    <col min="6148" max="6399" width="9.140625" style="40"/>
    <col min="6400" max="6400" width="1.42578125" style="40" customWidth="1"/>
    <col min="6401" max="6401" width="31.28515625" style="40" customWidth="1"/>
    <col min="6402" max="6402" width="83.5703125" style="40" bestFit="1" customWidth="1"/>
    <col min="6403" max="6403" width="51.7109375" style="40" customWidth="1"/>
    <col min="6404" max="6655" width="9.140625" style="40"/>
    <col min="6656" max="6656" width="1.42578125" style="40" customWidth="1"/>
    <col min="6657" max="6657" width="31.28515625" style="40" customWidth="1"/>
    <col min="6658" max="6658" width="83.5703125" style="40" bestFit="1" customWidth="1"/>
    <col min="6659" max="6659" width="51.7109375" style="40" customWidth="1"/>
    <col min="6660" max="6911" width="9.140625" style="40"/>
    <col min="6912" max="6912" width="1.42578125" style="40" customWidth="1"/>
    <col min="6913" max="6913" width="31.28515625" style="40" customWidth="1"/>
    <col min="6914" max="6914" width="83.5703125" style="40" bestFit="1" customWidth="1"/>
    <col min="6915" max="6915" width="51.7109375" style="40" customWidth="1"/>
    <col min="6916" max="7167" width="9.140625" style="40"/>
    <col min="7168" max="7168" width="1.42578125" style="40" customWidth="1"/>
    <col min="7169" max="7169" width="31.28515625" style="40" customWidth="1"/>
    <col min="7170" max="7170" width="83.5703125" style="40" bestFit="1" customWidth="1"/>
    <col min="7171" max="7171" width="51.7109375" style="40" customWidth="1"/>
    <col min="7172" max="7423" width="9.140625" style="40"/>
    <col min="7424" max="7424" width="1.42578125" style="40" customWidth="1"/>
    <col min="7425" max="7425" width="31.28515625" style="40" customWidth="1"/>
    <col min="7426" max="7426" width="83.5703125" style="40" bestFit="1" customWidth="1"/>
    <col min="7427" max="7427" width="51.7109375" style="40" customWidth="1"/>
    <col min="7428" max="7679" width="9.140625" style="40"/>
    <col min="7680" max="7680" width="1.42578125" style="40" customWidth="1"/>
    <col min="7681" max="7681" width="31.28515625" style="40" customWidth="1"/>
    <col min="7682" max="7682" width="83.5703125" style="40" bestFit="1" customWidth="1"/>
    <col min="7683" max="7683" width="51.7109375" style="40" customWidth="1"/>
    <col min="7684" max="7935" width="9.140625" style="40"/>
    <col min="7936" max="7936" width="1.42578125" style="40" customWidth="1"/>
    <col min="7937" max="7937" width="31.28515625" style="40" customWidth="1"/>
    <col min="7938" max="7938" width="83.5703125" style="40" bestFit="1" customWidth="1"/>
    <col min="7939" max="7939" width="51.7109375" style="40" customWidth="1"/>
    <col min="7940" max="8191" width="9.140625" style="40"/>
    <col min="8192" max="8192" width="1.42578125" style="40" customWidth="1"/>
    <col min="8193" max="8193" width="31.28515625" style="40" customWidth="1"/>
    <col min="8194" max="8194" width="83.5703125" style="40" bestFit="1" customWidth="1"/>
    <col min="8195" max="8195" width="51.7109375" style="40" customWidth="1"/>
    <col min="8196" max="8447" width="9.140625" style="40"/>
    <col min="8448" max="8448" width="1.42578125" style="40" customWidth="1"/>
    <col min="8449" max="8449" width="31.28515625" style="40" customWidth="1"/>
    <col min="8450" max="8450" width="83.5703125" style="40" bestFit="1" customWidth="1"/>
    <col min="8451" max="8451" width="51.7109375" style="40" customWidth="1"/>
    <col min="8452" max="8703" width="9.140625" style="40"/>
    <col min="8704" max="8704" width="1.42578125" style="40" customWidth="1"/>
    <col min="8705" max="8705" width="31.28515625" style="40" customWidth="1"/>
    <col min="8706" max="8706" width="83.5703125" style="40" bestFit="1" customWidth="1"/>
    <col min="8707" max="8707" width="51.7109375" style="40" customWidth="1"/>
    <col min="8708" max="8959" width="9.140625" style="40"/>
    <col min="8960" max="8960" width="1.42578125" style="40" customWidth="1"/>
    <col min="8961" max="8961" width="31.28515625" style="40" customWidth="1"/>
    <col min="8962" max="8962" width="83.5703125" style="40" bestFit="1" customWidth="1"/>
    <col min="8963" max="8963" width="51.7109375" style="40" customWidth="1"/>
    <col min="8964" max="9215" width="9.140625" style="40"/>
    <col min="9216" max="9216" width="1.42578125" style="40" customWidth="1"/>
    <col min="9217" max="9217" width="31.28515625" style="40" customWidth="1"/>
    <col min="9218" max="9218" width="83.5703125" style="40" bestFit="1" customWidth="1"/>
    <col min="9219" max="9219" width="51.7109375" style="40" customWidth="1"/>
    <col min="9220" max="9471" width="9.140625" style="40"/>
    <col min="9472" max="9472" width="1.42578125" style="40" customWidth="1"/>
    <col min="9473" max="9473" width="31.28515625" style="40" customWidth="1"/>
    <col min="9474" max="9474" width="83.5703125" style="40" bestFit="1" customWidth="1"/>
    <col min="9475" max="9475" width="51.7109375" style="40" customWidth="1"/>
    <col min="9476" max="9727" width="9.140625" style="40"/>
    <col min="9728" max="9728" width="1.42578125" style="40" customWidth="1"/>
    <col min="9729" max="9729" width="31.28515625" style="40" customWidth="1"/>
    <col min="9730" max="9730" width="83.5703125" style="40" bestFit="1" customWidth="1"/>
    <col min="9731" max="9731" width="51.7109375" style="40" customWidth="1"/>
    <col min="9732" max="9983" width="9.140625" style="40"/>
    <col min="9984" max="9984" width="1.42578125" style="40" customWidth="1"/>
    <col min="9985" max="9985" width="31.28515625" style="40" customWidth="1"/>
    <col min="9986" max="9986" width="83.5703125" style="40" bestFit="1" customWidth="1"/>
    <col min="9987" max="9987" width="51.7109375" style="40" customWidth="1"/>
    <col min="9988" max="10239" width="9.140625" style="40"/>
    <col min="10240" max="10240" width="1.42578125" style="40" customWidth="1"/>
    <col min="10241" max="10241" width="31.28515625" style="40" customWidth="1"/>
    <col min="10242" max="10242" width="83.5703125" style="40" bestFit="1" customWidth="1"/>
    <col min="10243" max="10243" width="51.7109375" style="40" customWidth="1"/>
    <col min="10244" max="10495" width="9.140625" style="40"/>
    <col min="10496" max="10496" width="1.42578125" style="40" customWidth="1"/>
    <col min="10497" max="10497" width="31.28515625" style="40" customWidth="1"/>
    <col min="10498" max="10498" width="83.5703125" style="40" bestFit="1" customWidth="1"/>
    <col min="10499" max="10499" width="51.7109375" style="40" customWidth="1"/>
    <col min="10500" max="10751" width="9.140625" style="40"/>
    <col min="10752" max="10752" width="1.42578125" style="40" customWidth="1"/>
    <col min="10753" max="10753" width="31.28515625" style="40" customWidth="1"/>
    <col min="10754" max="10754" width="83.5703125" style="40" bestFit="1" customWidth="1"/>
    <col min="10755" max="10755" width="51.7109375" style="40" customWidth="1"/>
    <col min="10756" max="11007" width="9.140625" style="40"/>
    <col min="11008" max="11008" width="1.42578125" style="40" customWidth="1"/>
    <col min="11009" max="11009" width="31.28515625" style="40" customWidth="1"/>
    <col min="11010" max="11010" width="83.5703125" style="40" bestFit="1" customWidth="1"/>
    <col min="11011" max="11011" width="51.7109375" style="40" customWidth="1"/>
    <col min="11012" max="11263" width="9.140625" style="40"/>
    <col min="11264" max="11264" width="1.42578125" style="40" customWidth="1"/>
    <col min="11265" max="11265" width="31.28515625" style="40" customWidth="1"/>
    <col min="11266" max="11266" width="83.5703125" style="40" bestFit="1" customWidth="1"/>
    <col min="11267" max="11267" width="51.7109375" style="40" customWidth="1"/>
    <col min="11268" max="11519" width="9.140625" style="40"/>
    <col min="11520" max="11520" width="1.42578125" style="40" customWidth="1"/>
    <col min="11521" max="11521" width="31.28515625" style="40" customWidth="1"/>
    <col min="11522" max="11522" width="83.5703125" style="40" bestFit="1" customWidth="1"/>
    <col min="11523" max="11523" width="51.7109375" style="40" customWidth="1"/>
    <col min="11524" max="11775" width="9.140625" style="40"/>
    <col min="11776" max="11776" width="1.42578125" style="40" customWidth="1"/>
    <col min="11777" max="11777" width="31.28515625" style="40" customWidth="1"/>
    <col min="11778" max="11778" width="83.5703125" style="40" bestFit="1" customWidth="1"/>
    <col min="11779" max="11779" width="51.7109375" style="40" customWidth="1"/>
    <col min="11780" max="12031" width="9.140625" style="40"/>
    <col min="12032" max="12032" width="1.42578125" style="40" customWidth="1"/>
    <col min="12033" max="12033" width="31.28515625" style="40" customWidth="1"/>
    <col min="12034" max="12034" width="83.5703125" style="40" bestFit="1" customWidth="1"/>
    <col min="12035" max="12035" width="51.7109375" style="40" customWidth="1"/>
    <col min="12036" max="12287" width="9.140625" style="40"/>
    <col min="12288" max="12288" width="1.42578125" style="40" customWidth="1"/>
    <col min="12289" max="12289" width="31.28515625" style="40" customWidth="1"/>
    <col min="12290" max="12290" width="83.5703125" style="40" bestFit="1" customWidth="1"/>
    <col min="12291" max="12291" width="51.7109375" style="40" customWidth="1"/>
    <col min="12292" max="12543" width="9.140625" style="40"/>
    <col min="12544" max="12544" width="1.42578125" style="40" customWidth="1"/>
    <col min="12545" max="12545" width="31.28515625" style="40" customWidth="1"/>
    <col min="12546" max="12546" width="83.5703125" style="40" bestFit="1" customWidth="1"/>
    <col min="12547" max="12547" width="51.7109375" style="40" customWidth="1"/>
    <col min="12548" max="12799" width="9.140625" style="40"/>
    <col min="12800" max="12800" width="1.42578125" style="40" customWidth="1"/>
    <col min="12801" max="12801" width="31.28515625" style="40" customWidth="1"/>
    <col min="12802" max="12802" width="83.5703125" style="40" bestFit="1" customWidth="1"/>
    <col min="12803" max="12803" width="51.7109375" style="40" customWidth="1"/>
    <col min="12804" max="13055" width="9.140625" style="40"/>
    <col min="13056" max="13056" width="1.42578125" style="40" customWidth="1"/>
    <col min="13057" max="13057" width="31.28515625" style="40" customWidth="1"/>
    <col min="13058" max="13058" width="83.5703125" style="40" bestFit="1" customWidth="1"/>
    <col min="13059" max="13059" width="51.7109375" style="40" customWidth="1"/>
    <col min="13060" max="13311" width="9.140625" style="40"/>
    <col min="13312" max="13312" width="1.42578125" style="40" customWidth="1"/>
    <col min="13313" max="13313" width="31.28515625" style="40" customWidth="1"/>
    <col min="13314" max="13314" width="83.5703125" style="40" bestFit="1" customWidth="1"/>
    <col min="13315" max="13315" width="51.7109375" style="40" customWidth="1"/>
    <col min="13316" max="13567" width="9.140625" style="40"/>
    <col min="13568" max="13568" width="1.42578125" style="40" customWidth="1"/>
    <col min="13569" max="13569" width="31.28515625" style="40" customWidth="1"/>
    <col min="13570" max="13570" width="83.5703125" style="40" bestFit="1" customWidth="1"/>
    <col min="13571" max="13571" width="51.7109375" style="40" customWidth="1"/>
    <col min="13572" max="13823" width="9.140625" style="40"/>
    <col min="13824" max="13824" width="1.42578125" style="40" customWidth="1"/>
    <col min="13825" max="13825" width="31.28515625" style="40" customWidth="1"/>
    <col min="13826" max="13826" width="83.5703125" style="40" bestFit="1" customWidth="1"/>
    <col min="13827" max="13827" width="51.7109375" style="40" customWidth="1"/>
    <col min="13828" max="14079" width="9.140625" style="40"/>
    <col min="14080" max="14080" width="1.42578125" style="40" customWidth="1"/>
    <col min="14081" max="14081" width="31.28515625" style="40" customWidth="1"/>
    <col min="14082" max="14082" width="83.5703125" style="40" bestFit="1" customWidth="1"/>
    <col min="14083" max="14083" width="51.7109375" style="40" customWidth="1"/>
    <col min="14084" max="14335" width="9.140625" style="40"/>
    <col min="14336" max="14336" width="1.42578125" style="40" customWidth="1"/>
    <col min="14337" max="14337" width="31.28515625" style="40" customWidth="1"/>
    <col min="14338" max="14338" width="83.5703125" style="40" bestFit="1" customWidth="1"/>
    <col min="14339" max="14339" width="51.7109375" style="40" customWidth="1"/>
    <col min="14340" max="14591" width="9.140625" style="40"/>
    <col min="14592" max="14592" width="1.42578125" style="40" customWidth="1"/>
    <col min="14593" max="14593" width="31.28515625" style="40" customWidth="1"/>
    <col min="14594" max="14594" width="83.5703125" style="40" bestFit="1" customWidth="1"/>
    <col min="14595" max="14595" width="51.7109375" style="40" customWidth="1"/>
    <col min="14596" max="14847" width="9.140625" style="40"/>
    <col min="14848" max="14848" width="1.42578125" style="40" customWidth="1"/>
    <col min="14849" max="14849" width="31.28515625" style="40" customWidth="1"/>
    <col min="14850" max="14850" width="83.5703125" style="40" bestFit="1" customWidth="1"/>
    <col min="14851" max="14851" width="51.7109375" style="40" customWidth="1"/>
    <col min="14852" max="15103" width="9.140625" style="40"/>
    <col min="15104" max="15104" width="1.42578125" style="40" customWidth="1"/>
    <col min="15105" max="15105" width="31.28515625" style="40" customWidth="1"/>
    <col min="15106" max="15106" width="83.5703125" style="40" bestFit="1" customWidth="1"/>
    <col min="15107" max="15107" width="51.7109375" style="40" customWidth="1"/>
    <col min="15108" max="15359" width="9.140625" style="40"/>
    <col min="15360" max="15360" width="1.42578125" style="40" customWidth="1"/>
    <col min="15361" max="15361" width="31.28515625" style="40" customWidth="1"/>
    <col min="15362" max="15362" width="83.5703125" style="40" bestFit="1" customWidth="1"/>
    <col min="15363" max="15363" width="51.7109375" style="40" customWidth="1"/>
    <col min="15364" max="15615" width="9.140625" style="40"/>
    <col min="15616" max="15616" width="1.42578125" style="40" customWidth="1"/>
    <col min="15617" max="15617" width="31.28515625" style="40" customWidth="1"/>
    <col min="15618" max="15618" width="83.5703125" style="40" bestFit="1" customWidth="1"/>
    <col min="15619" max="15619" width="51.7109375" style="40" customWidth="1"/>
    <col min="15620" max="15871" width="9.140625" style="40"/>
    <col min="15872" max="15872" width="1.42578125" style="40" customWidth="1"/>
    <col min="15873" max="15873" width="31.28515625" style="40" customWidth="1"/>
    <col min="15874" max="15874" width="83.5703125" style="40" bestFit="1" customWidth="1"/>
    <col min="15875" max="15875" width="51.7109375" style="40" customWidth="1"/>
    <col min="15876" max="16127" width="9.140625" style="40"/>
    <col min="16128" max="16128" width="1.42578125" style="40" customWidth="1"/>
    <col min="16129" max="16129" width="31.28515625" style="40" customWidth="1"/>
    <col min="16130" max="16130" width="83.5703125" style="40" bestFit="1" customWidth="1"/>
    <col min="16131" max="16131" width="51.7109375" style="40" customWidth="1"/>
    <col min="16132" max="16384" width="9.140625" style="40"/>
  </cols>
  <sheetData>
    <row r="1" spans="1:2" ht="131.25" customHeight="1" x14ac:dyDescent="0.25"/>
    <row r="2" spans="1:2" ht="56.25" customHeight="1" x14ac:dyDescent="0.25">
      <c r="A2" s="103" t="s">
        <v>44</v>
      </c>
      <c r="B2" s="104"/>
    </row>
    <row r="3" spans="1:2" ht="16.5" customHeight="1" x14ac:dyDescent="0.25">
      <c r="A3" s="100" t="s">
        <v>0</v>
      </c>
      <c r="B3" s="101" t="s">
        <v>257</v>
      </c>
    </row>
    <row r="4" spans="1:2" ht="16.5" customHeight="1" x14ac:dyDescent="0.25">
      <c r="A4" s="100" t="s">
        <v>1</v>
      </c>
      <c r="B4" s="101" t="s">
        <v>258</v>
      </c>
    </row>
    <row r="5" spans="1:2" ht="18.75" customHeight="1" x14ac:dyDescent="0.25">
      <c r="A5" s="100" t="s">
        <v>2</v>
      </c>
      <c r="B5" s="101" t="s">
        <v>94</v>
      </c>
    </row>
    <row r="6" spans="1:2" ht="15" customHeight="1" x14ac:dyDescent="0.25">
      <c r="A6" s="100" t="s">
        <v>3</v>
      </c>
      <c r="B6" s="102">
        <v>45012</v>
      </c>
    </row>
    <row r="7" spans="1:2" ht="16.5" customHeight="1" x14ac:dyDescent="0.25">
      <c r="A7" s="100" t="s">
        <v>4</v>
      </c>
      <c r="B7" s="101" t="s">
        <v>259</v>
      </c>
    </row>
    <row r="8" spans="1:2" ht="16.5" customHeight="1" x14ac:dyDescent="0.25">
      <c r="A8" s="100" t="s">
        <v>5</v>
      </c>
      <c r="B8" s="101" t="s">
        <v>85</v>
      </c>
    </row>
    <row r="9" spans="1:2" ht="120.75" customHeight="1" x14ac:dyDescent="0.25">
      <c r="A9" s="50" t="s">
        <v>6</v>
      </c>
      <c r="B9" s="50"/>
    </row>
    <row r="61" ht="15" x14ac:dyDescent="0.25"/>
  </sheetData>
  <mergeCells count="2">
    <mergeCell ref="A9:B9"/>
    <mergeCell ref="A2:B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140625" style="40" bestFit="1" customWidth="1"/>
    <col min="2" max="2" width="16.5703125" style="40" customWidth="1"/>
    <col min="3" max="3" width="18.7109375" style="40" customWidth="1"/>
    <col min="4" max="4" width="10.7109375" style="40" customWidth="1"/>
    <col min="5" max="5" width="31.85546875" style="40" customWidth="1"/>
    <col min="6" max="6" width="12.7109375" style="40" customWidth="1"/>
    <col min="7" max="7" width="44.85546875" style="40" customWidth="1"/>
    <col min="8" max="8" width="12" style="40" bestFit="1" customWidth="1"/>
    <col min="9" max="9" width="17.42578125" style="40" bestFit="1" customWidth="1"/>
    <col min="10" max="10" width="10.140625" style="40" customWidth="1"/>
    <col min="11" max="11" width="11.28515625" style="40" bestFit="1" customWidth="1"/>
    <col min="12" max="16384" width="9.140625" style="40"/>
  </cols>
  <sheetData>
    <row r="1" spans="1:11" ht="32.25" customHeight="1" x14ac:dyDescent="0.25">
      <c r="A1" s="51" t="s">
        <v>4</v>
      </c>
      <c r="B1" s="52"/>
      <c r="C1" s="84" t="str">
        <f>Copertina!B7</f>
        <v>MEV 2023_13_PST_PagoPA</v>
      </c>
      <c r="D1" s="84"/>
      <c r="E1" s="84"/>
      <c r="F1" s="84"/>
      <c r="G1" s="84"/>
      <c r="H1" s="84"/>
      <c r="I1" s="84"/>
      <c r="J1" s="84"/>
    </row>
    <row r="2" spans="1:11" ht="32.25" customHeight="1" x14ac:dyDescent="0.25">
      <c r="A2" s="51" t="s">
        <v>12</v>
      </c>
      <c r="B2" s="52"/>
      <c r="C2" s="84" t="str">
        <f>Copertina!B3</f>
        <v>SIUT-SIES-CT-1.0-20230327-Allegato_al_piano_Test_2023_13_PST_PagoPA</v>
      </c>
      <c r="D2" s="84"/>
      <c r="E2" s="84"/>
      <c r="F2" s="84"/>
      <c r="G2" s="84"/>
      <c r="H2" s="84"/>
      <c r="I2" s="84"/>
      <c r="J2" s="84"/>
    </row>
    <row r="3" spans="1:11" ht="40.5" customHeight="1" x14ac:dyDescent="0.25">
      <c r="A3" s="1" t="s">
        <v>7</v>
      </c>
      <c r="B3" s="1" t="s">
        <v>32</v>
      </c>
      <c r="C3" s="2" t="s">
        <v>33</v>
      </c>
      <c r="D3" s="2" t="s">
        <v>31</v>
      </c>
      <c r="E3" s="2" t="s">
        <v>30</v>
      </c>
      <c r="F3" s="3" t="s">
        <v>8</v>
      </c>
      <c r="G3" s="4" t="s">
        <v>29</v>
      </c>
      <c r="H3" s="5" t="s">
        <v>9</v>
      </c>
      <c r="I3" s="6" t="s">
        <v>10</v>
      </c>
      <c r="J3" s="3" t="s">
        <v>11</v>
      </c>
    </row>
    <row r="4" spans="1:11" ht="45" customHeight="1" x14ac:dyDescent="0.25">
      <c r="A4" s="166" t="s">
        <v>86</v>
      </c>
      <c r="B4" s="167" t="s">
        <v>147</v>
      </c>
      <c r="C4" s="167" t="s">
        <v>147</v>
      </c>
      <c r="D4" s="168" t="s">
        <v>79</v>
      </c>
      <c r="E4" s="169" t="s">
        <v>116</v>
      </c>
      <c r="F4" s="166" t="s">
        <v>80</v>
      </c>
      <c r="G4" s="169" t="s">
        <v>136</v>
      </c>
      <c r="H4" s="170">
        <v>3</v>
      </c>
      <c r="I4" s="170" t="s">
        <v>26</v>
      </c>
      <c r="J4" s="166"/>
      <c r="K4" s="92"/>
    </row>
    <row r="5" spans="1:11" ht="45" customHeight="1" x14ac:dyDescent="0.25">
      <c r="A5" s="166" t="s">
        <v>86</v>
      </c>
      <c r="B5" s="167" t="s">
        <v>147</v>
      </c>
      <c r="C5" s="167" t="s">
        <v>147</v>
      </c>
      <c r="D5" s="168" t="s">
        <v>81</v>
      </c>
      <c r="E5" s="169" t="s">
        <v>130</v>
      </c>
      <c r="F5" s="166" t="s">
        <v>84</v>
      </c>
      <c r="G5" s="169" t="s">
        <v>137</v>
      </c>
      <c r="H5" s="170">
        <v>3</v>
      </c>
      <c r="I5" s="170" t="s">
        <v>26</v>
      </c>
      <c r="J5" s="166"/>
      <c r="K5" s="92"/>
    </row>
    <row r="6" spans="1:11" ht="45" customHeight="1" x14ac:dyDescent="0.25">
      <c r="A6" s="166" t="s">
        <v>86</v>
      </c>
      <c r="B6" s="167" t="s">
        <v>115</v>
      </c>
      <c r="C6" s="167" t="s">
        <v>147</v>
      </c>
      <c r="D6" s="168" t="s">
        <v>82</v>
      </c>
      <c r="E6" s="169" t="s">
        <v>135</v>
      </c>
      <c r="F6" s="166" t="s">
        <v>103</v>
      </c>
      <c r="G6" s="169" t="s">
        <v>138</v>
      </c>
      <c r="H6" s="170">
        <v>3</v>
      </c>
      <c r="I6" s="170" t="s">
        <v>26</v>
      </c>
      <c r="J6" s="166"/>
      <c r="K6" s="92"/>
    </row>
    <row r="7" spans="1:11" ht="45" customHeight="1" x14ac:dyDescent="0.25">
      <c r="A7" s="166" t="s">
        <v>86</v>
      </c>
      <c r="B7" s="167" t="s">
        <v>148</v>
      </c>
      <c r="C7" s="167" t="s">
        <v>148</v>
      </c>
      <c r="D7" s="168" t="s">
        <v>79</v>
      </c>
      <c r="E7" s="169" t="s">
        <v>149</v>
      </c>
      <c r="F7" s="166" t="s">
        <v>95</v>
      </c>
      <c r="G7" s="169" t="s">
        <v>263</v>
      </c>
      <c r="H7" s="170">
        <v>2</v>
      </c>
      <c r="I7" s="170" t="s">
        <v>25</v>
      </c>
      <c r="J7" s="166"/>
      <c r="K7" s="92"/>
    </row>
    <row r="8" spans="1:11" ht="45" customHeight="1" x14ac:dyDescent="0.25">
      <c r="A8" s="166" t="s">
        <v>86</v>
      </c>
      <c r="B8" s="167" t="s">
        <v>148</v>
      </c>
      <c r="C8" s="167" t="s">
        <v>148</v>
      </c>
      <c r="D8" s="168" t="s">
        <v>81</v>
      </c>
      <c r="E8" s="169" t="s">
        <v>158</v>
      </c>
      <c r="F8" s="166" t="s">
        <v>96</v>
      </c>
      <c r="G8" s="169" t="s">
        <v>264</v>
      </c>
      <c r="H8" s="170">
        <v>2</v>
      </c>
      <c r="I8" s="170" t="s">
        <v>25</v>
      </c>
      <c r="J8" s="166"/>
      <c r="K8" s="92"/>
    </row>
    <row r="9" spans="1:11" ht="45" customHeight="1" x14ac:dyDescent="0.25">
      <c r="A9" s="166" t="s">
        <v>86</v>
      </c>
      <c r="B9" s="167" t="s">
        <v>148</v>
      </c>
      <c r="C9" s="167" t="s">
        <v>148</v>
      </c>
      <c r="D9" s="168" t="s">
        <v>82</v>
      </c>
      <c r="E9" s="169" t="s">
        <v>164</v>
      </c>
      <c r="F9" s="166" t="s">
        <v>83</v>
      </c>
      <c r="G9" s="169" t="s">
        <v>265</v>
      </c>
      <c r="H9" s="170">
        <v>2</v>
      </c>
      <c r="I9" s="170" t="s">
        <v>25</v>
      </c>
      <c r="J9" s="166"/>
      <c r="K9" s="92"/>
    </row>
    <row r="10" spans="1:11" ht="45" customHeight="1" x14ac:dyDescent="0.25">
      <c r="A10" s="166" t="s">
        <v>86</v>
      </c>
      <c r="B10" s="167" t="s">
        <v>168</v>
      </c>
      <c r="C10" s="167" t="s">
        <v>168</v>
      </c>
      <c r="D10" s="168" t="s">
        <v>79</v>
      </c>
      <c r="E10" s="169" t="s">
        <v>180</v>
      </c>
      <c r="F10" s="166" t="s">
        <v>100</v>
      </c>
      <c r="G10" s="169" t="s">
        <v>266</v>
      </c>
      <c r="H10" s="170">
        <v>2</v>
      </c>
      <c r="I10" s="170" t="s">
        <v>25</v>
      </c>
      <c r="J10" s="166"/>
      <c r="K10" s="92"/>
    </row>
    <row r="11" spans="1:11" ht="45" customHeight="1" x14ac:dyDescent="0.25">
      <c r="A11" s="166" t="s">
        <v>86</v>
      </c>
      <c r="B11" s="167" t="s">
        <v>168</v>
      </c>
      <c r="C11" s="167" t="s">
        <v>168</v>
      </c>
      <c r="D11" s="168" t="s">
        <v>81</v>
      </c>
      <c r="E11" s="169" t="s">
        <v>182</v>
      </c>
      <c r="F11" s="166" t="s">
        <v>101</v>
      </c>
      <c r="G11" s="169" t="s">
        <v>267</v>
      </c>
      <c r="H11" s="170">
        <v>2</v>
      </c>
      <c r="I11" s="170" t="s">
        <v>25</v>
      </c>
      <c r="J11" s="166"/>
    </row>
    <row r="12" spans="1:11" ht="45" customHeight="1" x14ac:dyDescent="0.25">
      <c r="A12" s="166" t="s">
        <v>86</v>
      </c>
      <c r="B12" s="167" t="s">
        <v>168</v>
      </c>
      <c r="C12" s="167" t="s">
        <v>168</v>
      </c>
      <c r="D12" s="168" t="s">
        <v>82</v>
      </c>
      <c r="E12" s="169" t="s">
        <v>183</v>
      </c>
      <c r="F12" s="166" t="s">
        <v>102</v>
      </c>
      <c r="G12" s="169" t="s">
        <v>268</v>
      </c>
      <c r="H12" s="170">
        <v>2</v>
      </c>
      <c r="I12" s="170" t="s">
        <v>25</v>
      </c>
      <c r="J12" s="166"/>
    </row>
    <row r="13" spans="1:11" ht="45" customHeight="1" x14ac:dyDescent="0.25">
      <c r="A13" s="166" t="s">
        <v>86</v>
      </c>
      <c r="B13" s="167" t="s">
        <v>168</v>
      </c>
      <c r="C13" s="167" t="s">
        <v>168</v>
      </c>
      <c r="D13" s="168" t="s">
        <v>113</v>
      </c>
      <c r="E13" s="169" t="s">
        <v>181</v>
      </c>
      <c r="F13" s="166" t="s">
        <v>192</v>
      </c>
      <c r="G13" s="169" t="s">
        <v>269</v>
      </c>
      <c r="H13" s="170">
        <v>2</v>
      </c>
      <c r="I13" s="170" t="s">
        <v>25</v>
      </c>
      <c r="J13" s="166"/>
    </row>
    <row r="14" spans="1:11" ht="45" customHeight="1" x14ac:dyDescent="0.25">
      <c r="A14" s="166" t="s">
        <v>86</v>
      </c>
      <c r="B14" s="167" t="s">
        <v>193</v>
      </c>
      <c r="C14" s="167" t="s">
        <v>193</v>
      </c>
      <c r="D14" s="168" t="s">
        <v>79</v>
      </c>
      <c r="E14" s="169" t="s">
        <v>194</v>
      </c>
      <c r="F14" s="166" t="s">
        <v>97</v>
      </c>
      <c r="G14" s="169" t="s">
        <v>270</v>
      </c>
      <c r="H14" s="170">
        <v>2</v>
      </c>
      <c r="I14" s="170" t="s">
        <v>25</v>
      </c>
      <c r="J14" s="166"/>
    </row>
    <row r="15" spans="1:11" ht="45" customHeight="1" x14ac:dyDescent="0.25">
      <c r="A15" s="166" t="s">
        <v>86</v>
      </c>
      <c r="B15" s="167" t="s">
        <v>193</v>
      </c>
      <c r="C15" s="167" t="s">
        <v>193</v>
      </c>
      <c r="D15" s="168" t="s">
        <v>81</v>
      </c>
      <c r="E15" s="169" t="s">
        <v>203</v>
      </c>
      <c r="F15" s="166" t="s">
        <v>98</v>
      </c>
      <c r="G15" s="169" t="s">
        <v>271</v>
      </c>
      <c r="H15" s="170">
        <v>2</v>
      </c>
      <c r="I15" s="170" t="s">
        <v>25</v>
      </c>
      <c r="J15" s="166"/>
    </row>
    <row r="16" spans="1:11" ht="45" customHeight="1" x14ac:dyDescent="0.25">
      <c r="A16" s="166" t="s">
        <v>86</v>
      </c>
      <c r="B16" s="167" t="s">
        <v>193</v>
      </c>
      <c r="C16" s="167" t="s">
        <v>193</v>
      </c>
      <c r="D16" s="168" t="s">
        <v>82</v>
      </c>
      <c r="E16" s="169" t="s">
        <v>207</v>
      </c>
      <c r="F16" s="166" t="s">
        <v>99</v>
      </c>
      <c r="G16" s="169" t="s">
        <v>272</v>
      </c>
      <c r="H16" s="170">
        <v>2</v>
      </c>
      <c r="I16" s="170" t="s">
        <v>25</v>
      </c>
      <c r="J16" s="166"/>
    </row>
    <row r="17" spans="1:10" ht="45" customHeight="1" x14ac:dyDescent="0.25">
      <c r="A17" s="166" t="s">
        <v>86</v>
      </c>
      <c r="B17" s="167" t="s">
        <v>193</v>
      </c>
      <c r="C17" s="167" t="s">
        <v>193</v>
      </c>
      <c r="D17" s="168" t="s">
        <v>113</v>
      </c>
      <c r="E17" s="169" t="s">
        <v>211</v>
      </c>
      <c r="F17" s="166" t="s">
        <v>206</v>
      </c>
      <c r="G17" s="169" t="s">
        <v>273</v>
      </c>
      <c r="H17" s="170">
        <v>2</v>
      </c>
      <c r="I17" s="170" t="s">
        <v>25</v>
      </c>
      <c r="J17" s="166"/>
    </row>
    <row r="18" spans="1:10" ht="45" customHeight="1" x14ac:dyDescent="0.25">
      <c r="A18" s="166" t="s">
        <v>86</v>
      </c>
      <c r="B18" s="167" t="s">
        <v>215</v>
      </c>
      <c r="C18" s="167" t="s">
        <v>215</v>
      </c>
      <c r="D18" s="168" t="s">
        <v>79</v>
      </c>
      <c r="E18" s="169" t="s">
        <v>216</v>
      </c>
      <c r="F18" s="166" t="s">
        <v>111</v>
      </c>
      <c r="G18" s="169" t="s">
        <v>274</v>
      </c>
      <c r="H18" s="170">
        <v>2</v>
      </c>
      <c r="I18" s="170" t="s">
        <v>25</v>
      </c>
      <c r="J18" s="166"/>
    </row>
    <row r="19" spans="1:10" ht="45" customHeight="1" x14ac:dyDescent="0.25">
      <c r="A19" s="166" t="s">
        <v>86</v>
      </c>
      <c r="B19" s="167" t="s">
        <v>215</v>
      </c>
      <c r="C19" s="167" t="s">
        <v>215</v>
      </c>
      <c r="D19" s="168" t="s">
        <v>81</v>
      </c>
      <c r="E19" s="169" t="s">
        <v>222</v>
      </c>
      <c r="F19" s="166" t="s">
        <v>112</v>
      </c>
      <c r="G19" s="169" t="s">
        <v>275</v>
      </c>
      <c r="H19" s="170">
        <v>2</v>
      </c>
      <c r="I19" s="170" t="s">
        <v>25</v>
      </c>
      <c r="J19" s="166"/>
    </row>
    <row r="20" spans="1:10" ht="60" customHeight="1" x14ac:dyDescent="0.25">
      <c r="A20" s="166" t="s">
        <v>86</v>
      </c>
      <c r="B20" s="167" t="s">
        <v>229</v>
      </c>
      <c r="C20" s="167" t="s">
        <v>229</v>
      </c>
      <c r="D20" s="168" t="s">
        <v>79</v>
      </c>
      <c r="E20" s="169" t="s">
        <v>236</v>
      </c>
      <c r="F20" s="166" t="s">
        <v>230</v>
      </c>
      <c r="G20" s="169" t="s">
        <v>276</v>
      </c>
      <c r="H20" s="170">
        <v>2</v>
      </c>
      <c r="I20" s="170" t="s">
        <v>25</v>
      </c>
      <c r="J20" s="166"/>
    </row>
    <row r="21" spans="1:10" ht="60" customHeight="1" x14ac:dyDescent="0.25">
      <c r="A21" s="166" t="s">
        <v>86</v>
      </c>
      <c r="B21" s="167" t="s">
        <v>229</v>
      </c>
      <c r="C21" s="167" t="s">
        <v>229</v>
      </c>
      <c r="D21" s="168" t="s">
        <v>81</v>
      </c>
      <c r="E21" s="169" t="s">
        <v>238</v>
      </c>
      <c r="F21" s="166" t="s">
        <v>237</v>
      </c>
      <c r="G21" s="169" t="s">
        <v>277</v>
      </c>
      <c r="H21" s="170">
        <v>2</v>
      </c>
      <c r="I21" s="170" t="s">
        <v>25</v>
      </c>
      <c r="J21" s="166"/>
    </row>
    <row r="22" spans="1:10" ht="30" customHeight="1" x14ac:dyDescent="0.25">
      <c r="A22" s="166" t="s">
        <v>86</v>
      </c>
      <c r="B22" s="167" t="s">
        <v>244</v>
      </c>
      <c r="C22" s="167" t="s">
        <v>244</v>
      </c>
      <c r="D22" s="168" t="s">
        <v>79</v>
      </c>
      <c r="E22" s="169" t="s">
        <v>246</v>
      </c>
      <c r="F22" s="166" t="s">
        <v>245</v>
      </c>
      <c r="G22" s="169" t="s">
        <v>278</v>
      </c>
      <c r="H22" s="170">
        <v>2</v>
      </c>
      <c r="I22" s="170" t="s">
        <v>25</v>
      </c>
      <c r="J22" s="166"/>
    </row>
    <row r="23" spans="1:10" ht="30" customHeight="1" x14ac:dyDescent="0.25">
      <c r="A23" s="166" t="s">
        <v>86</v>
      </c>
      <c r="B23" s="167" t="s">
        <v>250</v>
      </c>
      <c r="C23" s="167" t="s">
        <v>250</v>
      </c>
      <c r="D23" s="168" t="s">
        <v>79</v>
      </c>
      <c r="E23" s="169" t="s">
        <v>252</v>
      </c>
      <c r="F23" s="166" t="s">
        <v>251</v>
      </c>
      <c r="G23" s="169" t="s">
        <v>262</v>
      </c>
      <c r="H23" s="170">
        <v>2</v>
      </c>
      <c r="I23" s="170" t="s">
        <v>25</v>
      </c>
      <c r="J23" s="166"/>
    </row>
    <row r="24" spans="1:10" ht="30" customHeight="1" x14ac:dyDescent="0.25">
      <c r="A24" s="166" t="s">
        <v>86</v>
      </c>
      <c r="B24" s="167" t="s">
        <v>260</v>
      </c>
      <c r="C24" s="167" t="s">
        <v>260</v>
      </c>
      <c r="D24" s="168" t="s">
        <v>79</v>
      </c>
      <c r="E24" s="169" t="s">
        <v>279</v>
      </c>
      <c r="F24" s="166" t="s">
        <v>261</v>
      </c>
      <c r="G24" s="169" t="s">
        <v>280</v>
      </c>
      <c r="H24" s="170">
        <v>2</v>
      </c>
      <c r="I24" s="170" t="s">
        <v>25</v>
      </c>
      <c r="J24" s="166"/>
    </row>
  </sheetData>
  <mergeCells count="4">
    <mergeCell ref="C1:J1"/>
    <mergeCell ref="C2:J2"/>
    <mergeCell ref="A1:B1"/>
    <mergeCell ref="A2:B2"/>
  </mergeCells>
  <phoneticPr fontId="21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3"/>
  <sheetViews>
    <sheetView zoomScale="90" zoomScaleNormal="90" workbookViewId="0">
      <selection sqref="A1:XFD1048576"/>
    </sheetView>
  </sheetViews>
  <sheetFormatPr defaultColWidth="9.140625" defaultRowHeight="15" x14ac:dyDescent="0.25"/>
  <cols>
    <col min="1" max="1" width="23.140625" style="40" bestFit="1" customWidth="1"/>
    <col min="2" max="2" width="10.42578125" style="40" customWidth="1"/>
    <col min="3" max="3" width="20.85546875" style="40" customWidth="1"/>
    <col min="4" max="4" width="46.140625" style="40" customWidth="1"/>
    <col min="5" max="5" width="30.140625" style="40" customWidth="1"/>
    <col min="6" max="6" width="51.140625" style="40" customWidth="1"/>
    <col min="7" max="7" width="9.140625" style="40" customWidth="1"/>
    <col min="8" max="8" width="11.5703125" style="40" customWidth="1"/>
    <col min="9" max="9" width="44.28515625" style="40" bestFit="1" customWidth="1"/>
    <col min="10" max="10" width="9.140625" style="40"/>
    <col min="11" max="11" width="25.85546875" style="40" bestFit="1" customWidth="1"/>
    <col min="12" max="16384" width="9.140625" style="40"/>
  </cols>
  <sheetData>
    <row r="1" spans="1:7" ht="27.75" customHeight="1" x14ac:dyDescent="0.25">
      <c r="A1" s="82" t="s">
        <v>4</v>
      </c>
      <c r="B1" s="108"/>
      <c r="C1" s="109"/>
      <c r="D1" s="84" t="str">
        <f>Copertina!B7</f>
        <v>MEV 2023_13_PST_PagoPA</v>
      </c>
      <c r="E1" s="84"/>
      <c r="F1" s="84"/>
      <c r="G1" s="84"/>
    </row>
    <row r="2" spans="1:7" ht="32.25" customHeight="1" thickBot="1" x14ac:dyDescent="0.3">
      <c r="A2" s="110" t="s">
        <v>12</v>
      </c>
      <c r="B2" s="111"/>
      <c r="C2" s="112"/>
      <c r="D2" s="84" t="str">
        <f>Copertina!B3</f>
        <v>SIUT-SIES-CT-1.0-20230327-Allegato_al_piano_Test_2023_13_PST_PagoPA</v>
      </c>
      <c r="E2" s="84"/>
      <c r="F2" s="84"/>
      <c r="G2" s="84"/>
    </row>
    <row r="3" spans="1:7" ht="30.75" customHeight="1" x14ac:dyDescent="0.25">
      <c r="A3" s="113" t="s">
        <v>13</v>
      </c>
      <c r="B3" s="114" t="s">
        <v>28</v>
      </c>
      <c r="C3" s="115"/>
      <c r="D3" s="114" t="s">
        <v>30</v>
      </c>
      <c r="E3" s="115"/>
      <c r="F3" s="114" t="s">
        <v>29</v>
      </c>
      <c r="G3" s="115"/>
    </row>
    <row r="4" spans="1:7" ht="45" customHeight="1" thickBot="1" x14ac:dyDescent="0.3">
      <c r="A4" s="116" t="str">
        <f>TabellaTest!F4</f>
        <v>TF001.UC01</v>
      </c>
      <c r="B4" s="117" t="str">
        <f>TabellaTest!C4</f>
        <v>PAR. 2.2-013-01</v>
      </c>
      <c r="C4" s="118"/>
      <c r="D4" s="119" t="str">
        <f>TabellaTest!E4</f>
        <v>Verifica inserimento pena complessiva in SIEP</v>
      </c>
      <c r="E4" s="120"/>
      <c r="F4" s="119" t="str">
        <f>TabellaTest!G4</f>
        <v>Verifica: Verificare che nel sottosistema SIEP nella iscrizione della pena complessiva siaano gestite le Pene Sostitutive delle Pene Detentive Brevi</v>
      </c>
      <c r="G4" s="121"/>
    </row>
    <row r="5" spans="1:7" ht="30" customHeight="1" x14ac:dyDescent="0.25">
      <c r="A5" s="54"/>
      <c r="B5" s="122" t="s">
        <v>34</v>
      </c>
      <c r="C5" s="123" t="s">
        <v>35</v>
      </c>
      <c r="D5" s="38" t="s">
        <v>36</v>
      </c>
      <c r="E5" s="38" t="s">
        <v>37</v>
      </c>
      <c r="F5" s="38" t="s">
        <v>38</v>
      </c>
      <c r="G5" s="39" t="s">
        <v>11</v>
      </c>
    </row>
    <row r="6" spans="1:7" ht="30" customHeight="1" x14ac:dyDescent="0.25">
      <c r="A6" s="53"/>
      <c r="B6" s="124" t="s">
        <v>39</v>
      </c>
      <c r="C6" s="125" t="s">
        <v>40</v>
      </c>
      <c r="D6" s="126" t="s">
        <v>117</v>
      </c>
      <c r="E6" s="126" t="s">
        <v>118</v>
      </c>
      <c r="F6" s="126"/>
      <c r="G6" s="127"/>
    </row>
    <row r="7" spans="1:7" ht="45" customHeight="1" x14ac:dyDescent="0.25">
      <c r="A7" s="53"/>
      <c r="B7" s="124" t="s">
        <v>39</v>
      </c>
      <c r="C7" s="125" t="s">
        <v>41</v>
      </c>
      <c r="D7" s="126" t="s">
        <v>119</v>
      </c>
      <c r="E7" s="126"/>
      <c r="F7" s="105"/>
      <c r="G7" s="127"/>
    </row>
    <row r="8" spans="1:7" ht="30" customHeight="1" x14ac:dyDescent="0.25">
      <c r="A8" s="53"/>
      <c r="B8" s="128">
        <v>1</v>
      </c>
      <c r="C8" s="129" t="s">
        <v>42</v>
      </c>
      <c r="D8" s="130" t="s">
        <v>120</v>
      </c>
      <c r="E8" s="131"/>
      <c r="F8" s="126" t="s">
        <v>281</v>
      </c>
      <c r="G8" s="127"/>
    </row>
    <row r="9" spans="1:7" ht="45" customHeight="1" x14ac:dyDescent="0.25">
      <c r="A9" s="53"/>
      <c r="B9" s="132" t="s">
        <v>90</v>
      </c>
      <c r="C9" s="133" t="s">
        <v>91</v>
      </c>
      <c r="D9" s="126" t="s">
        <v>121</v>
      </c>
      <c r="E9" s="105"/>
      <c r="F9" s="126"/>
      <c r="G9" s="127" t="s">
        <v>50</v>
      </c>
    </row>
    <row r="10" spans="1:7" ht="30" customHeight="1" x14ac:dyDescent="0.25">
      <c r="A10" s="53"/>
      <c r="B10" s="134" t="s">
        <v>88</v>
      </c>
      <c r="C10" s="135" t="s">
        <v>43</v>
      </c>
      <c r="D10" s="126" t="s">
        <v>122</v>
      </c>
      <c r="E10" s="131"/>
      <c r="F10" s="126" t="s">
        <v>123</v>
      </c>
      <c r="G10" s="127"/>
    </row>
    <row r="11" spans="1:7" ht="75" customHeight="1" x14ac:dyDescent="0.25">
      <c r="A11" s="53"/>
      <c r="B11" s="132" t="s">
        <v>90</v>
      </c>
      <c r="C11" s="133" t="s">
        <v>91</v>
      </c>
      <c r="D11" s="126" t="s">
        <v>124</v>
      </c>
      <c r="E11" s="105"/>
      <c r="F11" s="126"/>
      <c r="G11" s="127" t="s">
        <v>50</v>
      </c>
    </row>
    <row r="12" spans="1:7" ht="30" customHeight="1" x14ac:dyDescent="0.25">
      <c r="A12" s="53"/>
      <c r="B12" s="136" t="s">
        <v>89</v>
      </c>
      <c r="C12" s="137" t="s">
        <v>43</v>
      </c>
      <c r="D12" s="126" t="s">
        <v>125</v>
      </c>
      <c r="E12" s="126"/>
      <c r="F12" s="126" t="s">
        <v>282</v>
      </c>
      <c r="G12" s="127"/>
    </row>
    <row r="13" spans="1:7" ht="120" customHeight="1" x14ac:dyDescent="0.25">
      <c r="A13" s="53"/>
      <c r="B13" s="132" t="s">
        <v>90</v>
      </c>
      <c r="C13" s="133" t="s">
        <v>91</v>
      </c>
      <c r="D13" s="126" t="s">
        <v>126</v>
      </c>
      <c r="E13" s="105"/>
      <c r="F13" s="126"/>
      <c r="G13" s="127" t="s">
        <v>50</v>
      </c>
    </row>
    <row r="14" spans="1:7" ht="15" customHeight="1" x14ac:dyDescent="0.25">
      <c r="A14" s="53"/>
      <c r="B14" s="136" t="s">
        <v>93</v>
      </c>
      <c r="C14" s="137" t="s">
        <v>43</v>
      </c>
      <c r="D14" s="138" t="s">
        <v>127</v>
      </c>
      <c r="E14" s="138"/>
      <c r="F14" s="138" t="s">
        <v>128</v>
      </c>
      <c r="G14" s="139"/>
    </row>
    <row r="15" spans="1:7" ht="45" customHeight="1" thickBot="1" x14ac:dyDescent="0.3">
      <c r="A15" s="53"/>
      <c r="B15" s="140" t="s">
        <v>90</v>
      </c>
      <c r="C15" s="141" t="s">
        <v>91</v>
      </c>
      <c r="D15" s="142" t="s">
        <v>129</v>
      </c>
      <c r="E15" s="142"/>
      <c r="F15" s="142"/>
      <c r="G15" s="127" t="s">
        <v>50</v>
      </c>
    </row>
    <row r="16" spans="1:7" ht="45" customHeight="1" thickBot="1" x14ac:dyDescent="0.3">
      <c r="A16" s="143" t="str">
        <f>TabellaTest!F5</f>
        <v>TF001.UC02</v>
      </c>
      <c r="B16" s="144" t="str">
        <f>TabellaTest!C5</f>
        <v>PAR. 2.2-013-01</v>
      </c>
      <c r="C16" s="145"/>
      <c r="D16" s="146" t="str">
        <f>TabellaTest!E5</f>
        <v>Verifica modifica pena complessiva in SIEP</v>
      </c>
      <c r="E16" s="147"/>
      <c r="F16" s="146" t="str">
        <f>TabellaTest!G5</f>
        <v>Verifica: Verificare che nel sottosistema SIEP nella modifica della pena complessiva siaano gestite le Pene Sostitutive delle Pene Detentive Brevi</v>
      </c>
      <c r="G16" s="148"/>
    </row>
    <row r="17" spans="1:7" ht="30" x14ac:dyDescent="0.25">
      <c r="A17" s="49"/>
      <c r="B17" s="45" t="s">
        <v>34</v>
      </c>
      <c r="C17" s="42" t="s">
        <v>35</v>
      </c>
      <c r="D17" s="38" t="s">
        <v>36</v>
      </c>
      <c r="E17" s="38" t="s">
        <v>37</v>
      </c>
      <c r="F17" s="38" t="s">
        <v>38</v>
      </c>
      <c r="G17" s="39" t="s">
        <v>11</v>
      </c>
    </row>
    <row r="18" spans="1:7" ht="51.75" customHeight="1" x14ac:dyDescent="0.25">
      <c r="A18" s="48"/>
      <c r="B18" s="149" t="s">
        <v>39</v>
      </c>
      <c r="C18" s="125" t="s">
        <v>40</v>
      </c>
      <c r="D18" s="126" t="s">
        <v>117</v>
      </c>
      <c r="E18" s="126" t="s">
        <v>118</v>
      </c>
      <c r="F18" s="126"/>
      <c r="G18" s="127"/>
    </row>
    <row r="19" spans="1:7" ht="39.75" customHeight="1" x14ac:dyDescent="0.25">
      <c r="A19" s="48"/>
      <c r="B19" s="149" t="s">
        <v>39</v>
      </c>
      <c r="C19" s="125" t="s">
        <v>41</v>
      </c>
      <c r="D19" s="126" t="s">
        <v>131</v>
      </c>
      <c r="E19" s="126"/>
      <c r="F19" s="105"/>
      <c r="G19" s="127"/>
    </row>
    <row r="20" spans="1:7" ht="37.5" customHeight="1" x14ac:dyDescent="0.25">
      <c r="A20" s="48"/>
      <c r="B20" s="128">
        <v>1</v>
      </c>
      <c r="C20" s="129" t="s">
        <v>42</v>
      </c>
      <c r="D20" s="130" t="s">
        <v>151</v>
      </c>
      <c r="E20" s="131"/>
      <c r="F20" s="126" t="s">
        <v>283</v>
      </c>
      <c r="G20" s="127"/>
    </row>
    <row r="21" spans="1:7" ht="45.75" customHeight="1" x14ac:dyDescent="0.25">
      <c r="A21" s="48"/>
      <c r="B21" s="134" t="s">
        <v>88</v>
      </c>
      <c r="C21" s="135" t="s">
        <v>43</v>
      </c>
      <c r="D21" s="126" t="s">
        <v>132</v>
      </c>
      <c r="E21" s="131"/>
      <c r="F21" s="126" t="s">
        <v>284</v>
      </c>
      <c r="G21" s="127"/>
    </row>
    <row r="22" spans="1:7" ht="48" customHeight="1" x14ac:dyDescent="0.25">
      <c r="A22" s="48"/>
      <c r="B22" s="132" t="s">
        <v>90</v>
      </c>
      <c r="C22" s="133" t="s">
        <v>91</v>
      </c>
      <c r="D22" s="126" t="s">
        <v>141</v>
      </c>
      <c r="E22" s="105"/>
      <c r="F22" s="126"/>
      <c r="G22" s="127" t="s">
        <v>50</v>
      </c>
    </row>
    <row r="23" spans="1:7" ht="45.75" customHeight="1" x14ac:dyDescent="0.25">
      <c r="A23" s="48"/>
      <c r="B23" s="134" t="s">
        <v>89</v>
      </c>
      <c r="C23" s="135" t="s">
        <v>43</v>
      </c>
      <c r="D23" s="126" t="s">
        <v>146</v>
      </c>
      <c r="E23" s="131"/>
      <c r="F23" s="126" t="s">
        <v>285</v>
      </c>
      <c r="G23" s="127"/>
    </row>
    <row r="24" spans="1:7" ht="48.75" customHeight="1" x14ac:dyDescent="0.25">
      <c r="A24" s="48"/>
      <c r="B24" s="132" t="s">
        <v>90</v>
      </c>
      <c r="C24" s="133" t="s">
        <v>91</v>
      </c>
      <c r="D24" s="126" t="s">
        <v>153</v>
      </c>
      <c r="E24" s="105"/>
      <c r="F24" s="126"/>
      <c r="G24" s="127" t="s">
        <v>50</v>
      </c>
    </row>
    <row r="25" spans="1:7" ht="36" customHeight="1" x14ac:dyDescent="0.25">
      <c r="A25" s="48"/>
      <c r="B25" s="136" t="s">
        <v>92</v>
      </c>
      <c r="C25" s="137" t="s">
        <v>43</v>
      </c>
      <c r="D25" s="126" t="s">
        <v>133</v>
      </c>
      <c r="E25" s="126"/>
      <c r="F25" s="126" t="s">
        <v>134</v>
      </c>
      <c r="G25" s="127"/>
    </row>
    <row r="26" spans="1:7" ht="45" customHeight="1" thickBot="1" x14ac:dyDescent="0.3">
      <c r="A26" s="48"/>
      <c r="B26" s="132" t="s">
        <v>90</v>
      </c>
      <c r="C26" s="133" t="s">
        <v>91</v>
      </c>
      <c r="D26" s="126" t="s">
        <v>179</v>
      </c>
      <c r="E26" s="105"/>
      <c r="F26" s="126"/>
      <c r="G26" s="127" t="s">
        <v>50</v>
      </c>
    </row>
    <row r="27" spans="1:7" ht="43.5" customHeight="1" thickBot="1" x14ac:dyDescent="0.3">
      <c r="A27" s="143" t="str">
        <f>TabellaTest!F6</f>
        <v>TF001.UC03</v>
      </c>
      <c r="B27" s="144" t="str">
        <f>TabellaTest!C6</f>
        <v>PAR. 2.2-013-01</v>
      </c>
      <c r="C27" s="145"/>
      <c r="D27" s="146" t="str">
        <f>TabellaTest!E6</f>
        <v>Verifica cancellazione pena complessiva in SIEP</v>
      </c>
      <c r="E27" s="147"/>
      <c r="F27" s="146" t="str">
        <f>TabellaTest!G6</f>
        <v>Verifica: Verificare che nel sottosistema SIEP nella cancellazione della pena complessiva siaano gestite le Pene Sostitutive delle Pene Detentive Brevi</v>
      </c>
      <c r="G27" s="148"/>
    </row>
    <row r="28" spans="1:7" ht="41.25" customHeight="1" x14ac:dyDescent="0.25">
      <c r="A28" s="49"/>
      <c r="B28" s="41" t="s">
        <v>34</v>
      </c>
      <c r="C28" s="42" t="s">
        <v>35</v>
      </c>
      <c r="D28" s="38" t="s">
        <v>36</v>
      </c>
      <c r="E28" s="38" t="s">
        <v>37</v>
      </c>
      <c r="F28" s="38" t="s">
        <v>38</v>
      </c>
      <c r="G28" s="39" t="s">
        <v>11</v>
      </c>
    </row>
    <row r="29" spans="1:7" ht="45.75" customHeight="1" x14ac:dyDescent="0.25">
      <c r="A29" s="48"/>
      <c r="B29" s="124" t="s">
        <v>39</v>
      </c>
      <c r="C29" s="125" t="s">
        <v>40</v>
      </c>
      <c r="D29" s="126" t="s">
        <v>117</v>
      </c>
      <c r="E29" s="126" t="s">
        <v>118</v>
      </c>
      <c r="F29" s="126"/>
      <c r="G29" s="127"/>
    </row>
    <row r="30" spans="1:7" ht="47.25" customHeight="1" x14ac:dyDescent="0.25">
      <c r="A30" s="48"/>
      <c r="B30" s="124" t="s">
        <v>39</v>
      </c>
      <c r="C30" s="125" t="s">
        <v>41</v>
      </c>
      <c r="D30" s="126" t="s">
        <v>139</v>
      </c>
      <c r="E30" s="126"/>
      <c r="F30" s="105"/>
      <c r="G30" s="127"/>
    </row>
    <row r="31" spans="1:7" ht="39.75" customHeight="1" x14ac:dyDescent="0.25">
      <c r="A31" s="48"/>
      <c r="B31" s="134" t="s">
        <v>87</v>
      </c>
      <c r="C31" s="135" t="s">
        <v>43</v>
      </c>
      <c r="D31" s="126" t="s">
        <v>140</v>
      </c>
      <c r="E31" s="131"/>
      <c r="F31" s="126" t="s">
        <v>286</v>
      </c>
      <c r="G31" s="127"/>
    </row>
    <row r="32" spans="1:7" ht="48" customHeight="1" x14ac:dyDescent="0.25">
      <c r="A32" s="48"/>
      <c r="B32" s="132" t="s">
        <v>90</v>
      </c>
      <c r="C32" s="133" t="s">
        <v>91</v>
      </c>
      <c r="D32" s="126" t="s">
        <v>141</v>
      </c>
      <c r="E32" s="105"/>
      <c r="F32" s="126"/>
      <c r="G32" s="127" t="s">
        <v>50</v>
      </c>
    </row>
    <row r="33" spans="1:7" ht="33.75" customHeight="1" x14ac:dyDescent="0.25">
      <c r="A33" s="48"/>
      <c r="B33" s="136" t="s">
        <v>88</v>
      </c>
      <c r="C33" s="137" t="s">
        <v>43</v>
      </c>
      <c r="D33" s="126" t="s">
        <v>140</v>
      </c>
      <c r="E33" s="126"/>
      <c r="F33" s="126" t="s">
        <v>142</v>
      </c>
      <c r="G33" s="127"/>
    </row>
    <row r="34" spans="1:7" ht="43.5" customHeight="1" x14ac:dyDescent="0.25">
      <c r="A34" s="48"/>
      <c r="B34" s="136" t="s">
        <v>89</v>
      </c>
      <c r="C34" s="137" t="s">
        <v>43</v>
      </c>
      <c r="D34" s="138" t="s">
        <v>143</v>
      </c>
      <c r="E34" s="138"/>
      <c r="F34" s="138" t="s">
        <v>144</v>
      </c>
      <c r="G34" s="139"/>
    </row>
    <row r="35" spans="1:7" ht="54" customHeight="1" thickBot="1" x14ac:dyDescent="0.3">
      <c r="A35" s="48"/>
      <c r="B35" s="140" t="s">
        <v>90</v>
      </c>
      <c r="C35" s="141" t="s">
        <v>91</v>
      </c>
      <c r="D35" s="142" t="s">
        <v>145</v>
      </c>
      <c r="E35" s="142"/>
      <c r="F35" s="142"/>
      <c r="G35" s="127" t="s">
        <v>50</v>
      </c>
    </row>
    <row r="36" spans="1:7" ht="42.75" customHeight="1" thickBot="1" x14ac:dyDescent="0.3">
      <c r="A36" s="143" t="str">
        <f>TabellaTest!F7</f>
        <v>TF002.UC01</v>
      </c>
      <c r="B36" s="144" t="str">
        <f>TabellaTest!C7</f>
        <v>PAR. 2.3-013-01</v>
      </c>
      <c r="C36" s="145"/>
      <c r="D36" s="146" t="str">
        <f>TabellaTest!E7</f>
        <v>Verifica inserimento modalità di pagamento pena pecuniaria in SIEP</v>
      </c>
      <c r="E36" s="147"/>
      <c r="F36" s="146" t="str">
        <f>TabellaTest!G7</f>
        <v>Verifica: Verificare nel sottosistema SIEP l'utilizzo della funzione inserimento modalità di pagamento pena pecuniaria</v>
      </c>
      <c r="G36" s="148"/>
    </row>
    <row r="37" spans="1:7" ht="30" x14ac:dyDescent="0.25">
      <c r="A37" s="54"/>
      <c r="B37" s="46" t="s">
        <v>34</v>
      </c>
      <c r="C37" s="43" t="s">
        <v>35</v>
      </c>
      <c r="D37" s="43" t="s">
        <v>36</v>
      </c>
      <c r="E37" s="43" t="s">
        <v>37</v>
      </c>
      <c r="F37" s="43" t="s">
        <v>38</v>
      </c>
      <c r="G37" s="44" t="s">
        <v>11</v>
      </c>
    </row>
    <row r="38" spans="1:7" ht="44.25" customHeight="1" x14ac:dyDescent="0.25">
      <c r="A38" s="53"/>
      <c r="B38" s="149" t="s">
        <v>39</v>
      </c>
      <c r="C38" s="125" t="s">
        <v>40</v>
      </c>
      <c r="D38" s="126" t="s">
        <v>117</v>
      </c>
      <c r="E38" s="126" t="s">
        <v>118</v>
      </c>
      <c r="F38" s="126"/>
      <c r="G38" s="127"/>
    </row>
    <row r="39" spans="1:7" ht="43.5" customHeight="1" x14ac:dyDescent="0.25">
      <c r="A39" s="53"/>
      <c r="B39" s="149" t="s">
        <v>39</v>
      </c>
      <c r="C39" s="125" t="s">
        <v>41</v>
      </c>
      <c r="D39" s="126" t="s">
        <v>150</v>
      </c>
      <c r="E39" s="126"/>
      <c r="F39" s="105"/>
      <c r="G39" s="127"/>
    </row>
    <row r="40" spans="1:7" ht="37.5" customHeight="1" x14ac:dyDescent="0.25">
      <c r="A40" s="53"/>
      <c r="B40" s="150">
        <v>1</v>
      </c>
      <c r="C40" s="129" t="s">
        <v>42</v>
      </c>
      <c r="D40" s="130" t="s">
        <v>152</v>
      </c>
      <c r="E40" s="131"/>
      <c r="F40" s="126" t="s">
        <v>287</v>
      </c>
      <c r="G40" s="127"/>
    </row>
    <row r="41" spans="1:7" ht="75.75" thickBot="1" x14ac:dyDescent="0.3">
      <c r="A41" s="53"/>
      <c r="B41" s="140" t="s">
        <v>90</v>
      </c>
      <c r="C41" s="141" t="s">
        <v>91</v>
      </c>
      <c r="D41" s="142" t="s">
        <v>154</v>
      </c>
      <c r="E41" s="106"/>
      <c r="F41" s="142"/>
      <c r="G41" s="151" t="s">
        <v>50</v>
      </c>
    </row>
    <row r="42" spans="1:7" ht="42" customHeight="1" x14ac:dyDescent="0.25">
      <c r="A42" s="53"/>
      <c r="B42" s="134" t="s">
        <v>88</v>
      </c>
      <c r="C42" s="135" t="s">
        <v>43</v>
      </c>
      <c r="D42" s="126" t="s">
        <v>155</v>
      </c>
      <c r="E42" s="131"/>
      <c r="F42" s="126" t="s">
        <v>288</v>
      </c>
      <c r="G42" s="127"/>
    </row>
    <row r="43" spans="1:7" ht="45.75" thickBot="1" x14ac:dyDescent="0.3">
      <c r="A43" s="53"/>
      <c r="B43" s="140" t="s">
        <v>90</v>
      </c>
      <c r="C43" s="141" t="s">
        <v>91</v>
      </c>
      <c r="D43" s="142" t="s">
        <v>178</v>
      </c>
      <c r="E43" s="106"/>
      <c r="F43" s="142"/>
      <c r="G43" s="151" t="s">
        <v>50</v>
      </c>
    </row>
    <row r="44" spans="1:7" ht="35.25" customHeight="1" x14ac:dyDescent="0.25">
      <c r="A44" s="53"/>
      <c r="B44" s="152" t="s">
        <v>108</v>
      </c>
      <c r="C44" s="153" t="s">
        <v>109</v>
      </c>
      <c r="D44" s="138" t="s">
        <v>156</v>
      </c>
      <c r="E44" s="107"/>
      <c r="F44" s="126"/>
      <c r="G44" s="139"/>
    </row>
    <row r="45" spans="1:7" ht="45" customHeight="1" x14ac:dyDescent="0.25">
      <c r="A45" s="53"/>
      <c r="B45" s="134" t="s">
        <v>89</v>
      </c>
      <c r="C45" s="135" t="s">
        <v>43</v>
      </c>
      <c r="D45" s="126" t="s">
        <v>157</v>
      </c>
      <c r="E45" s="131"/>
      <c r="F45" s="126" t="s">
        <v>288</v>
      </c>
      <c r="G45" s="127"/>
    </row>
    <row r="46" spans="1:7" ht="60.75" thickBot="1" x14ac:dyDescent="0.3">
      <c r="A46" s="53"/>
      <c r="B46" s="140" t="s">
        <v>90</v>
      </c>
      <c r="C46" s="141" t="s">
        <v>91</v>
      </c>
      <c r="D46" s="142" t="s">
        <v>177</v>
      </c>
      <c r="E46" s="106"/>
      <c r="F46" s="142"/>
      <c r="G46" s="151" t="s">
        <v>50</v>
      </c>
    </row>
    <row r="47" spans="1:7" ht="42.75" customHeight="1" thickBot="1" x14ac:dyDescent="0.3">
      <c r="A47" s="143" t="str">
        <f>TabellaTest!F8</f>
        <v>TF002.UC02</v>
      </c>
      <c r="B47" s="144" t="str">
        <f>TabellaTest!C8</f>
        <v>PAR. 2.3-013-01</v>
      </c>
      <c r="C47" s="145"/>
      <c r="D47" s="146" t="str">
        <f>TabellaTest!E8</f>
        <v>Verifica modifica modalità di pagamento pena pecuniaria in SIEP</v>
      </c>
      <c r="E47" s="147"/>
      <c r="F47" s="146" t="str">
        <f>TabellaTest!G8</f>
        <v>Verifica: Verificare nel sottosistema SIEP l'utilizzo della funzione modifica modalità di pagamento pena pecuniaria</v>
      </c>
      <c r="G47" s="148"/>
    </row>
    <row r="48" spans="1:7" ht="30" x14ac:dyDescent="0.25">
      <c r="A48" s="53"/>
      <c r="B48" s="41" t="s">
        <v>34</v>
      </c>
      <c r="C48" s="42" t="s">
        <v>35</v>
      </c>
      <c r="D48" s="38" t="s">
        <v>36</v>
      </c>
      <c r="E48" s="38" t="s">
        <v>37</v>
      </c>
      <c r="F48" s="38" t="s">
        <v>38</v>
      </c>
      <c r="G48" s="39" t="s">
        <v>11</v>
      </c>
    </row>
    <row r="49" spans="1:7" ht="49.5" customHeight="1" x14ac:dyDescent="0.25">
      <c r="A49" s="53"/>
      <c r="B49" s="124" t="s">
        <v>39</v>
      </c>
      <c r="C49" s="125" t="s">
        <v>40</v>
      </c>
      <c r="D49" s="126" t="s">
        <v>106</v>
      </c>
      <c r="E49" s="126" t="s">
        <v>107</v>
      </c>
      <c r="F49" s="126"/>
      <c r="G49" s="127"/>
    </row>
    <row r="50" spans="1:7" ht="42.75" customHeight="1" x14ac:dyDescent="0.25">
      <c r="A50" s="53"/>
      <c r="B50" s="124" t="s">
        <v>39</v>
      </c>
      <c r="C50" s="125" t="s">
        <v>41</v>
      </c>
      <c r="D50" s="126" t="s">
        <v>159</v>
      </c>
      <c r="E50" s="126"/>
      <c r="F50" s="105"/>
      <c r="G50" s="127"/>
    </row>
    <row r="51" spans="1:7" ht="40.5" customHeight="1" x14ac:dyDescent="0.25">
      <c r="A51" s="53"/>
      <c r="B51" s="134" t="s">
        <v>87</v>
      </c>
      <c r="C51" s="135" t="s">
        <v>43</v>
      </c>
      <c r="D51" s="126" t="s">
        <v>132</v>
      </c>
      <c r="E51" s="131"/>
      <c r="F51" s="126" t="s">
        <v>289</v>
      </c>
      <c r="G51" s="127"/>
    </row>
    <row r="52" spans="1:7" ht="45.75" customHeight="1" x14ac:dyDescent="0.25">
      <c r="A52" s="53"/>
      <c r="B52" s="134" t="s">
        <v>88</v>
      </c>
      <c r="C52" s="135" t="s">
        <v>43</v>
      </c>
      <c r="D52" s="126" t="s">
        <v>160</v>
      </c>
      <c r="E52" s="126"/>
      <c r="F52" s="126" t="s">
        <v>161</v>
      </c>
      <c r="G52" s="127"/>
    </row>
    <row r="53" spans="1:7" ht="36" customHeight="1" x14ac:dyDescent="0.25">
      <c r="A53" s="53"/>
      <c r="B53" s="134" t="s">
        <v>89</v>
      </c>
      <c r="C53" s="135" t="s">
        <v>43</v>
      </c>
      <c r="D53" s="126" t="s">
        <v>162</v>
      </c>
      <c r="E53" s="126"/>
      <c r="F53" s="126" t="s">
        <v>163</v>
      </c>
      <c r="G53" s="127"/>
    </row>
    <row r="54" spans="1:7" ht="60.75" thickBot="1" x14ac:dyDescent="0.3">
      <c r="A54" s="55"/>
      <c r="B54" s="154" t="s">
        <v>90</v>
      </c>
      <c r="C54" s="141" t="s">
        <v>91</v>
      </c>
      <c r="D54" s="142" t="s">
        <v>177</v>
      </c>
      <c r="E54" s="106"/>
      <c r="F54" s="142"/>
      <c r="G54" s="151" t="s">
        <v>50</v>
      </c>
    </row>
    <row r="55" spans="1:7" ht="45.75" customHeight="1" thickBot="1" x14ac:dyDescent="0.3">
      <c r="A55" s="143" t="str">
        <f>TabellaTest!F9</f>
        <v>TF002.UC03</v>
      </c>
      <c r="B55" s="155" t="str">
        <f>TabellaTest!C9</f>
        <v>PAR. 2.3-013-01</v>
      </c>
      <c r="C55" s="145"/>
      <c r="D55" s="146" t="str">
        <f>TabellaTest!E9</f>
        <v>Verifica cancellazione modalità di pagamento pena pecuniaria in SIEP</v>
      </c>
      <c r="E55" s="147"/>
      <c r="F55" s="146" t="str">
        <f>TabellaTest!G9</f>
        <v>Verifica: Verificare nel sottosistema SIEP l'utilizzo della funzione cancellazione modalità di pagamento pena pecuniaria</v>
      </c>
      <c r="G55" s="148"/>
    </row>
    <row r="56" spans="1:7" ht="30" x14ac:dyDescent="0.25">
      <c r="A56" s="48"/>
      <c r="B56" s="41" t="s">
        <v>34</v>
      </c>
      <c r="C56" s="42" t="s">
        <v>35</v>
      </c>
      <c r="D56" s="38" t="s">
        <v>36</v>
      </c>
      <c r="E56" s="38" t="s">
        <v>37</v>
      </c>
      <c r="F56" s="38" t="s">
        <v>38</v>
      </c>
      <c r="G56" s="39" t="s">
        <v>11</v>
      </c>
    </row>
    <row r="57" spans="1:7" ht="54.75" customHeight="1" x14ac:dyDescent="0.25">
      <c r="A57" s="48"/>
      <c r="B57" s="124" t="s">
        <v>39</v>
      </c>
      <c r="C57" s="125" t="s">
        <v>40</v>
      </c>
      <c r="D57" s="126" t="s">
        <v>106</v>
      </c>
      <c r="E57" s="126" t="s">
        <v>107</v>
      </c>
      <c r="F57" s="126"/>
      <c r="G57" s="127"/>
    </row>
    <row r="58" spans="1:7" ht="45.75" customHeight="1" x14ac:dyDescent="0.25">
      <c r="A58" s="48"/>
      <c r="B58" s="124" t="s">
        <v>39</v>
      </c>
      <c r="C58" s="125" t="s">
        <v>41</v>
      </c>
      <c r="D58" s="126" t="s">
        <v>165</v>
      </c>
      <c r="E58" s="126"/>
      <c r="F58" s="105"/>
      <c r="G58" s="127"/>
    </row>
    <row r="59" spans="1:7" ht="42" customHeight="1" x14ac:dyDescent="0.25">
      <c r="A59" s="48"/>
      <c r="B59" s="134" t="s">
        <v>87</v>
      </c>
      <c r="C59" s="135" t="s">
        <v>43</v>
      </c>
      <c r="D59" s="126" t="s">
        <v>140</v>
      </c>
      <c r="E59" s="131"/>
      <c r="F59" s="126" t="s">
        <v>166</v>
      </c>
      <c r="G59" s="127"/>
    </row>
    <row r="60" spans="1:7" ht="45" customHeight="1" x14ac:dyDescent="0.25">
      <c r="A60" s="48"/>
      <c r="B60" s="134" t="s">
        <v>88</v>
      </c>
      <c r="C60" s="135" t="s">
        <v>43</v>
      </c>
      <c r="D60" s="126" t="s">
        <v>110</v>
      </c>
      <c r="E60" s="131"/>
      <c r="F60" s="126" t="s">
        <v>134</v>
      </c>
      <c r="G60" s="127"/>
    </row>
    <row r="61" spans="1:7" ht="49.5" customHeight="1" thickBot="1" x14ac:dyDescent="0.3">
      <c r="A61" s="48"/>
      <c r="B61" s="140" t="s">
        <v>90</v>
      </c>
      <c r="C61" s="141" t="s">
        <v>91</v>
      </c>
      <c r="D61" s="142" t="s">
        <v>152</v>
      </c>
      <c r="E61" s="106"/>
      <c r="F61" s="142" t="s">
        <v>167</v>
      </c>
      <c r="G61" s="151" t="s">
        <v>50</v>
      </c>
    </row>
    <row r="62" spans="1:7" ht="51.75" customHeight="1" thickBot="1" x14ac:dyDescent="0.3">
      <c r="A62" s="143" t="str">
        <f>TabellaTest!F10</f>
        <v>TF003.UC01</v>
      </c>
      <c r="B62" s="155" t="str">
        <f>TabellaTest!C10</f>
        <v>PAR. 2.4-013-01</v>
      </c>
      <c r="C62" s="145"/>
      <c r="D62" s="146" t="str">
        <f>TabellaTest!E10</f>
        <v>Verifica inserimento Civilmente Obbligato per la pena pecuniaria in SIEP (persona fisica)</v>
      </c>
      <c r="E62" s="147"/>
      <c r="F62" s="146" t="str">
        <f>TabellaTest!G10</f>
        <v>Verifica: Verificare nel sottosistema SIEP l'utilizzo della funzione inserimento Civilmente Obbligato per la  pena pecuniaria (persona fisica)</v>
      </c>
      <c r="G62" s="148"/>
    </row>
    <row r="63" spans="1:7" ht="30" x14ac:dyDescent="0.25">
      <c r="A63" s="54"/>
      <c r="B63" s="46" t="s">
        <v>34</v>
      </c>
      <c r="C63" s="43" t="s">
        <v>35</v>
      </c>
      <c r="D63" s="43" t="s">
        <v>36</v>
      </c>
      <c r="E63" s="43" t="s">
        <v>37</v>
      </c>
      <c r="F63" s="43" t="s">
        <v>38</v>
      </c>
      <c r="G63" s="44" t="s">
        <v>11</v>
      </c>
    </row>
    <row r="64" spans="1:7" ht="44.25" customHeight="1" x14ac:dyDescent="0.25">
      <c r="A64" s="53"/>
      <c r="B64" s="149" t="s">
        <v>39</v>
      </c>
      <c r="C64" s="125" t="s">
        <v>40</v>
      </c>
      <c r="D64" s="126" t="s">
        <v>117</v>
      </c>
      <c r="E64" s="126" t="s">
        <v>118</v>
      </c>
      <c r="F64" s="126"/>
      <c r="G64" s="127"/>
    </row>
    <row r="65" spans="1:7" ht="45" x14ac:dyDescent="0.25">
      <c r="A65" s="53"/>
      <c r="B65" s="149" t="s">
        <v>39</v>
      </c>
      <c r="C65" s="125" t="s">
        <v>41</v>
      </c>
      <c r="D65" s="126" t="s">
        <v>150</v>
      </c>
      <c r="E65" s="126"/>
      <c r="F65" s="105"/>
      <c r="G65" s="127"/>
    </row>
    <row r="66" spans="1:7" ht="37.5" customHeight="1" x14ac:dyDescent="0.25">
      <c r="A66" s="53"/>
      <c r="B66" s="150">
        <v>1</v>
      </c>
      <c r="C66" s="129" t="s">
        <v>42</v>
      </c>
      <c r="D66" s="130" t="s">
        <v>169</v>
      </c>
      <c r="E66" s="131"/>
      <c r="F66" s="126" t="s">
        <v>290</v>
      </c>
      <c r="G66" s="127"/>
    </row>
    <row r="67" spans="1:7" ht="42" customHeight="1" x14ac:dyDescent="0.25">
      <c r="A67" s="53"/>
      <c r="B67" s="134" t="s">
        <v>88</v>
      </c>
      <c r="C67" s="135" t="s">
        <v>43</v>
      </c>
      <c r="D67" s="126" t="s">
        <v>170</v>
      </c>
      <c r="E67" s="131"/>
      <c r="F67" s="126" t="s">
        <v>291</v>
      </c>
      <c r="G67" s="127"/>
    </row>
    <row r="68" spans="1:7" ht="30.75" thickBot="1" x14ac:dyDescent="0.3">
      <c r="A68" s="53"/>
      <c r="B68" s="140" t="s">
        <v>90</v>
      </c>
      <c r="C68" s="141" t="s">
        <v>91</v>
      </c>
      <c r="D68" s="142" t="s">
        <v>176</v>
      </c>
      <c r="E68" s="106"/>
      <c r="F68" s="142"/>
      <c r="G68" s="151" t="s">
        <v>50</v>
      </c>
    </row>
    <row r="69" spans="1:7" ht="35.25" customHeight="1" x14ac:dyDescent="0.25">
      <c r="A69" s="53"/>
      <c r="B69" s="152" t="s">
        <v>108</v>
      </c>
      <c r="C69" s="153" t="s">
        <v>109</v>
      </c>
      <c r="D69" s="138" t="s">
        <v>171</v>
      </c>
      <c r="E69" s="107"/>
      <c r="F69" s="126"/>
      <c r="G69" s="139"/>
    </row>
    <row r="70" spans="1:7" ht="45" customHeight="1" x14ac:dyDescent="0.25">
      <c r="A70" s="53"/>
      <c r="B70" s="134" t="s">
        <v>89</v>
      </c>
      <c r="C70" s="135" t="s">
        <v>43</v>
      </c>
      <c r="D70" s="126" t="s">
        <v>172</v>
      </c>
      <c r="E70" s="131"/>
      <c r="F70" s="126" t="s">
        <v>292</v>
      </c>
      <c r="G70" s="127"/>
    </row>
    <row r="71" spans="1:7" ht="45" customHeight="1" x14ac:dyDescent="0.25">
      <c r="A71" s="53"/>
      <c r="B71" s="134" t="s">
        <v>92</v>
      </c>
      <c r="C71" s="135" t="s">
        <v>43</v>
      </c>
      <c r="D71" s="126" t="s">
        <v>173</v>
      </c>
      <c r="E71" s="131"/>
      <c r="F71" s="126" t="s">
        <v>174</v>
      </c>
      <c r="G71" s="127"/>
    </row>
    <row r="72" spans="1:7" ht="45.75" thickBot="1" x14ac:dyDescent="0.3">
      <c r="A72" s="53"/>
      <c r="B72" s="140" t="s">
        <v>90</v>
      </c>
      <c r="C72" s="141" t="s">
        <v>91</v>
      </c>
      <c r="D72" s="142" t="s">
        <v>175</v>
      </c>
      <c r="E72" s="106"/>
      <c r="F72" s="142"/>
      <c r="G72" s="151" t="s">
        <v>50</v>
      </c>
    </row>
    <row r="73" spans="1:7" ht="50.25" customHeight="1" thickBot="1" x14ac:dyDescent="0.3">
      <c r="A73" s="143" t="str">
        <f>TabellaTest!F11</f>
        <v>TF003.UC02</v>
      </c>
      <c r="B73" s="155" t="str">
        <f>TabellaTest!C11</f>
        <v>PAR. 2.4-013-01</v>
      </c>
      <c r="C73" s="156"/>
      <c r="D73" s="144" t="str">
        <f>TabellaTest!E11</f>
        <v>Verifica modifica Civilmente Obbligato per la pena pecuniaria in SIEP (persona fisica)</v>
      </c>
      <c r="E73" s="145"/>
      <c r="F73" s="144" t="str">
        <f>TabellaTest!G11</f>
        <v>Verifica: Verificare nel sottosistema SIEP l'utilizzo della funzione modifica Civilmente Obbligato per la  pena pecuniaria (persona fisica)</v>
      </c>
      <c r="G73" s="157"/>
    </row>
    <row r="74" spans="1:7" ht="30" x14ac:dyDescent="0.25">
      <c r="A74" s="48"/>
      <c r="B74" s="41" t="s">
        <v>34</v>
      </c>
      <c r="C74" s="42" t="s">
        <v>35</v>
      </c>
      <c r="D74" s="38" t="s">
        <v>36</v>
      </c>
      <c r="E74" s="38" t="s">
        <v>37</v>
      </c>
      <c r="F74" s="38" t="s">
        <v>38</v>
      </c>
      <c r="G74" s="39" t="s">
        <v>11</v>
      </c>
    </row>
    <row r="75" spans="1:7" ht="53.25" customHeight="1" x14ac:dyDescent="0.25">
      <c r="A75" s="48"/>
      <c r="B75" s="124" t="s">
        <v>39</v>
      </c>
      <c r="C75" s="125" t="s">
        <v>40</v>
      </c>
      <c r="D75" s="126" t="s">
        <v>106</v>
      </c>
      <c r="E75" s="126" t="s">
        <v>107</v>
      </c>
      <c r="F75" s="126"/>
      <c r="G75" s="127"/>
    </row>
    <row r="76" spans="1:7" ht="30" x14ac:dyDescent="0.25">
      <c r="A76" s="48"/>
      <c r="B76" s="149" t="s">
        <v>39</v>
      </c>
      <c r="C76" s="125" t="s">
        <v>41</v>
      </c>
      <c r="D76" s="126" t="s">
        <v>184</v>
      </c>
      <c r="E76" s="126"/>
      <c r="F76" s="105"/>
      <c r="G76" s="127"/>
    </row>
    <row r="77" spans="1:7" ht="40.5" customHeight="1" x14ac:dyDescent="0.25">
      <c r="A77" s="48"/>
      <c r="B77" s="134" t="s">
        <v>87</v>
      </c>
      <c r="C77" s="135" t="s">
        <v>43</v>
      </c>
      <c r="D77" s="126" t="s">
        <v>132</v>
      </c>
      <c r="E77" s="131"/>
      <c r="F77" s="126" t="s">
        <v>293</v>
      </c>
      <c r="G77" s="127"/>
    </row>
    <row r="78" spans="1:7" ht="66.75" customHeight="1" x14ac:dyDescent="0.25">
      <c r="A78" s="48"/>
      <c r="B78" s="134" t="s">
        <v>88</v>
      </c>
      <c r="C78" s="135" t="s">
        <v>43</v>
      </c>
      <c r="D78" s="126" t="s">
        <v>133</v>
      </c>
      <c r="E78" s="126"/>
      <c r="F78" s="126" t="s">
        <v>291</v>
      </c>
      <c r="G78" s="127"/>
    </row>
    <row r="79" spans="1:7" ht="48" customHeight="1" thickBot="1" x14ac:dyDescent="0.3">
      <c r="A79" s="48"/>
      <c r="B79" s="132" t="s">
        <v>90</v>
      </c>
      <c r="C79" s="133" t="s">
        <v>91</v>
      </c>
      <c r="D79" s="126" t="s">
        <v>185</v>
      </c>
      <c r="E79" s="105"/>
      <c r="F79" s="126"/>
      <c r="G79" s="127" t="s">
        <v>50</v>
      </c>
    </row>
    <row r="80" spans="1:7" ht="54.75" customHeight="1" thickBot="1" x14ac:dyDescent="0.3">
      <c r="A80" s="143" t="str">
        <f>TabellaTest!F12</f>
        <v>TF003.UC03</v>
      </c>
      <c r="B80" s="155" t="str">
        <f>TabellaTest!C12</f>
        <v>PAR. 2.4-013-01</v>
      </c>
      <c r="C80" s="156"/>
      <c r="D80" s="144" t="str">
        <f>TabellaTest!E12</f>
        <v>Verifica cancellazione Civilmente Obbligato per la pena pecuniaria in SIEP (persona fisica)</v>
      </c>
      <c r="E80" s="145"/>
      <c r="F80" s="144" t="str">
        <f>TabellaTest!G12</f>
        <v>Verifica: Verificare nel sottosistema SIEP l'utilizzo della funzione cancellazione Civilmente Obbligato per la  pena pecuniaria (persona fisica)</v>
      </c>
      <c r="G80" s="157"/>
    </row>
    <row r="81" spans="1:7" ht="30" x14ac:dyDescent="0.25">
      <c r="A81" s="54"/>
      <c r="B81" s="46" t="s">
        <v>34</v>
      </c>
      <c r="C81" s="43" t="s">
        <v>35</v>
      </c>
      <c r="D81" s="43" t="s">
        <v>36</v>
      </c>
      <c r="E81" s="43" t="s">
        <v>37</v>
      </c>
      <c r="F81" s="43" t="s">
        <v>38</v>
      </c>
      <c r="G81" s="44" t="s">
        <v>11</v>
      </c>
    </row>
    <row r="82" spans="1:7" ht="44.25" customHeight="1" x14ac:dyDescent="0.25">
      <c r="A82" s="53"/>
      <c r="B82" s="149" t="s">
        <v>39</v>
      </c>
      <c r="C82" s="125" t="s">
        <v>40</v>
      </c>
      <c r="D82" s="126" t="s">
        <v>104</v>
      </c>
      <c r="E82" s="126" t="s">
        <v>105</v>
      </c>
      <c r="F82" s="126"/>
      <c r="G82" s="127"/>
    </row>
    <row r="83" spans="1:7" ht="30" x14ac:dyDescent="0.25">
      <c r="A83" s="53"/>
      <c r="B83" s="149" t="s">
        <v>39</v>
      </c>
      <c r="C83" s="125" t="s">
        <v>41</v>
      </c>
      <c r="D83" s="126" t="s">
        <v>184</v>
      </c>
      <c r="E83" s="126"/>
      <c r="F83" s="105"/>
      <c r="G83" s="127"/>
    </row>
    <row r="84" spans="1:7" ht="42" customHeight="1" x14ac:dyDescent="0.25">
      <c r="A84" s="53"/>
      <c r="B84" s="134" t="s">
        <v>88</v>
      </c>
      <c r="C84" s="135" t="s">
        <v>43</v>
      </c>
      <c r="D84" s="126" t="s">
        <v>140</v>
      </c>
      <c r="E84" s="131"/>
      <c r="F84" s="126" t="s">
        <v>186</v>
      </c>
      <c r="G84" s="127"/>
    </row>
    <row r="85" spans="1:7" ht="45" customHeight="1" x14ac:dyDescent="0.25">
      <c r="A85" s="53"/>
      <c r="B85" s="134" t="s">
        <v>89</v>
      </c>
      <c r="C85" s="135" t="s">
        <v>43</v>
      </c>
      <c r="D85" s="126" t="s">
        <v>110</v>
      </c>
      <c r="E85" s="131"/>
      <c r="F85" s="126" t="s">
        <v>187</v>
      </c>
      <c r="G85" s="127"/>
    </row>
    <row r="86" spans="1:7" ht="49.5" customHeight="1" thickBot="1" x14ac:dyDescent="0.3">
      <c r="A86" s="53"/>
      <c r="B86" s="140" t="s">
        <v>90</v>
      </c>
      <c r="C86" s="141" t="s">
        <v>91</v>
      </c>
      <c r="D86" s="142" t="s">
        <v>188</v>
      </c>
      <c r="E86" s="106"/>
      <c r="F86" s="142" t="s">
        <v>189</v>
      </c>
      <c r="G86" s="151" t="s">
        <v>50</v>
      </c>
    </row>
    <row r="87" spans="1:7" ht="42.75" customHeight="1" thickBot="1" x14ac:dyDescent="0.3">
      <c r="A87" s="143" t="str">
        <f>TabellaTest!F13</f>
        <v>TF003.UC04</v>
      </c>
      <c r="B87" s="155" t="str">
        <f>TabellaTest!C13</f>
        <v>PAR. 2.4-013-01</v>
      </c>
      <c r="C87" s="145"/>
      <c r="D87" s="146" t="str">
        <f>TabellaTest!E13</f>
        <v>Verifica inserimento Civilmente Obbligato per la pena pecuniaria in SIEP (persona giuridica)</v>
      </c>
      <c r="E87" s="147"/>
      <c r="F87" s="146" t="str">
        <f>TabellaTest!G13</f>
        <v>Verifica: Verificare nel sottosistema SIEP l'utilizzo della funzione inserimento Civilmente Obbligato per la  pena pecuniaria (persona giuridica)</v>
      </c>
      <c r="G87" s="148"/>
    </row>
    <row r="88" spans="1:7" ht="30" x14ac:dyDescent="0.25">
      <c r="A88" s="53"/>
      <c r="B88" s="41" t="s">
        <v>34</v>
      </c>
      <c r="C88" s="42" t="s">
        <v>35</v>
      </c>
      <c r="D88" s="38" t="s">
        <v>36</v>
      </c>
      <c r="E88" s="38" t="s">
        <v>37</v>
      </c>
      <c r="F88" s="38" t="s">
        <v>38</v>
      </c>
      <c r="G88" s="39" t="s">
        <v>11</v>
      </c>
    </row>
    <row r="89" spans="1:7" ht="44.25" customHeight="1" x14ac:dyDescent="0.25">
      <c r="A89" s="53"/>
      <c r="B89" s="149" t="s">
        <v>39</v>
      </c>
      <c r="C89" s="125" t="s">
        <v>40</v>
      </c>
      <c r="D89" s="126" t="s">
        <v>117</v>
      </c>
      <c r="E89" s="126" t="s">
        <v>118</v>
      </c>
      <c r="F89" s="126"/>
      <c r="G89" s="127"/>
    </row>
    <row r="90" spans="1:7" ht="45" x14ac:dyDescent="0.25">
      <c r="A90" s="53"/>
      <c r="B90" s="149" t="s">
        <v>39</v>
      </c>
      <c r="C90" s="125" t="s">
        <v>41</v>
      </c>
      <c r="D90" s="126" t="s">
        <v>150</v>
      </c>
      <c r="E90" s="126"/>
      <c r="F90" s="105"/>
      <c r="G90" s="127"/>
    </row>
    <row r="91" spans="1:7" ht="37.5" customHeight="1" x14ac:dyDescent="0.25">
      <c r="A91" s="53"/>
      <c r="B91" s="150">
        <v>1</v>
      </c>
      <c r="C91" s="129" t="s">
        <v>42</v>
      </c>
      <c r="D91" s="130" t="s">
        <v>169</v>
      </c>
      <c r="E91" s="131"/>
      <c r="F91" s="126" t="s">
        <v>290</v>
      </c>
      <c r="G91" s="127"/>
    </row>
    <row r="92" spans="1:7" ht="42" customHeight="1" x14ac:dyDescent="0.25">
      <c r="A92" s="53"/>
      <c r="B92" s="134" t="s">
        <v>88</v>
      </c>
      <c r="C92" s="135" t="s">
        <v>43</v>
      </c>
      <c r="D92" s="126" t="s">
        <v>190</v>
      </c>
      <c r="E92" s="131"/>
      <c r="F92" s="126" t="s">
        <v>294</v>
      </c>
      <c r="G92" s="127"/>
    </row>
    <row r="93" spans="1:7" ht="42" customHeight="1" x14ac:dyDescent="0.25">
      <c r="A93" s="53"/>
      <c r="B93" s="134" t="s">
        <v>89</v>
      </c>
      <c r="C93" s="135" t="s">
        <v>43</v>
      </c>
      <c r="D93" s="126" t="s">
        <v>191</v>
      </c>
      <c r="E93" s="131"/>
      <c r="F93" s="126" t="s">
        <v>174</v>
      </c>
      <c r="G93" s="127"/>
    </row>
    <row r="94" spans="1:7" ht="30.75" thickBot="1" x14ac:dyDescent="0.3">
      <c r="A94" s="53"/>
      <c r="B94" s="140" t="s">
        <v>90</v>
      </c>
      <c r="C94" s="141" t="s">
        <v>91</v>
      </c>
      <c r="D94" s="142" t="s">
        <v>176</v>
      </c>
      <c r="E94" s="106"/>
      <c r="F94" s="142"/>
      <c r="G94" s="151" t="s">
        <v>50</v>
      </c>
    </row>
    <row r="95" spans="1:7" ht="42.75" customHeight="1" thickBot="1" x14ac:dyDescent="0.3">
      <c r="A95" s="143" t="str">
        <f>TabellaTest!F14</f>
        <v>TF004.UC01</v>
      </c>
      <c r="B95" s="155" t="str">
        <f>TabellaTest!C14</f>
        <v>PAR. 2.5.1-013-01</v>
      </c>
      <c r="C95" s="145"/>
      <c r="D95" s="146" t="str">
        <f>TabellaTest!E14</f>
        <v xml:space="preserve">Verifica inserimento Ordine Ingiunzione al Pagamento  pena pecuniaria in SIEP </v>
      </c>
      <c r="E95" s="147"/>
      <c r="F95" s="146" t="str">
        <f>TabellaTest!G14</f>
        <v>Verifica: Verificare nel sottosistema SIEP l'utilizzo della funzione inserimento Ordine Ingiunzione al Pagamento  pena pecuniaria</v>
      </c>
      <c r="G95" s="148"/>
    </row>
    <row r="96" spans="1:7" ht="30" x14ac:dyDescent="0.25">
      <c r="A96" s="53"/>
      <c r="B96" s="41" t="s">
        <v>34</v>
      </c>
      <c r="C96" s="42" t="s">
        <v>35</v>
      </c>
      <c r="D96" s="38" t="s">
        <v>36</v>
      </c>
      <c r="E96" s="38" t="s">
        <v>37</v>
      </c>
      <c r="F96" s="38" t="s">
        <v>38</v>
      </c>
      <c r="G96" s="39" t="s">
        <v>11</v>
      </c>
    </row>
    <row r="97" spans="1:7" ht="49.5" customHeight="1" x14ac:dyDescent="0.25">
      <c r="A97" s="53"/>
      <c r="B97" s="124" t="s">
        <v>39</v>
      </c>
      <c r="C97" s="125" t="s">
        <v>40</v>
      </c>
      <c r="D97" s="126" t="s">
        <v>117</v>
      </c>
      <c r="E97" s="126" t="s">
        <v>118</v>
      </c>
      <c r="F97" s="126"/>
      <c r="G97" s="127"/>
    </row>
    <row r="98" spans="1:7" ht="42.75" customHeight="1" x14ac:dyDescent="0.25">
      <c r="A98" s="53"/>
      <c r="B98" s="124" t="s">
        <v>39</v>
      </c>
      <c r="C98" s="125" t="s">
        <v>41</v>
      </c>
      <c r="D98" s="126" t="s">
        <v>195</v>
      </c>
      <c r="E98" s="126"/>
      <c r="F98" s="105"/>
      <c r="G98" s="127"/>
    </row>
    <row r="99" spans="1:7" ht="43.5" customHeight="1" x14ac:dyDescent="0.25">
      <c r="A99" s="53"/>
      <c r="B99" s="128">
        <v>1</v>
      </c>
      <c r="C99" s="129" t="s">
        <v>42</v>
      </c>
      <c r="D99" s="130" t="s">
        <v>196</v>
      </c>
      <c r="E99" s="131"/>
      <c r="F99" s="126" t="s">
        <v>197</v>
      </c>
      <c r="G99" s="127"/>
    </row>
    <row r="100" spans="1:7" ht="40.5" customHeight="1" x14ac:dyDescent="0.25">
      <c r="A100" s="53"/>
      <c r="B100" s="134" t="s">
        <v>87</v>
      </c>
      <c r="C100" s="135" t="s">
        <v>43</v>
      </c>
      <c r="D100" s="126" t="s">
        <v>198</v>
      </c>
      <c r="E100" s="131"/>
      <c r="F100" s="126" t="s">
        <v>295</v>
      </c>
      <c r="G100" s="127"/>
    </row>
    <row r="101" spans="1:7" ht="45.75" customHeight="1" x14ac:dyDescent="0.25">
      <c r="A101" s="53"/>
      <c r="B101" s="134" t="s">
        <v>88</v>
      </c>
      <c r="C101" s="135" t="s">
        <v>43</v>
      </c>
      <c r="D101" s="126" t="s">
        <v>199</v>
      </c>
      <c r="E101" s="131"/>
      <c r="F101" s="126" t="s">
        <v>296</v>
      </c>
      <c r="G101" s="127"/>
    </row>
    <row r="102" spans="1:7" ht="36" customHeight="1" x14ac:dyDescent="0.25">
      <c r="A102" s="53"/>
      <c r="B102" s="134" t="s">
        <v>89</v>
      </c>
      <c r="C102" s="135" t="s">
        <v>43</v>
      </c>
      <c r="D102" s="126" t="s">
        <v>200</v>
      </c>
      <c r="E102" s="126"/>
      <c r="F102" s="126" t="s">
        <v>297</v>
      </c>
      <c r="G102" s="127"/>
    </row>
    <row r="103" spans="1:7" ht="45" customHeight="1" thickBot="1" x14ac:dyDescent="0.3">
      <c r="A103" s="53"/>
      <c r="B103" s="154" t="s">
        <v>90</v>
      </c>
      <c r="C103" s="141" t="s">
        <v>91</v>
      </c>
      <c r="D103" s="142" t="s">
        <v>176</v>
      </c>
      <c r="E103" s="106"/>
      <c r="F103" s="142"/>
      <c r="G103" s="151" t="s">
        <v>50</v>
      </c>
    </row>
    <row r="104" spans="1:7" ht="35.25" customHeight="1" x14ac:dyDescent="0.25">
      <c r="A104" s="53"/>
      <c r="B104" s="152" t="s">
        <v>108</v>
      </c>
      <c r="C104" s="153" t="s">
        <v>109</v>
      </c>
      <c r="D104" s="138" t="s">
        <v>201</v>
      </c>
      <c r="E104" s="107"/>
      <c r="F104" s="126"/>
      <c r="G104" s="139"/>
    </row>
    <row r="105" spans="1:7" ht="36" customHeight="1" thickBot="1" x14ac:dyDescent="0.3">
      <c r="A105" s="53"/>
      <c r="B105" s="134" t="s">
        <v>92</v>
      </c>
      <c r="C105" s="135" t="s">
        <v>43</v>
      </c>
      <c r="D105" s="126" t="s">
        <v>199</v>
      </c>
      <c r="E105" s="126"/>
      <c r="F105" s="126" t="s">
        <v>202</v>
      </c>
      <c r="G105" s="127"/>
    </row>
    <row r="106" spans="1:7" ht="42.75" customHeight="1" thickBot="1" x14ac:dyDescent="0.3">
      <c r="A106" s="143" t="str">
        <f>TabellaTest!F15</f>
        <v>TF004.UC02</v>
      </c>
      <c r="B106" s="155" t="str">
        <f>TabellaTest!C15</f>
        <v>PAR. 2.5.1-013-01</v>
      </c>
      <c r="C106" s="145"/>
      <c r="D106" s="146" t="str">
        <f>TabellaTest!E15</f>
        <v xml:space="preserve">Verifica modifica Ordine Ingiunzione al Pagamento  pena pecuniaria in SIEP </v>
      </c>
      <c r="E106" s="147"/>
      <c r="F106" s="146" t="str">
        <f>TabellaTest!G15</f>
        <v>Verifica: Verificare nel sottosistema SIEP l'utilizzo della funzione modifica Ordine Ingiunzione al Pagamento  pena pecuniaria</v>
      </c>
      <c r="G106" s="148"/>
    </row>
    <row r="107" spans="1:7" ht="30" x14ac:dyDescent="0.25">
      <c r="A107" s="53"/>
      <c r="B107" s="41" t="s">
        <v>34</v>
      </c>
      <c r="C107" s="42" t="s">
        <v>35</v>
      </c>
      <c r="D107" s="38" t="s">
        <v>36</v>
      </c>
      <c r="E107" s="38" t="s">
        <v>37</v>
      </c>
      <c r="F107" s="38" t="s">
        <v>38</v>
      </c>
      <c r="G107" s="39" t="s">
        <v>11</v>
      </c>
    </row>
    <row r="108" spans="1:7" ht="49.5" customHeight="1" x14ac:dyDescent="0.25">
      <c r="A108" s="53"/>
      <c r="B108" s="124" t="s">
        <v>39</v>
      </c>
      <c r="C108" s="125" t="s">
        <v>40</v>
      </c>
      <c r="D108" s="126" t="s">
        <v>117</v>
      </c>
      <c r="E108" s="126" t="s">
        <v>118</v>
      </c>
      <c r="F108" s="126"/>
      <c r="G108" s="127"/>
    </row>
    <row r="109" spans="1:7" ht="42.75" customHeight="1" x14ac:dyDescent="0.25">
      <c r="A109" s="53"/>
      <c r="B109" s="124" t="s">
        <v>39</v>
      </c>
      <c r="C109" s="125" t="s">
        <v>41</v>
      </c>
      <c r="D109" s="126" t="s">
        <v>204</v>
      </c>
      <c r="E109" s="126"/>
      <c r="F109" s="105"/>
      <c r="G109" s="127"/>
    </row>
    <row r="110" spans="1:7" ht="40.5" customHeight="1" x14ac:dyDescent="0.25">
      <c r="A110" s="53"/>
      <c r="B110" s="134" t="s">
        <v>87</v>
      </c>
      <c r="C110" s="135" t="s">
        <v>43</v>
      </c>
      <c r="D110" s="126" t="s">
        <v>205</v>
      </c>
      <c r="E110" s="131"/>
      <c r="F110" s="126" t="s">
        <v>298</v>
      </c>
      <c r="G110" s="127"/>
    </row>
    <row r="111" spans="1:7" ht="45.75" customHeight="1" x14ac:dyDescent="0.25">
      <c r="A111" s="53"/>
      <c r="B111" s="134" t="s">
        <v>88</v>
      </c>
      <c r="C111" s="135" t="s">
        <v>43</v>
      </c>
      <c r="D111" s="126" t="s">
        <v>133</v>
      </c>
      <c r="E111" s="131"/>
      <c r="F111" s="126" t="s">
        <v>299</v>
      </c>
      <c r="G111" s="127"/>
    </row>
    <row r="112" spans="1:7" ht="45" customHeight="1" thickBot="1" x14ac:dyDescent="0.3">
      <c r="A112" s="53"/>
      <c r="B112" s="154" t="s">
        <v>90</v>
      </c>
      <c r="C112" s="141" t="s">
        <v>91</v>
      </c>
      <c r="D112" s="142" t="s">
        <v>185</v>
      </c>
      <c r="E112" s="106"/>
      <c r="F112" s="142"/>
      <c r="G112" s="151" t="s">
        <v>50</v>
      </c>
    </row>
    <row r="113" spans="1:7" ht="42.75" customHeight="1" thickBot="1" x14ac:dyDescent="0.3">
      <c r="A113" s="143" t="str">
        <f>TabellaTest!F16</f>
        <v>TF004.UC03</v>
      </c>
      <c r="B113" s="155"/>
      <c r="C113" s="145"/>
      <c r="D113" s="146" t="str">
        <f>TabellaTest!E16</f>
        <v xml:space="preserve">Verifica stampa Ordine Ingiunzione al Pagamento  pena pecuniaria in SIEP </v>
      </c>
      <c r="E113" s="147"/>
      <c r="F113" s="146" t="str">
        <f>TabellaTest!G16</f>
        <v>Verifica: Verificare nel sottosistema SIEP l'utilizzo della funzione stampa Ordine Ingiunzione al Pagamento  pena pecuniaria</v>
      </c>
      <c r="G113" s="148"/>
    </row>
    <row r="114" spans="1:7" ht="30" x14ac:dyDescent="0.25">
      <c r="A114" s="53"/>
      <c r="B114" s="41" t="s">
        <v>34</v>
      </c>
      <c r="C114" s="42" t="s">
        <v>35</v>
      </c>
      <c r="D114" s="38" t="s">
        <v>36</v>
      </c>
      <c r="E114" s="38" t="s">
        <v>37</v>
      </c>
      <c r="F114" s="38" t="s">
        <v>38</v>
      </c>
      <c r="G114" s="39" t="s">
        <v>11</v>
      </c>
    </row>
    <row r="115" spans="1:7" ht="49.5" customHeight="1" x14ac:dyDescent="0.25">
      <c r="A115" s="53"/>
      <c r="B115" s="124" t="s">
        <v>39</v>
      </c>
      <c r="C115" s="125" t="s">
        <v>40</v>
      </c>
      <c r="D115" s="126" t="s">
        <v>106</v>
      </c>
      <c r="E115" s="126" t="s">
        <v>107</v>
      </c>
      <c r="F115" s="126"/>
      <c r="G115" s="127"/>
    </row>
    <row r="116" spans="1:7" ht="42.75" customHeight="1" x14ac:dyDescent="0.25">
      <c r="A116" s="53"/>
      <c r="B116" s="124" t="s">
        <v>39</v>
      </c>
      <c r="C116" s="125" t="s">
        <v>41</v>
      </c>
      <c r="D116" s="126" t="s">
        <v>204</v>
      </c>
      <c r="E116" s="126"/>
      <c r="F116" s="105"/>
      <c r="G116" s="127"/>
    </row>
    <row r="117" spans="1:7" ht="40.5" customHeight="1" x14ac:dyDescent="0.25">
      <c r="A117" s="53"/>
      <c r="B117" s="134" t="s">
        <v>87</v>
      </c>
      <c r="C117" s="135" t="s">
        <v>43</v>
      </c>
      <c r="D117" s="126" t="s">
        <v>208</v>
      </c>
      <c r="E117" s="131"/>
      <c r="F117" s="126" t="s">
        <v>209</v>
      </c>
      <c r="G117" s="127"/>
    </row>
    <row r="118" spans="1:7" ht="75.75" thickBot="1" x14ac:dyDescent="0.3">
      <c r="A118" s="53"/>
      <c r="B118" s="154" t="s">
        <v>90</v>
      </c>
      <c r="C118" s="141" t="s">
        <v>91</v>
      </c>
      <c r="D118" s="142" t="s">
        <v>210</v>
      </c>
      <c r="E118" s="106"/>
      <c r="F118" s="142"/>
      <c r="G118" s="151" t="s">
        <v>50</v>
      </c>
    </row>
    <row r="119" spans="1:7" ht="42.75" customHeight="1" thickBot="1" x14ac:dyDescent="0.3">
      <c r="A119" s="143" t="str">
        <f>TabellaTest!F17</f>
        <v>TF004.UC04</v>
      </c>
      <c r="B119" s="155" t="str">
        <f>TabellaTest!C17</f>
        <v>PAR. 2.5.1-013-01</v>
      </c>
      <c r="C119" s="145"/>
      <c r="D119" s="146" t="str">
        <f>TabellaTest!E17</f>
        <v xml:space="preserve">Verifica validazione Ordine Ingiunzione al Pagamento  pena pecuniaria in SIEP </v>
      </c>
      <c r="E119" s="147"/>
      <c r="F119" s="146" t="str">
        <f>TabellaTest!G17</f>
        <v>Verifica: Verificare nel sottosistema SIEP l'utilizzo della funzione validazione Ordine Ingiunzione al Pagamento  pena pecuniaria</v>
      </c>
      <c r="G119" s="148"/>
    </row>
    <row r="120" spans="1:7" ht="30" x14ac:dyDescent="0.25">
      <c r="A120" s="53"/>
      <c r="B120" s="41" t="s">
        <v>34</v>
      </c>
      <c r="C120" s="42" t="s">
        <v>35</v>
      </c>
      <c r="D120" s="38" t="s">
        <v>36</v>
      </c>
      <c r="E120" s="38" t="s">
        <v>37</v>
      </c>
      <c r="F120" s="38" t="s">
        <v>38</v>
      </c>
      <c r="G120" s="39" t="s">
        <v>11</v>
      </c>
    </row>
    <row r="121" spans="1:7" ht="49.5" customHeight="1" x14ac:dyDescent="0.25">
      <c r="A121" s="53"/>
      <c r="B121" s="124" t="s">
        <v>39</v>
      </c>
      <c r="C121" s="125" t="s">
        <v>40</v>
      </c>
      <c r="D121" s="126" t="s">
        <v>106</v>
      </c>
      <c r="E121" s="126" t="s">
        <v>107</v>
      </c>
      <c r="F121" s="126"/>
      <c r="G121" s="127"/>
    </row>
    <row r="122" spans="1:7" ht="60" x14ac:dyDescent="0.25">
      <c r="A122" s="53"/>
      <c r="B122" s="124" t="s">
        <v>39</v>
      </c>
      <c r="C122" s="125" t="s">
        <v>41</v>
      </c>
      <c r="D122" s="126" t="s">
        <v>212</v>
      </c>
      <c r="E122" s="126"/>
      <c r="F122" s="105"/>
      <c r="G122" s="127"/>
    </row>
    <row r="123" spans="1:7" ht="40.5" customHeight="1" x14ac:dyDescent="0.25">
      <c r="A123" s="53"/>
      <c r="B123" s="134" t="s">
        <v>87</v>
      </c>
      <c r="C123" s="135" t="s">
        <v>43</v>
      </c>
      <c r="D123" s="126" t="s">
        <v>213</v>
      </c>
      <c r="E123" s="131"/>
      <c r="F123" s="126" t="s">
        <v>300</v>
      </c>
      <c r="G123" s="127"/>
    </row>
    <row r="124" spans="1:7" ht="75.75" thickBot="1" x14ac:dyDescent="0.3">
      <c r="A124" s="55"/>
      <c r="B124" s="154" t="s">
        <v>90</v>
      </c>
      <c r="C124" s="141" t="s">
        <v>91</v>
      </c>
      <c r="D124" s="142" t="s">
        <v>214</v>
      </c>
      <c r="E124" s="106"/>
      <c r="F124" s="142"/>
      <c r="G124" s="151" t="s">
        <v>50</v>
      </c>
    </row>
    <row r="125" spans="1:7" ht="42.75" customHeight="1" thickBot="1" x14ac:dyDescent="0.3">
      <c r="A125" s="143" t="str">
        <f>TabellaTest!F18</f>
        <v>TF005.UC01</v>
      </c>
      <c r="B125" s="155" t="str">
        <f>TabellaTest!C18</f>
        <v>PAR. 2.5.2.1-013-01</v>
      </c>
      <c r="C125" s="145"/>
      <c r="D125" s="146" t="str">
        <f>TabellaTest!E18</f>
        <v xml:space="preserve">Verifica inserimento Notifiche Ordine Ingiunzione al Pagamento  pena pecuniaria in SIEP </v>
      </c>
      <c r="E125" s="147"/>
      <c r="F125" s="146" t="str">
        <f>TabellaTest!G18</f>
        <v>Verifica: Verificare nel sottosistema SIEP l'utilizzo della funzione inserimento Notifiche Ordine Ingiunzione al Pagamento  pena pecuniaria</v>
      </c>
      <c r="G125" s="148"/>
    </row>
    <row r="126" spans="1:7" ht="30" x14ac:dyDescent="0.25">
      <c r="A126" s="53"/>
      <c r="B126" s="41" t="s">
        <v>34</v>
      </c>
      <c r="C126" s="42" t="s">
        <v>35</v>
      </c>
      <c r="D126" s="38" t="s">
        <v>36</v>
      </c>
      <c r="E126" s="38" t="s">
        <v>37</v>
      </c>
      <c r="F126" s="38" t="s">
        <v>38</v>
      </c>
      <c r="G126" s="39" t="s">
        <v>11</v>
      </c>
    </row>
    <row r="127" spans="1:7" ht="49.5" customHeight="1" x14ac:dyDescent="0.25">
      <c r="A127" s="53"/>
      <c r="B127" s="124" t="s">
        <v>39</v>
      </c>
      <c r="C127" s="125" t="s">
        <v>40</v>
      </c>
      <c r="D127" s="126" t="s">
        <v>106</v>
      </c>
      <c r="E127" s="126" t="s">
        <v>107</v>
      </c>
      <c r="F127" s="126"/>
      <c r="G127" s="127"/>
    </row>
    <row r="128" spans="1:7" ht="42.75" customHeight="1" x14ac:dyDescent="0.25">
      <c r="A128" s="53"/>
      <c r="B128" s="124" t="s">
        <v>39</v>
      </c>
      <c r="C128" s="125" t="s">
        <v>41</v>
      </c>
      <c r="D128" s="126" t="s">
        <v>217</v>
      </c>
      <c r="E128" s="126"/>
      <c r="F128" s="105"/>
      <c r="G128" s="127"/>
    </row>
    <row r="129" spans="1:7" ht="40.5" customHeight="1" x14ac:dyDescent="0.25">
      <c r="A129" s="53"/>
      <c r="B129" s="134" t="s">
        <v>87</v>
      </c>
      <c r="C129" s="135" t="s">
        <v>43</v>
      </c>
      <c r="D129" s="126" t="s">
        <v>218</v>
      </c>
      <c r="E129" s="131"/>
      <c r="F129" s="126" t="s">
        <v>301</v>
      </c>
      <c r="G129" s="127"/>
    </row>
    <row r="130" spans="1:7" ht="45.75" customHeight="1" x14ac:dyDescent="0.25">
      <c r="A130" s="53"/>
      <c r="B130" s="134" t="s">
        <v>88</v>
      </c>
      <c r="C130" s="135" t="s">
        <v>43</v>
      </c>
      <c r="D130" s="126" t="s">
        <v>219</v>
      </c>
      <c r="E130" s="131"/>
      <c r="F130" s="126" t="s">
        <v>302</v>
      </c>
      <c r="G130" s="127"/>
    </row>
    <row r="131" spans="1:7" ht="45" customHeight="1" thickBot="1" x14ac:dyDescent="0.3">
      <c r="A131" s="53"/>
      <c r="B131" s="154" t="s">
        <v>90</v>
      </c>
      <c r="C131" s="141" t="s">
        <v>91</v>
      </c>
      <c r="D131" s="142" t="s">
        <v>176</v>
      </c>
      <c r="E131" s="106"/>
      <c r="F131" s="142"/>
      <c r="G131" s="151" t="s">
        <v>50</v>
      </c>
    </row>
    <row r="132" spans="1:7" ht="35.25" customHeight="1" x14ac:dyDescent="0.25">
      <c r="A132" s="53"/>
      <c r="B132" s="152" t="s">
        <v>108</v>
      </c>
      <c r="C132" s="153" t="s">
        <v>109</v>
      </c>
      <c r="D132" s="138" t="s">
        <v>220</v>
      </c>
      <c r="E132" s="107"/>
      <c r="F132" s="126"/>
      <c r="G132" s="139"/>
    </row>
    <row r="133" spans="1:7" ht="36" customHeight="1" x14ac:dyDescent="0.25">
      <c r="A133" s="53"/>
      <c r="B133" s="134" t="s">
        <v>89</v>
      </c>
      <c r="C133" s="135" t="s">
        <v>43</v>
      </c>
      <c r="D133" s="126" t="s">
        <v>218</v>
      </c>
      <c r="E133" s="131"/>
      <c r="F133" s="126" t="s">
        <v>303</v>
      </c>
      <c r="G133" s="127"/>
    </row>
    <row r="134" spans="1:7" ht="45" customHeight="1" thickBot="1" x14ac:dyDescent="0.3">
      <c r="A134" s="53"/>
      <c r="B134" s="154" t="s">
        <v>90</v>
      </c>
      <c r="C134" s="141" t="s">
        <v>91</v>
      </c>
      <c r="D134" s="142" t="s">
        <v>221</v>
      </c>
      <c r="E134" s="106"/>
      <c r="F134" s="142"/>
      <c r="G134" s="151" t="s">
        <v>50</v>
      </c>
    </row>
    <row r="135" spans="1:7" ht="42.75" customHeight="1" thickBot="1" x14ac:dyDescent="0.3">
      <c r="A135" s="143" t="str">
        <f>TabellaTest!F19</f>
        <v>TF005.UC02</v>
      </c>
      <c r="B135" s="155" t="str">
        <f>TabellaTest!C19</f>
        <v>PAR. 2.5.2.1-013-01</v>
      </c>
      <c r="C135" s="145"/>
      <c r="D135" s="146" t="str">
        <f>TabellaTest!E19</f>
        <v xml:space="preserve">Verifica modifica  Notifiche Ordine Ingiunzione al Pagamento  pena pecuniaria in SIEP </v>
      </c>
      <c r="E135" s="147"/>
      <c r="F135" s="146" t="str">
        <f>TabellaTest!G19</f>
        <v>Verifica: Verificare nel sottosistema SIEP l'utilizzo della funzione modifica Notifiche Ordine Ingiunzione al Pagamento  pena pecuniaria</v>
      </c>
      <c r="G135" s="148"/>
    </row>
    <row r="136" spans="1:7" ht="30" x14ac:dyDescent="0.25">
      <c r="A136" s="54"/>
      <c r="B136" s="41" t="s">
        <v>34</v>
      </c>
      <c r="C136" s="42" t="s">
        <v>35</v>
      </c>
      <c r="D136" s="38" t="s">
        <v>36</v>
      </c>
      <c r="E136" s="38" t="s">
        <v>37</v>
      </c>
      <c r="F136" s="38" t="s">
        <v>38</v>
      </c>
      <c r="G136" s="39" t="s">
        <v>11</v>
      </c>
    </row>
    <row r="137" spans="1:7" ht="49.5" customHeight="1" x14ac:dyDescent="0.25">
      <c r="A137" s="53"/>
      <c r="B137" s="124" t="s">
        <v>39</v>
      </c>
      <c r="C137" s="125" t="s">
        <v>40</v>
      </c>
      <c r="D137" s="126" t="s">
        <v>106</v>
      </c>
      <c r="E137" s="126" t="s">
        <v>107</v>
      </c>
      <c r="F137" s="126"/>
      <c r="G137" s="127"/>
    </row>
    <row r="138" spans="1:7" ht="42.75" customHeight="1" x14ac:dyDescent="0.25">
      <c r="A138" s="53"/>
      <c r="B138" s="124" t="s">
        <v>39</v>
      </c>
      <c r="C138" s="125" t="s">
        <v>41</v>
      </c>
      <c r="D138" s="126" t="s">
        <v>223</v>
      </c>
      <c r="E138" s="126"/>
      <c r="F138" s="105"/>
      <c r="G138" s="127"/>
    </row>
    <row r="139" spans="1:7" ht="40.5" customHeight="1" x14ac:dyDescent="0.25">
      <c r="A139" s="53"/>
      <c r="B139" s="134" t="s">
        <v>87</v>
      </c>
      <c r="C139" s="135" t="s">
        <v>43</v>
      </c>
      <c r="D139" s="126" t="s">
        <v>205</v>
      </c>
      <c r="E139" s="131"/>
      <c r="F139" s="126" t="s">
        <v>301</v>
      </c>
      <c r="G139" s="127"/>
    </row>
    <row r="140" spans="1:7" ht="45.75" customHeight="1" x14ac:dyDescent="0.25">
      <c r="A140" s="53"/>
      <c r="B140" s="134" t="s">
        <v>88</v>
      </c>
      <c r="C140" s="135" t="s">
        <v>43</v>
      </c>
      <c r="D140" s="126" t="s">
        <v>224</v>
      </c>
      <c r="E140" s="131"/>
      <c r="F140" s="126" t="s">
        <v>304</v>
      </c>
      <c r="G140" s="127"/>
    </row>
    <row r="141" spans="1:7" ht="45" customHeight="1" thickBot="1" x14ac:dyDescent="0.3">
      <c r="A141" s="53"/>
      <c r="B141" s="154" t="s">
        <v>90</v>
      </c>
      <c r="C141" s="141" t="s">
        <v>91</v>
      </c>
      <c r="D141" s="142" t="s">
        <v>225</v>
      </c>
      <c r="E141" s="106"/>
      <c r="F141" s="142"/>
      <c r="G141" s="151" t="s">
        <v>50</v>
      </c>
    </row>
    <row r="142" spans="1:7" ht="35.25" customHeight="1" x14ac:dyDescent="0.25">
      <c r="A142" s="53"/>
      <c r="B142" s="152" t="s">
        <v>108</v>
      </c>
      <c r="C142" s="153" t="s">
        <v>109</v>
      </c>
      <c r="D142" s="138" t="s">
        <v>226</v>
      </c>
      <c r="E142" s="107"/>
      <c r="F142" s="126"/>
      <c r="G142" s="139"/>
    </row>
    <row r="143" spans="1:7" ht="45.75" customHeight="1" x14ac:dyDescent="0.25">
      <c r="A143" s="53"/>
      <c r="B143" s="134" t="s">
        <v>89</v>
      </c>
      <c r="C143" s="135" t="s">
        <v>43</v>
      </c>
      <c r="D143" s="126" t="s">
        <v>227</v>
      </c>
      <c r="E143" s="131"/>
      <c r="F143" s="126" t="s">
        <v>304</v>
      </c>
      <c r="G143" s="127"/>
    </row>
    <row r="144" spans="1:7" ht="45" customHeight="1" thickBot="1" x14ac:dyDescent="0.3">
      <c r="A144" s="53"/>
      <c r="B144" s="154" t="s">
        <v>90</v>
      </c>
      <c r="C144" s="141" t="s">
        <v>91</v>
      </c>
      <c r="D144" s="142" t="s">
        <v>228</v>
      </c>
      <c r="E144" s="106"/>
      <c r="F144" s="142"/>
      <c r="G144" s="151" t="s">
        <v>50</v>
      </c>
    </row>
    <row r="145" spans="1:11" ht="42.75" customHeight="1" thickBot="1" x14ac:dyDescent="0.3">
      <c r="A145" s="143" t="str">
        <f>TabellaTest!F20</f>
        <v>TF006.UC01</v>
      </c>
      <c r="B145" s="155" t="str">
        <f>TabellaTest!C20</f>
        <v>PAR. 2.5.3.1-013-01</v>
      </c>
      <c r="C145" s="145"/>
      <c r="D145" s="146" t="str">
        <f>TabellaTest!E20</f>
        <v>Verifica richiesta generazione Bollettini a pagoPA  per Pagamento  pena pecuniaria in SIEP (soggetto privo di codice fiscale)</v>
      </c>
      <c r="E145" s="147"/>
      <c r="F145" s="146" t="str">
        <f>TabellaTest!G20</f>
        <v>Verifica: Verificare nel sottosistema SIEP l'utilizzo della funzione richiesta generazione Bollettini a pagoPA  per Pagamento  pena pecuniaria (soggetto privo di codice fiscale)</v>
      </c>
      <c r="G145" s="148"/>
    </row>
    <row r="146" spans="1:11" ht="30" x14ac:dyDescent="0.25">
      <c r="A146" s="53"/>
      <c r="B146" s="41" t="s">
        <v>34</v>
      </c>
      <c r="C146" s="42" t="s">
        <v>35</v>
      </c>
      <c r="D146" s="38" t="s">
        <v>36</v>
      </c>
      <c r="E146" s="38" t="s">
        <v>37</v>
      </c>
      <c r="F146" s="38" t="s">
        <v>38</v>
      </c>
      <c r="G146" s="39" t="s">
        <v>11</v>
      </c>
    </row>
    <row r="147" spans="1:11" ht="49.5" customHeight="1" x14ac:dyDescent="0.25">
      <c r="A147" s="53"/>
      <c r="B147" s="124" t="s">
        <v>39</v>
      </c>
      <c r="C147" s="125" t="s">
        <v>40</v>
      </c>
      <c r="D147" s="126" t="s">
        <v>106</v>
      </c>
      <c r="E147" s="126" t="s">
        <v>107</v>
      </c>
      <c r="F147" s="126"/>
      <c r="G147" s="127"/>
    </row>
    <row r="148" spans="1:11" ht="42.75" customHeight="1" x14ac:dyDescent="0.25">
      <c r="A148" s="53"/>
      <c r="B148" s="124" t="s">
        <v>39</v>
      </c>
      <c r="C148" s="125" t="s">
        <v>41</v>
      </c>
      <c r="D148" s="126" t="s">
        <v>235</v>
      </c>
      <c r="E148" s="126"/>
      <c r="F148" s="105"/>
      <c r="G148" s="127"/>
    </row>
    <row r="149" spans="1:11" ht="43.5" customHeight="1" x14ac:dyDescent="0.25">
      <c r="A149" s="53"/>
      <c r="B149" s="128">
        <v>1</v>
      </c>
      <c r="C149" s="129" t="s">
        <v>42</v>
      </c>
      <c r="D149" s="130" t="s">
        <v>231</v>
      </c>
      <c r="E149" s="131"/>
      <c r="F149" s="126" t="s">
        <v>232</v>
      </c>
      <c r="G149" s="127"/>
    </row>
    <row r="150" spans="1:11" ht="40.5" customHeight="1" x14ac:dyDescent="0.25">
      <c r="A150" s="53"/>
      <c r="B150" s="134" t="s">
        <v>87</v>
      </c>
      <c r="C150" s="135" t="s">
        <v>43</v>
      </c>
      <c r="D150" s="126" t="s">
        <v>110</v>
      </c>
      <c r="E150" s="131"/>
      <c r="F150" s="126" t="s">
        <v>305</v>
      </c>
      <c r="G150" s="127"/>
      <c r="I150" s="126" t="s">
        <v>114</v>
      </c>
      <c r="J150" s="131"/>
      <c r="K150" s="126" t="s">
        <v>306</v>
      </c>
    </row>
    <row r="151" spans="1:11" ht="45.75" customHeight="1" x14ac:dyDescent="0.25">
      <c r="A151" s="53"/>
      <c r="B151" s="134" t="s">
        <v>88</v>
      </c>
      <c r="C151" s="135" t="s">
        <v>43</v>
      </c>
      <c r="D151" s="126" t="s">
        <v>233</v>
      </c>
      <c r="E151" s="131"/>
      <c r="F151" s="126" t="s">
        <v>307</v>
      </c>
      <c r="G151" s="127"/>
      <c r="I151" s="126" t="s">
        <v>308</v>
      </c>
      <c r="J151" s="131"/>
      <c r="K151" s="126" t="s">
        <v>309</v>
      </c>
    </row>
    <row r="152" spans="1:11" ht="45" customHeight="1" thickBot="1" x14ac:dyDescent="0.3">
      <c r="A152" s="53"/>
      <c r="B152" s="154" t="s">
        <v>90</v>
      </c>
      <c r="C152" s="141" t="s">
        <v>91</v>
      </c>
      <c r="D152" s="142" t="s">
        <v>234</v>
      </c>
      <c r="E152" s="106"/>
      <c r="F152" s="142"/>
      <c r="G152" s="151" t="s">
        <v>50</v>
      </c>
    </row>
    <row r="153" spans="1:11" ht="42.75" customHeight="1" thickBot="1" x14ac:dyDescent="0.3">
      <c r="A153" s="143" t="str">
        <f>TabellaTest!F21</f>
        <v>TF006.UC02</v>
      </c>
      <c r="B153" s="155" t="str">
        <f>TabellaTest!C21</f>
        <v>PAR. 2.5.3.1-013-01</v>
      </c>
      <c r="C153" s="145"/>
      <c r="D153" s="158" t="str">
        <f>TabellaTest!E21</f>
        <v>Verifica richiesta generazione Bollettini a pagoPA  per Pagamento  pena pecuniaria in SIEP (soggetto con codice fiscale)</v>
      </c>
      <c r="E153" s="159"/>
      <c r="F153" s="146" t="str">
        <f>TabellaTest!G21</f>
        <v>Verifica: Verificare nel sottosistema SIEP l'utilizzo della funzione richiesta generazione Bollettini a pagoPA  per Pagamento  pena pecuniaria (soggetto con codice fiscale)</v>
      </c>
      <c r="G153" s="148"/>
    </row>
    <row r="154" spans="1:11" ht="30" x14ac:dyDescent="0.25">
      <c r="A154" s="53"/>
      <c r="B154" s="41" t="s">
        <v>34</v>
      </c>
      <c r="C154" s="42" t="s">
        <v>35</v>
      </c>
      <c r="D154" s="47" t="s">
        <v>36</v>
      </c>
      <c r="E154" s="47" t="s">
        <v>37</v>
      </c>
      <c r="F154" s="38" t="s">
        <v>38</v>
      </c>
      <c r="G154" s="39" t="s">
        <v>11</v>
      </c>
    </row>
    <row r="155" spans="1:11" ht="49.5" customHeight="1" x14ac:dyDescent="0.25">
      <c r="A155" s="53"/>
      <c r="B155" s="124" t="s">
        <v>39</v>
      </c>
      <c r="C155" s="125" t="s">
        <v>40</v>
      </c>
      <c r="D155" s="126" t="s">
        <v>106</v>
      </c>
      <c r="E155" s="126" t="s">
        <v>107</v>
      </c>
      <c r="F155" s="126"/>
      <c r="G155" s="127"/>
    </row>
    <row r="156" spans="1:11" ht="42.75" customHeight="1" x14ac:dyDescent="0.25">
      <c r="A156" s="53"/>
      <c r="B156" s="124" t="s">
        <v>39</v>
      </c>
      <c r="C156" s="125" t="s">
        <v>41</v>
      </c>
      <c r="D156" s="126" t="s">
        <v>247</v>
      </c>
      <c r="E156" s="126"/>
      <c r="F156" s="105"/>
      <c r="G156" s="127"/>
    </row>
    <row r="157" spans="1:11" ht="43.5" customHeight="1" x14ac:dyDescent="0.25">
      <c r="A157" s="53"/>
      <c r="B157" s="128">
        <v>1</v>
      </c>
      <c r="C157" s="129" t="s">
        <v>42</v>
      </c>
      <c r="D157" s="130" t="s">
        <v>231</v>
      </c>
      <c r="E157" s="131"/>
      <c r="F157" s="126" t="s">
        <v>310</v>
      </c>
      <c r="G157" s="127"/>
    </row>
    <row r="158" spans="1:11" ht="40.5" customHeight="1" x14ac:dyDescent="0.25">
      <c r="A158" s="53"/>
      <c r="B158" s="134" t="s">
        <v>87</v>
      </c>
      <c r="C158" s="135" t="s">
        <v>43</v>
      </c>
      <c r="D158" s="126" t="s">
        <v>239</v>
      </c>
      <c r="E158" s="131"/>
      <c r="F158" s="126" t="s">
        <v>311</v>
      </c>
      <c r="G158" s="127"/>
    </row>
    <row r="159" spans="1:11" ht="45.75" customHeight="1" x14ac:dyDescent="0.25">
      <c r="A159" s="53"/>
      <c r="B159" s="134" t="s">
        <v>88</v>
      </c>
      <c r="C159" s="135" t="s">
        <v>43</v>
      </c>
      <c r="D159" s="126" t="s">
        <v>240</v>
      </c>
      <c r="E159" s="131"/>
      <c r="F159" s="126" t="s">
        <v>312</v>
      </c>
      <c r="G159" s="127"/>
    </row>
    <row r="160" spans="1:11" ht="45.75" customHeight="1" x14ac:dyDescent="0.25">
      <c r="A160" s="53"/>
      <c r="B160" s="134" t="s">
        <v>89</v>
      </c>
      <c r="C160" s="135" t="s">
        <v>43</v>
      </c>
      <c r="D160" s="126" t="s">
        <v>110</v>
      </c>
      <c r="E160" s="131"/>
      <c r="F160" s="126" t="s">
        <v>311</v>
      </c>
      <c r="G160" s="127"/>
    </row>
    <row r="161" spans="1:7" ht="45.75" customHeight="1" x14ac:dyDescent="0.25">
      <c r="A161" s="53"/>
      <c r="B161" s="134" t="s">
        <v>92</v>
      </c>
      <c r="C161" s="135" t="s">
        <v>43</v>
      </c>
      <c r="D161" s="126" t="s">
        <v>241</v>
      </c>
      <c r="E161" s="131"/>
      <c r="F161" s="126" t="s">
        <v>313</v>
      </c>
      <c r="G161" s="127"/>
    </row>
    <row r="162" spans="1:7" ht="36" customHeight="1" x14ac:dyDescent="0.25">
      <c r="A162" s="53"/>
      <c r="B162" s="134" t="s">
        <v>93</v>
      </c>
      <c r="C162" s="135" t="s">
        <v>43</v>
      </c>
      <c r="D162" s="126" t="s">
        <v>242</v>
      </c>
      <c r="E162" s="126"/>
      <c r="F162" s="126" t="s">
        <v>314</v>
      </c>
      <c r="G162" s="127"/>
    </row>
    <row r="163" spans="1:7" ht="45" customHeight="1" thickBot="1" x14ac:dyDescent="0.3">
      <c r="A163" s="55"/>
      <c r="B163" s="154" t="s">
        <v>90</v>
      </c>
      <c r="C163" s="141" t="s">
        <v>91</v>
      </c>
      <c r="D163" s="138" t="s">
        <v>243</v>
      </c>
      <c r="E163" s="106"/>
      <c r="F163" s="142"/>
      <c r="G163" s="151" t="s">
        <v>50</v>
      </c>
    </row>
    <row r="164" spans="1:7" ht="42.75" customHeight="1" thickBot="1" x14ac:dyDescent="0.3">
      <c r="A164" s="143" t="str">
        <f>TabellaTest!F22</f>
        <v>TF007.UC01</v>
      </c>
      <c r="B164" s="155" t="str">
        <f>TabellaTest!C22</f>
        <v>PAR. 2.5.3.2-013-01</v>
      </c>
      <c r="C164" s="145"/>
      <c r="D164" s="158" t="str">
        <f>TabellaTest!E22</f>
        <v>Verifica funzione Verifica stato pagamenti pena pecuniaria</v>
      </c>
      <c r="E164" s="159"/>
      <c r="F164" s="146" t="str">
        <f>TabellaTest!G22</f>
        <v>Verifica: Verificare nel sottosistema SIEP l'utilizzo della funzione verifica stato pagamenti pena pecuniaria</v>
      </c>
      <c r="G164" s="148"/>
    </row>
    <row r="165" spans="1:7" ht="30" x14ac:dyDescent="0.25">
      <c r="A165" s="53"/>
      <c r="B165" s="41" t="s">
        <v>34</v>
      </c>
      <c r="C165" s="42" t="s">
        <v>35</v>
      </c>
      <c r="D165" s="47" t="s">
        <v>36</v>
      </c>
      <c r="E165" s="47" t="s">
        <v>37</v>
      </c>
      <c r="F165" s="38" t="s">
        <v>38</v>
      </c>
      <c r="G165" s="39" t="s">
        <v>11</v>
      </c>
    </row>
    <row r="166" spans="1:7" ht="49.5" customHeight="1" x14ac:dyDescent="0.25">
      <c r="A166" s="53"/>
      <c r="B166" s="124" t="s">
        <v>39</v>
      </c>
      <c r="C166" s="125" t="s">
        <v>40</v>
      </c>
      <c r="D166" s="126" t="s">
        <v>106</v>
      </c>
      <c r="E166" s="126" t="s">
        <v>107</v>
      </c>
      <c r="F166" s="126"/>
      <c r="G166" s="127"/>
    </row>
    <row r="167" spans="1:7" ht="60" customHeight="1" x14ac:dyDescent="0.25">
      <c r="A167" s="53"/>
      <c r="B167" s="124" t="s">
        <v>39</v>
      </c>
      <c r="C167" s="125" t="s">
        <v>41</v>
      </c>
      <c r="D167" s="126" t="s">
        <v>248</v>
      </c>
      <c r="E167" s="126"/>
      <c r="F167" s="105"/>
      <c r="G167" s="127"/>
    </row>
    <row r="168" spans="1:7" ht="45" customHeight="1" x14ac:dyDescent="0.25">
      <c r="A168" s="53"/>
      <c r="B168" s="128">
        <v>1</v>
      </c>
      <c r="C168" s="129" t="s">
        <v>42</v>
      </c>
      <c r="D168" s="130" t="s">
        <v>231</v>
      </c>
      <c r="E168" s="131"/>
      <c r="F168" s="126" t="s">
        <v>315</v>
      </c>
      <c r="G168" s="127"/>
    </row>
    <row r="169" spans="1:7" ht="45" customHeight="1" x14ac:dyDescent="0.25">
      <c r="A169" s="53"/>
      <c r="B169" s="134" t="s">
        <v>87</v>
      </c>
      <c r="C169" s="135" t="s">
        <v>43</v>
      </c>
      <c r="D169" s="126" t="s">
        <v>249</v>
      </c>
      <c r="E169" s="131"/>
      <c r="F169" s="126" t="s">
        <v>316</v>
      </c>
      <c r="G169" s="127"/>
    </row>
    <row r="170" spans="1:7" ht="30" customHeight="1" x14ac:dyDescent="0.25">
      <c r="A170" s="53"/>
      <c r="B170" s="134" t="s">
        <v>88</v>
      </c>
      <c r="C170" s="135" t="s">
        <v>43</v>
      </c>
      <c r="D170" s="126" t="s">
        <v>242</v>
      </c>
      <c r="E170" s="126"/>
      <c r="F170" s="126" t="s">
        <v>314</v>
      </c>
      <c r="G170" s="127"/>
    </row>
    <row r="171" spans="1:7" ht="30" customHeight="1" thickBot="1" x14ac:dyDescent="0.3">
      <c r="A171" s="53"/>
      <c r="B171" s="154" t="s">
        <v>90</v>
      </c>
      <c r="C171" s="141" t="s">
        <v>91</v>
      </c>
      <c r="D171" s="138" t="s">
        <v>243</v>
      </c>
      <c r="E171" s="106"/>
      <c r="F171" s="142"/>
      <c r="G171" s="151" t="s">
        <v>50</v>
      </c>
    </row>
    <row r="172" spans="1:7" ht="30" customHeight="1" thickBot="1" x14ac:dyDescent="0.3">
      <c r="A172" s="143" t="str">
        <f>TabellaTest!F23</f>
        <v>TF008.UC01</v>
      </c>
      <c r="B172" s="155" t="str">
        <f>TabellaTest!C23</f>
        <v>PAR. 2.5.3.3-013-01</v>
      </c>
      <c r="C172" s="156"/>
      <c r="D172" s="144" t="str">
        <f>TabellaTest!E23</f>
        <v>Verifica funzione Verifica stato bollettino su pagoPA</v>
      </c>
      <c r="E172" s="145"/>
      <c r="F172" s="144" t="str">
        <f>TabellaTest!G23</f>
        <v>Verifica: Verificare nel sottosistema SIEP l'utilizzo della funzione  Verifica stato bollettino su pagoPA</v>
      </c>
      <c r="G172" s="157"/>
    </row>
    <row r="173" spans="1:7" ht="60" customHeight="1" x14ac:dyDescent="0.25">
      <c r="A173" s="160"/>
      <c r="B173" s="149" t="s">
        <v>39</v>
      </c>
      <c r="C173" s="125" t="s">
        <v>40</v>
      </c>
      <c r="D173" s="126" t="s">
        <v>106</v>
      </c>
      <c r="E173" s="126" t="s">
        <v>107</v>
      </c>
      <c r="F173" s="131" t="s">
        <v>256</v>
      </c>
      <c r="G173" s="127"/>
    </row>
    <row r="174" spans="1:7" ht="60" customHeight="1" x14ac:dyDescent="0.25">
      <c r="A174" s="161"/>
      <c r="B174" s="149" t="s">
        <v>39</v>
      </c>
      <c r="C174" s="125" t="s">
        <v>41</v>
      </c>
      <c r="D174" s="126" t="s">
        <v>248</v>
      </c>
      <c r="E174" s="126"/>
      <c r="F174" s="105"/>
      <c r="G174" s="127"/>
    </row>
    <row r="175" spans="1:7" ht="45" customHeight="1" x14ac:dyDescent="0.25">
      <c r="A175" s="161"/>
      <c r="B175" s="150">
        <v>1</v>
      </c>
      <c r="C175" s="129" t="s">
        <v>42</v>
      </c>
      <c r="D175" s="130" t="s">
        <v>253</v>
      </c>
      <c r="E175" s="131"/>
      <c r="F175" s="126" t="s">
        <v>317</v>
      </c>
      <c r="G175" s="127"/>
    </row>
    <row r="176" spans="1:7" ht="45" customHeight="1" x14ac:dyDescent="0.25">
      <c r="A176" s="161"/>
      <c r="B176" s="134" t="s">
        <v>87</v>
      </c>
      <c r="C176" s="135" t="s">
        <v>43</v>
      </c>
      <c r="D176" s="126" t="s">
        <v>241</v>
      </c>
      <c r="E176" s="131"/>
      <c r="F176" s="126" t="s">
        <v>318</v>
      </c>
      <c r="G176" s="127"/>
    </row>
    <row r="177" spans="1:7" ht="30" customHeight="1" x14ac:dyDescent="0.25">
      <c r="A177" s="161"/>
      <c r="B177" s="134" t="s">
        <v>88</v>
      </c>
      <c r="C177" s="135" t="s">
        <v>43</v>
      </c>
      <c r="D177" s="126" t="s">
        <v>254</v>
      </c>
      <c r="E177" s="131"/>
      <c r="F177" s="126" t="s">
        <v>319</v>
      </c>
      <c r="G177" s="127"/>
    </row>
    <row r="178" spans="1:7" ht="60" customHeight="1" x14ac:dyDescent="0.25">
      <c r="A178" s="161"/>
      <c r="B178" s="134" t="s">
        <v>89</v>
      </c>
      <c r="C178" s="135" t="s">
        <v>43</v>
      </c>
      <c r="D178" s="138" t="s">
        <v>110</v>
      </c>
      <c r="E178" s="162"/>
      <c r="F178" s="138" t="s">
        <v>320</v>
      </c>
      <c r="G178" s="139"/>
    </row>
    <row r="179" spans="1:7" ht="45" customHeight="1" thickBot="1" x14ac:dyDescent="0.3">
      <c r="A179" s="163"/>
      <c r="B179" s="140" t="s">
        <v>90</v>
      </c>
      <c r="C179" s="164" t="s">
        <v>91</v>
      </c>
      <c r="D179" s="165" t="s">
        <v>255</v>
      </c>
      <c r="E179" s="106"/>
      <c r="F179" s="142"/>
      <c r="G179" s="151" t="s">
        <v>50</v>
      </c>
    </row>
    <row r="180" spans="1:7" ht="30" customHeight="1" thickBot="1" x14ac:dyDescent="0.3">
      <c r="A180" s="143" t="str">
        <f>TabellaTest!F24</f>
        <v>TF009.UC01</v>
      </c>
      <c r="B180" s="155"/>
      <c r="C180" s="156"/>
      <c r="D180" s="144" t="str">
        <f>TabellaTest!E24</f>
        <v>Verifica funzione Batch Di Verifica Stato Del Pagamento</v>
      </c>
      <c r="E180" s="145"/>
      <c r="F180" s="144" t="str">
        <f>TabellaTest!G24</f>
        <v>Verifica: Verificare nel sottosistema SIEP l'utilizzo della funzione Batch Di Verifica Stato Del Pagamento</v>
      </c>
      <c r="G180" s="157"/>
    </row>
    <row r="181" spans="1:7" ht="30" customHeight="1" x14ac:dyDescent="0.25">
      <c r="A181" s="160"/>
      <c r="B181" s="149" t="s">
        <v>39</v>
      </c>
      <c r="C181" s="125" t="s">
        <v>40</v>
      </c>
      <c r="D181" s="126" t="s">
        <v>322</v>
      </c>
      <c r="E181" s="171" t="s">
        <v>321</v>
      </c>
      <c r="F181" s="131"/>
      <c r="G181" s="127"/>
    </row>
    <row r="182" spans="1:7" ht="30" customHeight="1" x14ac:dyDescent="0.25">
      <c r="A182" s="161"/>
      <c r="B182" s="149" t="s">
        <v>39</v>
      </c>
      <c r="C182" s="125" t="s">
        <v>41</v>
      </c>
      <c r="D182" s="126" t="s">
        <v>323</v>
      </c>
      <c r="E182" s="126"/>
      <c r="F182" s="105"/>
      <c r="G182" s="127"/>
    </row>
    <row r="183" spans="1:7" ht="30" customHeight="1" thickBot="1" x14ac:dyDescent="0.3">
      <c r="A183" s="163"/>
      <c r="B183" s="140" t="s">
        <v>90</v>
      </c>
      <c r="C183" s="164" t="s">
        <v>91</v>
      </c>
      <c r="D183" s="165" t="s">
        <v>324</v>
      </c>
      <c r="E183" s="172" t="s">
        <v>325</v>
      </c>
      <c r="F183" s="142" t="s">
        <v>326</v>
      </c>
      <c r="G183" s="151" t="s">
        <v>50</v>
      </c>
    </row>
  </sheetData>
  <autoFilter ref="A3:G3">
    <filterColumn colId="1" showButton="0"/>
    <filterColumn colId="3" showButton="0"/>
    <filterColumn colId="5" showButton="0"/>
  </autoFilter>
  <mergeCells count="87">
    <mergeCell ref="A173:A179"/>
    <mergeCell ref="B180:C180"/>
    <mergeCell ref="D180:E180"/>
    <mergeCell ref="F180:G180"/>
    <mergeCell ref="A181:A183"/>
    <mergeCell ref="A165:A171"/>
    <mergeCell ref="B153:C153"/>
    <mergeCell ref="D153:E153"/>
    <mergeCell ref="F153:G153"/>
    <mergeCell ref="A154:A163"/>
    <mergeCell ref="B164:C164"/>
    <mergeCell ref="D164:E164"/>
    <mergeCell ref="F164:G164"/>
    <mergeCell ref="A81:A86"/>
    <mergeCell ref="A1:C1"/>
    <mergeCell ref="D1:G1"/>
    <mergeCell ref="A2:C2"/>
    <mergeCell ref="D2:G2"/>
    <mergeCell ref="B3:C3"/>
    <mergeCell ref="D3:E3"/>
    <mergeCell ref="F3:G3"/>
    <mergeCell ref="F4:G4"/>
    <mergeCell ref="B36:C36"/>
    <mergeCell ref="D36:E36"/>
    <mergeCell ref="F36:G36"/>
    <mergeCell ref="B47:C47"/>
    <mergeCell ref="D47:E47"/>
    <mergeCell ref="F47:G47"/>
    <mergeCell ref="F16:G16"/>
    <mergeCell ref="F27:G27"/>
    <mergeCell ref="A63:A72"/>
    <mergeCell ref="A48:A54"/>
    <mergeCell ref="B55:C55"/>
    <mergeCell ref="D55:E55"/>
    <mergeCell ref="F55:G55"/>
    <mergeCell ref="B62:C62"/>
    <mergeCell ref="D62:E62"/>
    <mergeCell ref="F62:G62"/>
    <mergeCell ref="A5:A15"/>
    <mergeCell ref="A37:A46"/>
    <mergeCell ref="B4:C4"/>
    <mergeCell ref="D4:E4"/>
    <mergeCell ref="B16:C16"/>
    <mergeCell ref="D16:E16"/>
    <mergeCell ref="B27:C27"/>
    <mergeCell ref="D27:E27"/>
    <mergeCell ref="B172:C172"/>
    <mergeCell ref="D172:E172"/>
    <mergeCell ref="F172:G172"/>
    <mergeCell ref="B73:C73"/>
    <mergeCell ref="D73:E73"/>
    <mergeCell ref="F73:G73"/>
    <mergeCell ref="B80:C80"/>
    <mergeCell ref="D80:E80"/>
    <mergeCell ref="F80:G80"/>
    <mergeCell ref="B87:C87"/>
    <mergeCell ref="D87:E87"/>
    <mergeCell ref="F87:G87"/>
    <mergeCell ref="B106:C106"/>
    <mergeCell ref="D106:E106"/>
    <mergeCell ref="F106:G106"/>
    <mergeCell ref="B119:C119"/>
    <mergeCell ref="A88:A94"/>
    <mergeCell ref="B95:C95"/>
    <mergeCell ref="D95:E95"/>
    <mergeCell ref="F95:G95"/>
    <mergeCell ref="A96:A105"/>
    <mergeCell ref="A107:A112"/>
    <mergeCell ref="B113:C113"/>
    <mergeCell ref="D113:E113"/>
    <mergeCell ref="F113:G113"/>
    <mergeCell ref="A114:A118"/>
    <mergeCell ref="D119:E119"/>
    <mergeCell ref="F119:G119"/>
    <mergeCell ref="A120:A124"/>
    <mergeCell ref="B125:C125"/>
    <mergeCell ref="D125:E125"/>
    <mergeCell ref="F125:G125"/>
    <mergeCell ref="A126:A134"/>
    <mergeCell ref="A146:A152"/>
    <mergeCell ref="B135:C135"/>
    <mergeCell ref="D135:E135"/>
    <mergeCell ref="F135:G135"/>
    <mergeCell ref="A136:A144"/>
    <mergeCell ref="B145:C145"/>
    <mergeCell ref="D145:E145"/>
    <mergeCell ref="F145:G145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13" bestFit="1" customWidth="1"/>
    <col min="2" max="2" width="21.28515625" style="13" customWidth="1"/>
    <col min="3" max="3" width="22.7109375" style="13" bestFit="1" customWidth="1"/>
    <col min="4" max="4" width="32.5703125" style="13" customWidth="1"/>
    <col min="5" max="5" width="57.28515625" style="13" customWidth="1"/>
    <col min="6" max="6" width="15.5703125" style="13" customWidth="1"/>
    <col min="7" max="7" width="17.7109375" style="13" customWidth="1"/>
    <col min="8" max="254" width="9.140625" style="13"/>
    <col min="255" max="255" width="4" style="13" bestFit="1" customWidth="1"/>
    <col min="256" max="256" width="26.7109375" style="13" bestFit="1" customWidth="1"/>
    <col min="257" max="257" width="22.7109375" style="13" bestFit="1" customWidth="1"/>
    <col min="258" max="258" width="32.5703125" style="13" customWidth="1"/>
    <col min="259" max="259" width="57.28515625" style="13" customWidth="1"/>
    <col min="260" max="260" width="15.5703125" style="13" customWidth="1"/>
    <col min="261" max="261" width="16.7109375" style="13" customWidth="1"/>
    <col min="262" max="510" width="9.140625" style="13"/>
    <col min="511" max="511" width="4" style="13" bestFit="1" customWidth="1"/>
    <col min="512" max="512" width="26.7109375" style="13" bestFit="1" customWidth="1"/>
    <col min="513" max="513" width="22.7109375" style="13" bestFit="1" customWidth="1"/>
    <col min="514" max="514" width="32.5703125" style="13" customWidth="1"/>
    <col min="515" max="515" width="57.28515625" style="13" customWidth="1"/>
    <col min="516" max="516" width="15.5703125" style="13" customWidth="1"/>
    <col min="517" max="517" width="16.7109375" style="13" customWidth="1"/>
    <col min="518" max="766" width="9.140625" style="13"/>
    <col min="767" max="767" width="4" style="13" bestFit="1" customWidth="1"/>
    <col min="768" max="768" width="26.7109375" style="13" bestFit="1" customWidth="1"/>
    <col min="769" max="769" width="22.7109375" style="13" bestFit="1" customWidth="1"/>
    <col min="770" max="770" width="32.5703125" style="13" customWidth="1"/>
    <col min="771" max="771" width="57.28515625" style="13" customWidth="1"/>
    <col min="772" max="772" width="15.5703125" style="13" customWidth="1"/>
    <col min="773" max="773" width="16.7109375" style="13" customWidth="1"/>
    <col min="774" max="1022" width="9.140625" style="13"/>
    <col min="1023" max="1023" width="4" style="13" bestFit="1" customWidth="1"/>
    <col min="1024" max="1024" width="26.7109375" style="13" bestFit="1" customWidth="1"/>
    <col min="1025" max="1025" width="22.7109375" style="13" bestFit="1" customWidth="1"/>
    <col min="1026" max="1026" width="32.5703125" style="13" customWidth="1"/>
    <col min="1027" max="1027" width="57.28515625" style="13" customWidth="1"/>
    <col min="1028" max="1028" width="15.5703125" style="13" customWidth="1"/>
    <col min="1029" max="1029" width="16.7109375" style="13" customWidth="1"/>
    <col min="1030" max="1278" width="9.140625" style="13"/>
    <col min="1279" max="1279" width="4" style="13" bestFit="1" customWidth="1"/>
    <col min="1280" max="1280" width="26.7109375" style="13" bestFit="1" customWidth="1"/>
    <col min="1281" max="1281" width="22.7109375" style="13" bestFit="1" customWidth="1"/>
    <col min="1282" max="1282" width="32.5703125" style="13" customWidth="1"/>
    <col min="1283" max="1283" width="57.28515625" style="13" customWidth="1"/>
    <col min="1284" max="1284" width="15.5703125" style="13" customWidth="1"/>
    <col min="1285" max="1285" width="16.7109375" style="13" customWidth="1"/>
    <col min="1286" max="1534" width="9.140625" style="13"/>
    <col min="1535" max="1535" width="4" style="13" bestFit="1" customWidth="1"/>
    <col min="1536" max="1536" width="26.7109375" style="13" bestFit="1" customWidth="1"/>
    <col min="1537" max="1537" width="22.7109375" style="13" bestFit="1" customWidth="1"/>
    <col min="1538" max="1538" width="32.5703125" style="13" customWidth="1"/>
    <col min="1539" max="1539" width="57.28515625" style="13" customWidth="1"/>
    <col min="1540" max="1540" width="15.5703125" style="13" customWidth="1"/>
    <col min="1541" max="1541" width="16.7109375" style="13" customWidth="1"/>
    <col min="1542" max="1790" width="9.140625" style="13"/>
    <col min="1791" max="1791" width="4" style="13" bestFit="1" customWidth="1"/>
    <col min="1792" max="1792" width="26.7109375" style="13" bestFit="1" customWidth="1"/>
    <col min="1793" max="1793" width="22.7109375" style="13" bestFit="1" customWidth="1"/>
    <col min="1794" max="1794" width="32.5703125" style="13" customWidth="1"/>
    <col min="1795" max="1795" width="57.28515625" style="13" customWidth="1"/>
    <col min="1796" max="1796" width="15.5703125" style="13" customWidth="1"/>
    <col min="1797" max="1797" width="16.7109375" style="13" customWidth="1"/>
    <col min="1798" max="2046" width="9.140625" style="13"/>
    <col min="2047" max="2047" width="4" style="13" bestFit="1" customWidth="1"/>
    <col min="2048" max="2048" width="26.7109375" style="13" bestFit="1" customWidth="1"/>
    <col min="2049" max="2049" width="22.7109375" style="13" bestFit="1" customWidth="1"/>
    <col min="2050" max="2050" width="32.5703125" style="13" customWidth="1"/>
    <col min="2051" max="2051" width="57.28515625" style="13" customWidth="1"/>
    <col min="2052" max="2052" width="15.5703125" style="13" customWidth="1"/>
    <col min="2053" max="2053" width="16.7109375" style="13" customWidth="1"/>
    <col min="2054" max="2302" width="9.140625" style="13"/>
    <col min="2303" max="2303" width="4" style="13" bestFit="1" customWidth="1"/>
    <col min="2304" max="2304" width="26.7109375" style="13" bestFit="1" customWidth="1"/>
    <col min="2305" max="2305" width="22.7109375" style="13" bestFit="1" customWidth="1"/>
    <col min="2306" max="2306" width="32.5703125" style="13" customWidth="1"/>
    <col min="2307" max="2307" width="57.28515625" style="13" customWidth="1"/>
    <col min="2308" max="2308" width="15.5703125" style="13" customWidth="1"/>
    <col min="2309" max="2309" width="16.7109375" style="13" customWidth="1"/>
    <col min="2310" max="2558" width="9.140625" style="13"/>
    <col min="2559" max="2559" width="4" style="13" bestFit="1" customWidth="1"/>
    <col min="2560" max="2560" width="26.7109375" style="13" bestFit="1" customWidth="1"/>
    <col min="2561" max="2561" width="22.7109375" style="13" bestFit="1" customWidth="1"/>
    <col min="2562" max="2562" width="32.5703125" style="13" customWidth="1"/>
    <col min="2563" max="2563" width="57.28515625" style="13" customWidth="1"/>
    <col min="2564" max="2564" width="15.5703125" style="13" customWidth="1"/>
    <col min="2565" max="2565" width="16.7109375" style="13" customWidth="1"/>
    <col min="2566" max="2814" width="9.140625" style="13"/>
    <col min="2815" max="2815" width="4" style="13" bestFit="1" customWidth="1"/>
    <col min="2816" max="2816" width="26.7109375" style="13" bestFit="1" customWidth="1"/>
    <col min="2817" max="2817" width="22.7109375" style="13" bestFit="1" customWidth="1"/>
    <col min="2818" max="2818" width="32.5703125" style="13" customWidth="1"/>
    <col min="2819" max="2819" width="57.28515625" style="13" customWidth="1"/>
    <col min="2820" max="2820" width="15.5703125" style="13" customWidth="1"/>
    <col min="2821" max="2821" width="16.7109375" style="13" customWidth="1"/>
    <col min="2822" max="3070" width="9.140625" style="13"/>
    <col min="3071" max="3071" width="4" style="13" bestFit="1" customWidth="1"/>
    <col min="3072" max="3072" width="26.7109375" style="13" bestFit="1" customWidth="1"/>
    <col min="3073" max="3073" width="22.7109375" style="13" bestFit="1" customWidth="1"/>
    <col min="3074" max="3074" width="32.5703125" style="13" customWidth="1"/>
    <col min="3075" max="3075" width="57.28515625" style="13" customWidth="1"/>
    <col min="3076" max="3076" width="15.5703125" style="13" customWidth="1"/>
    <col min="3077" max="3077" width="16.7109375" style="13" customWidth="1"/>
    <col min="3078" max="3326" width="9.140625" style="13"/>
    <col min="3327" max="3327" width="4" style="13" bestFit="1" customWidth="1"/>
    <col min="3328" max="3328" width="26.7109375" style="13" bestFit="1" customWidth="1"/>
    <col min="3329" max="3329" width="22.7109375" style="13" bestFit="1" customWidth="1"/>
    <col min="3330" max="3330" width="32.5703125" style="13" customWidth="1"/>
    <col min="3331" max="3331" width="57.28515625" style="13" customWidth="1"/>
    <col min="3332" max="3332" width="15.5703125" style="13" customWidth="1"/>
    <col min="3333" max="3333" width="16.7109375" style="13" customWidth="1"/>
    <col min="3334" max="3582" width="9.140625" style="13"/>
    <col min="3583" max="3583" width="4" style="13" bestFit="1" customWidth="1"/>
    <col min="3584" max="3584" width="26.7109375" style="13" bestFit="1" customWidth="1"/>
    <col min="3585" max="3585" width="22.7109375" style="13" bestFit="1" customWidth="1"/>
    <col min="3586" max="3586" width="32.5703125" style="13" customWidth="1"/>
    <col min="3587" max="3587" width="57.28515625" style="13" customWidth="1"/>
    <col min="3588" max="3588" width="15.5703125" style="13" customWidth="1"/>
    <col min="3589" max="3589" width="16.7109375" style="13" customWidth="1"/>
    <col min="3590" max="3838" width="9.140625" style="13"/>
    <col min="3839" max="3839" width="4" style="13" bestFit="1" customWidth="1"/>
    <col min="3840" max="3840" width="26.7109375" style="13" bestFit="1" customWidth="1"/>
    <col min="3841" max="3841" width="22.7109375" style="13" bestFit="1" customWidth="1"/>
    <col min="3842" max="3842" width="32.5703125" style="13" customWidth="1"/>
    <col min="3843" max="3843" width="57.28515625" style="13" customWidth="1"/>
    <col min="3844" max="3844" width="15.5703125" style="13" customWidth="1"/>
    <col min="3845" max="3845" width="16.7109375" style="13" customWidth="1"/>
    <col min="3846" max="4094" width="9.140625" style="13"/>
    <col min="4095" max="4095" width="4" style="13" bestFit="1" customWidth="1"/>
    <col min="4096" max="4096" width="26.7109375" style="13" bestFit="1" customWidth="1"/>
    <col min="4097" max="4097" width="22.7109375" style="13" bestFit="1" customWidth="1"/>
    <col min="4098" max="4098" width="32.5703125" style="13" customWidth="1"/>
    <col min="4099" max="4099" width="57.28515625" style="13" customWidth="1"/>
    <col min="4100" max="4100" width="15.5703125" style="13" customWidth="1"/>
    <col min="4101" max="4101" width="16.7109375" style="13" customWidth="1"/>
    <col min="4102" max="4350" width="9.140625" style="13"/>
    <col min="4351" max="4351" width="4" style="13" bestFit="1" customWidth="1"/>
    <col min="4352" max="4352" width="26.7109375" style="13" bestFit="1" customWidth="1"/>
    <col min="4353" max="4353" width="22.7109375" style="13" bestFit="1" customWidth="1"/>
    <col min="4354" max="4354" width="32.5703125" style="13" customWidth="1"/>
    <col min="4355" max="4355" width="57.28515625" style="13" customWidth="1"/>
    <col min="4356" max="4356" width="15.5703125" style="13" customWidth="1"/>
    <col min="4357" max="4357" width="16.7109375" style="13" customWidth="1"/>
    <col min="4358" max="4606" width="9.140625" style="13"/>
    <col min="4607" max="4607" width="4" style="13" bestFit="1" customWidth="1"/>
    <col min="4608" max="4608" width="26.7109375" style="13" bestFit="1" customWidth="1"/>
    <col min="4609" max="4609" width="22.7109375" style="13" bestFit="1" customWidth="1"/>
    <col min="4610" max="4610" width="32.5703125" style="13" customWidth="1"/>
    <col min="4611" max="4611" width="57.28515625" style="13" customWidth="1"/>
    <col min="4612" max="4612" width="15.5703125" style="13" customWidth="1"/>
    <col min="4613" max="4613" width="16.7109375" style="13" customWidth="1"/>
    <col min="4614" max="4862" width="9.140625" style="13"/>
    <col min="4863" max="4863" width="4" style="13" bestFit="1" customWidth="1"/>
    <col min="4864" max="4864" width="26.7109375" style="13" bestFit="1" customWidth="1"/>
    <col min="4865" max="4865" width="22.7109375" style="13" bestFit="1" customWidth="1"/>
    <col min="4866" max="4866" width="32.5703125" style="13" customWidth="1"/>
    <col min="4867" max="4867" width="57.28515625" style="13" customWidth="1"/>
    <col min="4868" max="4868" width="15.5703125" style="13" customWidth="1"/>
    <col min="4869" max="4869" width="16.7109375" style="13" customWidth="1"/>
    <col min="4870" max="5118" width="9.140625" style="13"/>
    <col min="5119" max="5119" width="4" style="13" bestFit="1" customWidth="1"/>
    <col min="5120" max="5120" width="26.7109375" style="13" bestFit="1" customWidth="1"/>
    <col min="5121" max="5121" width="22.7109375" style="13" bestFit="1" customWidth="1"/>
    <col min="5122" max="5122" width="32.5703125" style="13" customWidth="1"/>
    <col min="5123" max="5123" width="57.28515625" style="13" customWidth="1"/>
    <col min="5124" max="5124" width="15.5703125" style="13" customWidth="1"/>
    <col min="5125" max="5125" width="16.7109375" style="13" customWidth="1"/>
    <col min="5126" max="5374" width="9.140625" style="13"/>
    <col min="5375" max="5375" width="4" style="13" bestFit="1" customWidth="1"/>
    <col min="5376" max="5376" width="26.7109375" style="13" bestFit="1" customWidth="1"/>
    <col min="5377" max="5377" width="22.7109375" style="13" bestFit="1" customWidth="1"/>
    <col min="5378" max="5378" width="32.5703125" style="13" customWidth="1"/>
    <col min="5379" max="5379" width="57.28515625" style="13" customWidth="1"/>
    <col min="5380" max="5380" width="15.5703125" style="13" customWidth="1"/>
    <col min="5381" max="5381" width="16.7109375" style="13" customWidth="1"/>
    <col min="5382" max="5630" width="9.140625" style="13"/>
    <col min="5631" max="5631" width="4" style="13" bestFit="1" customWidth="1"/>
    <col min="5632" max="5632" width="26.7109375" style="13" bestFit="1" customWidth="1"/>
    <col min="5633" max="5633" width="22.7109375" style="13" bestFit="1" customWidth="1"/>
    <col min="5634" max="5634" width="32.5703125" style="13" customWidth="1"/>
    <col min="5635" max="5635" width="57.28515625" style="13" customWidth="1"/>
    <col min="5636" max="5636" width="15.5703125" style="13" customWidth="1"/>
    <col min="5637" max="5637" width="16.7109375" style="13" customWidth="1"/>
    <col min="5638" max="5886" width="9.140625" style="13"/>
    <col min="5887" max="5887" width="4" style="13" bestFit="1" customWidth="1"/>
    <col min="5888" max="5888" width="26.7109375" style="13" bestFit="1" customWidth="1"/>
    <col min="5889" max="5889" width="22.7109375" style="13" bestFit="1" customWidth="1"/>
    <col min="5890" max="5890" width="32.5703125" style="13" customWidth="1"/>
    <col min="5891" max="5891" width="57.28515625" style="13" customWidth="1"/>
    <col min="5892" max="5892" width="15.5703125" style="13" customWidth="1"/>
    <col min="5893" max="5893" width="16.7109375" style="13" customWidth="1"/>
    <col min="5894" max="6142" width="9.140625" style="13"/>
    <col min="6143" max="6143" width="4" style="13" bestFit="1" customWidth="1"/>
    <col min="6144" max="6144" width="26.7109375" style="13" bestFit="1" customWidth="1"/>
    <col min="6145" max="6145" width="22.7109375" style="13" bestFit="1" customWidth="1"/>
    <col min="6146" max="6146" width="32.5703125" style="13" customWidth="1"/>
    <col min="6147" max="6147" width="57.28515625" style="13" customWidth="1"/>
    <col min="6148" max="6148" width="15.5703125" style="13" customWidth="1"/>
    <col min="6149" max="6149" width="16.7109375" style="13" customWidth="1"/>
    <col min="6150" max="6398" width="9.140625" style="13"/>
    <col min="6399" max="6399" width="4" style="13" bestFit="1" customWidth="1"/>
    <col min="6400" max="6400" width="26.7109375" style="13" bestFit="1" customWidth="1"/>
    <col min="6401" max="6401" width="22.7109375" style="13" bestFit="1" customWidth="1"/>
    <col min="6402" max="6402" width="32.5703125" style="13" customWidth="1"/>
    <col min="6403" max="6403" width="57.28515625" style="13" customWidth="1"/>
    <col min="6404" max="6404" width="15.5703125" style="13" customWidth="1"/>
    <col min="6405" max="6405" width="16.7109375" style="13" customWidth="1"/>
    <col min="6406" max="6654" width="9.140625" style="13"/>
    <col min="6655" max="6655" width="4" style="13" bestFit="1" customWidth="1"/>
    <col min="6656" max="6656" width="26.7109375" style="13" bestFit="1" customWidth="1"/>
    <col min="6657" max="6657" width="22.7109375" style="13" bestFit="1" customWidth="1"/>
    <col min="6658" max="6658" width="32.5703125" style="13" customWidth="1"/>
    <col min="6659" max="6659" width="57.28515625" style="13" customWidth="1"/>
    <col min="6660" max="6660" width="15.5703125" style="13" customWidth="1"/>
    <col min="6661" max="6661" width="16.7109375" style="13" customWidth="1"/>
    <col min="6662" max="6910" width="9.140625" style="13"/>
    <col min="6911" max="6911" width="4" style="13" bestFit="1" customWidth="1"/>
    <col min="6912" max="6912" width="26.7109375" style="13" bestFit="1" customWidth="1"/>
    <col min="6913" max="6913" width="22.7109375" style="13" bestFit="1" customWidth="1"/>
    <col min="6914" max="6914" width="32.5703125" style="13" customWidth="1"/>
    <col min="6915" max="6915" width="57.28515625" style="13" customWidth="1"/>
    <col min="6916" max="6916" width="15.5703125" style="13" customWidth="1"/>
    <col min="6917" max="6917" width="16.7109375" style="13" customWidth="1"/>
    <col min="6918" max="7166" width="9.140625" style="13"/>
    <col min="7167" max="7167" width="4" style="13" bestFit="1" customWidth="1"/>
    <col min="7168" max="7168" width="26.7109375" style="13" bestFit="1" customWidth="1"/>
    <col min="7169" max="7169" width="22.7109375" style="13" bestFit="1" customWidth="1"/>
    <col min="7170" max="7170" width="32.5703125" style="13" customWidth="1"/>
    <col min="7171" max="7171" width="57.28515625" style="13" customWidth="1"/>
    <col min="7172" max="7172" width="15.5703125" style="13" customWidth="1"/>
    <col min="7173" max="7173" width="16.7109375" style="13" customWidth="1"/>
    <col min="7174" max="7422" width="9.140625" style="13"/>
    <col min="7423" max="7423" width="4" style="13" bestFit="1" customWidth="1"/>
    <col min="7424" max="7424" width="26.7109375" style="13" bestFit="1" customWidth="1"/>
    <col min="7425" max="7425" width="22.7109375" style="13" bestFit="1" customWidth="1"/>
    <col min="7426" max="7426" width="32.5703125" style="13" customWidth="1"/>
    <col min="7427" max="7427" width="57.28515625" style="13" customWidth="1"/>
    <col min="7428" max="7428" width="15.5703125" style="13" customWidth="1"/>
    <col min="7429" max="7429" width="16.7109375" style="13" customWidth="1"/>
    <col min="7430" max="7678" width="9.140625" style="13"/>
    <col min="7679" max="7679" width="4" style="13" bestFit="1" customWidth="1"/>
    <col min="7680" max="7680" width="26.7109375" style="13" bestFit="1" customWidth="1"/>
    <col min="7681" max="7681" width="22.7109375" style="13" bestFit="1" customWidth="1"/>
    <col min="7682" max="7682" width="32.5703125" style="13" customWidth="1"/>
    <col min="7683" max="7683" width="57.28515625" style="13" customWidth="1"/>
    <col min="7684" max="7684" width="15.5703125" style="13" customWidth="1"/>
    <col min="7685" max="7685" width="16.7109375" style="13" customWidth="1"/>
    <col min="7686" max="7934" width="9.140625" style="13"/>
    <col min="7935" max="7935" width="4" style="13" bestFit="1" customWidth="1"/>
    <col min="7936" max="7936" width="26.7109375" style="13" bestFit="1" customWidth="1"/>
    <col min="7937" max="7937" width="22.7109375" style="13" bestFit="1" customWidth="1"/>
    <col min="7938" max="7938" width="32.5703125" style="13" customWidth="1"/>
    <col min="7939" max="7939" width="57.28515625" style="13" customWidth="1"/>
    <col min="7940" max="7940" width="15.5703125" style="13" customWidth="1"/>
    <col min="7941" max="7941" width="16.7109375" style="13" customWidth="1"/>
    <col min="7942" max="8190" width="9.140625" style="13"/>
    <col min="8191" max="8191" width="4" style="13" bestFit="1" customWidth="1"/>
    <col min="8192" max="8192" width="26.7109375" style="13" bestFit="1" customWidth="1"/>
    <col min="8193" max="8193" width="22.7109375" style="13" bestFit="1" customWidth="1"/>
    <col min="8194" max="8194" width="32.5703125" style="13" customWidth="1"/>
    <col min="8195" max="8195" width="57.28515625" style="13" customWidth="1"/>
    <col min="8196" max="8196" width="15.5703125" style="13" customWidth="1"/>
    <col min="8197" max="8197" width="16.7109375" style="13" customWidth="1"/>
    <col min="8198" max="8446" width="9.140625" style="13"/>
    <col min="8447" max="8447" width="4" style="13" bestFit="1" customWidth="1"/>
    <col min="8448" max="8448" width="26.7109375" style="13" bestFit="1" customWidth="1"/>
    <col min="8449" max="8449" width="22.7109375" style="13" bestFit="1" customWidth="1"/>
    <col min="8450" max="8450" width="32.5703125" style="13" customWidth="1"/>
    <col min="8451" max="8451" width="57.28515625" style="13" customWidth="1"/>
    <col min="8452" max="8452" width="15.5703125" style="13" customWidth="1"/>
    <col min="8453" max="8453" width="16.7109375" style="13" customWidth="1"/>
    <col min="8454" max="8702" width="9.140625" style="13"/>
    <col min="8703" max="8703" width="4" style="13" bestFit="1" customWidth="1"/>
    <col min="8704" max="8704" width="26.7109375" style="13" bestFit="1" customWidth="1"/>
    <col min="8705" max="8705" width="22.7109375" style="13" bestFit="1" customWidth="1"/>
    <col min="8706" max="8706" width="32.5703125" style="13" customWidth="1"/>
    <col min="8707" max="8707" width="57.28515625" style="13" customWidth="1"/>
    <col min="8708" max="8708" width="15.5703125" style="13" customWidth="1"/>
    <col min="8709" max="8709" width="16.7109375" style="13" customWidth="1"/>
    <col min="8710" max="8958" width="9.140625" style="13"/>
    <col min="8959" max="8959" width="4" style="13" bestFit="1" customWidth="1"/>
    <col min="8960" max="8960" width="26.7109375" style="13" bestFit="1" customWidth="1"/>
    <col min="8961" max="8961" width="22.7109375" style="13" bestFit="1" customWidth="1"/>
    <col min="8962" max="8962" width="32.5703125" style="13" customWidth="1"/>
    <col min="8963" max="8963" width="57.28515625" style="13" customWidth="1"/>
    <col min="8964" max="8964" width="15.5703125" style="13" customWidth="1"/>
    <col min="8965" max="8965" width="16.7109375" style="13" customWidth="1"/>
    <col min="8966" max="9214" width="9.140625" style="13"/>
    <col min="9215" max="9215" width="4" style="13" bestFit="1" customWidth="1"/>
    <col min="9216" max="9216" width="26.7109375" style="13" bestFit="1" customWidth="1"/>
    <col min="9217" max="9217" width="22.7109375" style="13" bestFit="1" customWidth="1"/>
    <col min="9218" max="9218" width="32.5703125" style="13" customWidth="1"/>
    <col min="9219" max="9219" width="57.28515625" style="13" customWidth="1"/>
    <col min="9220" max="9220" width="15.5703125" style="13" customWidth="1"/>
    <col min="9221" max="9221" width="16.7109375" style="13" customWidth="1"/>
    <col min="9222" max="9470" width="9.140625" style="13"/>
    <col min="9471" max="9471" width="4" style="13" bestFit="1" customWidth="1"/>
    <col min="9472" max="9472" width="26.7109375" style="13" bestFit="1" customWidth="1"/>
    <col min="9473" max="9473" width="22.7109375" style="13" bestFit="1" customWidth="1"/>
    <col min="9474" max="9474" width="32.5703125" style="13" customWidth="1"/>
    <col min="9475" max="9475" width="57.28515625" style="13" customWidth="1"/>
    <col min="9476" max="9476" width="15.5703125" style="13" customWidth="1"/>
    <col min="9477" max="9477" width="16.7109375" style="13" customWidth="1"/>
    <col min="9478" max="9726" width="9.140625" style="13"/>
    <col min="9727" max="9727" width="4" style="13" bestFit="1" customWidth="1"/>
    <col min="9728" max="9728" width="26.7109375" style="13" bestFit="1" customWidth="1"/>
    <col min="9729" max="9729" width="22.7109375" style="13" bestFit="1" customWidth="1"/>
    <col min="9730" max="9730" width="32.5703125" style="13" customWidth="1"/>
    <col min="9731" max="9731" width="57.28515625" style="13" customWidth="1"/>
    <col min="9732" max="9732" width="15.5703125" style="13" customWidth="1"/>
    <col min="9733" max="9733" width="16.7109375" style="13" customWidth="1"/>
    <col min="9734" max="9982" width="9.140625" style="13"/>
    <col min="9983" max="9983" width="4" style="13" bestFit="1" customWidth="1"/>
    <col min="9984" max="9984" width="26.7109375" style="13" bestFit="1" customWidth="1"/>
    <col min="9985" max="9985" width="22.7109375" style="13" bestFit="1" customWidth="1"/>
    <col min="9986" max="9986" width="32.5703125" style="13" customWidth="1"/>
    <col min="9987" max="9987" width="57.28515625" style="13" customWidth="1"/>
    <col min="9988" max="9988" width="15.5703125" style="13" customWidth="1"/>
    <col min="9989" max="9989" width="16.7109375" style="13" customWidth="1"/>
    <col min="9990" max="10238" width="9.140625" style="13"/>
    <col min="10239" max="10239" width="4" style="13" bestFit="1" customWidth="1"/>
    <col min="10240" max="10240" width="26.7109375" style="13" bestFit="1" customWidth="1"/>
    <col min="10241" max="10241" width="22.7109375" style="13" bestFit="1" customWidth="1"/>
    <col min="10242" max="10242" width="32.5703125" style="13" customWidth="1"/>
    <col min="10243" max="10243" width="57.28515625" style="13" customWidth="1"/>
    <col min="10244" max="10244" width="15.5703125" style="13" customWidth="1"/>
    <col min="10245" max="10245" width="16.7109375" style="13" customWidth="1"/>
    <col min="10246" max="10494" width="9.140625" style="13"/>
    <col min="10495" max="10495" width="4" style="13" bestFit="1" customWidth="1"/>
    <col min="10496" max="10496" width="26.7109375" style="13" bestFit="1" customWidth="1"/>
    <col min="10497" max="10497" width="22.7109375" style="13" bestFit="1" customWidth="1"/>
    <col min="10498" max="10498" width="32.5703125" style="13" customWidth="1"/>
    <col min="10499" max="10499" width="57.28515625" style="13" customWidth="1"/>
    <col min="10500" max="10500" width="15.5703125" style="13" customWidth="1"/>
    <col min="10501" max="10501" width="16.7109375" style="13" customWidth="1"/>
    <col min="10502" max="10750" width="9.140625" style="13"/>
    <col min="10751" max="10751" width="4" style="13" bestFit="1" customWidth="1"/>
    <col min="10752" max="10752" width="26.7109375" style="13" bestFit="1" customWidth="1"/>
    <col min="10753" max="10753" width="22.7109375" style="13" bestFit="1" customWidth="1"/>
    <col min="10754" max="10754" width="32.5703125" style="13" customWidth="1"/>
    <col min="10755" max="10755" width="57.28515625" style="13" customWidth="1"/>
    <col min="10756" max="10756" width="15.5703125" style="13" customWidth="1"/>
    <col min="10757" max="10757" width="16.7109375" style="13" customWidth="1"/>
    <col min="10758" max="11006" width="9.140625" style="13"/>
    <col min="11007" max="11007" width="4" style="13" bestFit="1" customWidth="1"/>
    <col min="11008" max="11008" width="26.7109375" style="13" bestFit="1" customWidth="1"/>
    <col min="11009" max="11009" width="22.7109375" style="13" bestFit="1" customWidth="1"/>
    <col min="11010" max="11010" width="32.5703125" style="13" customWidth="1"/>
    <col min="11011" max="11011" width="57.28515625" style="13" customWidth="1"/>
    <col min="11012" max="11012" width="15.5703125" style="13" customWidth="1"/>
    <col min="11013" max="11013" width="16.7109375" style="13" customWidth="1"/>
    <col min="11014" max="11262" width="9.140625" style="13"/>
    <col min="11263" max="11263" width="4" style="13" bestFit="1" customWidth="1"/>
    <col min="11264" max="11264" width="26.7109375" style="13" bestFit="1" customWidth="1"/>
    <col min="11265" max="11265" width="22.7109375" style="13" bestFit="1" customWidth="1"/>
    <col min="11266" max="11266" width="32.5703125" style="13" customWidth="1"/>
    <col min="11267" max="11267" width="57.28515625" style="13" customWidth="1"/>
    <col min="11268" max="11268" width="15.5703125" style="13" customWidth="1"/>
    <col min="11269" max="11269" width="16.7109375" style="13" customWidth="1"/>
    <col min="11270" max="11518" width="9.140625" style="13"/>
    <col min="11519" max="11519" width="4" style="13" bestFit="1" customWidth="1"/>
    <col min="11520" max="11520" width="26.7109375" style="13" bestFit="1" customWidth="1"/>
    <col min="11521" max="11521" width="22.7109375" style="13" bestFit="1" customWidth="1"/>
    <col min="11522" max="11522" width="32.5703125" style="13" customWidth="1"/>
    <col min="11523" max="11523" width="57.28515625" style="13" customWidth="1"/>
    <col min="11524" max="11524" width="15.5703125" style="13" customWidth="1"/>
    <col min="11525" max="11525" width="16.7109375" style="13" customWidth="1"/>
    <col min="11526" max="11774" width="9.140625" style="13"/>
    <col min="11775" max="11775" width="4" style="13" bestFit="1" customWidth="1"/>
    <col min="11776" max="11776" width="26.7109375" style="13" bestFit="1" customWidth="1"/>
    <col min="11777" max="11777" width="22.7109375" style="13" bestFit="1" customWidth="1"/>
    <col min="11778" max="11778" width="32.5703125" style="13" customWidth="1"/>
    <col min="11779" max="11779" width="57.28515625" style="13" customWidth="1"/>
    <col min="11780" max="11780" width="15.5703125" style="13" customWidth="1"/>
    <col min="11781" max="11781" width="16.7109375" style="13" customWidth="1"/>
    <col min="11782" max="12030" width="9.140625" style="13"/>
    <col min="12031" max="12031" width="4" style="13" bestFit="1" customWidth="1"/>
    <col min="12032" max="12032" width="26.7109375" style="13" bestFit="1" customWidth="1"/>
    <col min="12033" max="12033" width="22.7109375" style="13" bestFit="1" customWidth="1"/>
    <col min="12034" max="12034" width="32.5703125" style="13" customWidth="1"/>
    <col min="12035" max="12035" width="57.28515625" style="13" customWidth="1"/>
    <col min="12036" max="12036" width="15.5703125" style="13" customWidth="1"/>
    <col min="12037" max="12037" width="16.7109375" style="13" customWidth="1"/>
    <col min="12038" max="12286" width="9.140625" style="13"/>
    <col min="12287" max="12287" width="4" style="13" bestFit="1" customWidth="1"/>
    <col min="12288" max="12288" width="26.7109375" style="13" bestFit="1" customWidth="1"/>
    <col min="12289" max="12289" width="22.7109375" style="13" bestFit="1" customWidth="1"/>
    <col min="12290" max="12290" width="32.5703125" style="13" customWidth="1"/>
    <col min="12291" max="12291" width="57.28515625" style="13" customWidth="1"/>
    <col min="12292" max="12292" width="15.5703125" style="13" customWidth="1"/>
    <col min="12293" max="12293" width="16.7109375" style="13" customWidth="1"/>
    <col min="12294" max="12542" width="9.140625" style="13"/>
    <col min="12543" max="12543" width="4" style="13" bestFit="1" customWidth="1"/>
    <col min="12544" max="12544" width="26.7109375" style="13" bestFit="1" customWidth="1"/>
    <col min="12545" max="12545" width="22.7109375" style="13" bestFit="1" customWidth="1"/>
    <col min="12546" max="12546" width="32.5703125" style="13" customWidth="1"/>
    <col min="12547" max="12547" width="57.28515625" style="13" customWidth="1"/>
    <col min="12548" max="12548" width="15.5703125" style="13" customWidth="1"/>
    <col min="12549" max="12549" width="16.7109375" style="13" customWidth="1"/>
    <col min="12550" max="12798" width="9.140625" style="13"/>
    <col min="12799" max="12799" width="4" style="13" bestFit="1" customWidth="1"/>
    <col min="12800" max="12800" width="26.7109375" style="13" bestFit="1" customWidth="1"/>
    <col min="12801" max="12801" width="22.7109375" style="13" bestFit="1" customWidth="1"/>
    <col min="12802" max="12802" width="32.5703125" style="13" customWidth="1"/>
    <col min="12803" max="12803" width="57.28515625" style="13" customWidth="1"/>
    <col min="12804" max="12804" width="15.5703125" style="13" customWidth="1"/>
    <col min="12805" max="12805" width="16.7109375" style="13" customWidth="1"/>
    <col min="12806" max="13054" width="9.140625" style="13"/>
    <col min="13055" max="13055" width="4" style="13" bestFit="1" customWidth="1"/>
    <col min="13056" max="13056" width="26.7109375" style="13" bestFit="1" customWidth="1"/>
    <col min="13057" max="13057" width="22.7109375" style="13" bestFit="1" customWidth="1"/>
    <col min="13058" max="13058" width="32.5703125" style="13" customWidth="1"/>
    <col min="13059" max="13059" width="57.28515625" style="13" customWidth="1"/>
    <col min="13060" max="13060" width="15.5703125" style="13" customWidth="1"/>
    <col min="13061" max="13061" width="16.7109375" style="13" customWidth="1"/>
    <col min="13062" max="13310" width="9.140625" style="13"/>
    <col min="13311" max="13311" width="4" style="13" bestFit="1" customWidth="1"/>
    <col min="13312" max="13312" width="26.7109375" style="13" bestFit="1" customWidth="1"/>
    <col min="13313" max="13313" width="22.7109375" style="13" bestFit="1" customWidth="1"/>
    <col min="13314" max="13314" width="32.5703125" style="13" customWidth="1"/>
    <col min="13315" max="13315" width="57.28515625" style="13" customWidth="1"/>
    <col min="13316" max="13316" width="15.5703125" style="13" customWidth="1"/>
    <col min="13317" max="13317" width="16.7109375" style="13" customWidth="1"/>
    <col min="13318" max="13566" width="9.140625" style="13"/>
    <col min="13567" max="13567" width="4" style="13" bestFit="1" customWidth="1"/>
    <col min="13568" max="13568" width="26.7109375" style="13" bestFit="1" customWidth="1"/>
    <col min="13569" max="13569" width="22.7109375" style="13" bestFit="1" customWidth="1"/>
    <col min="13570" max="13570" width="32.5703125" style="13" customWidth="1"/>
    <col min="13571" max="13571" width="57.28515625" style="13" customWidth="1"/>
    <col min="13572" max="13572" width="15.5703125" style="13" customWidth="1"/>
    <col min="13573" max="13573" width="16.7109375" style="13" customWidth="1"/>
    <col min="13574" max="13822" width="9.140625" style="13"/>
    <col min="13823" max="13823" width="4" style="13" bestFit="1" customWidth="1"/>
    <col min="13824" max="13824" width="26.7109375" style="13" bestFit="1" customWidth="1"/>
    <col min="13825" max="13825" width="22.7109375" style="13" bestFit="1" customWidth="1"/>
    <col min="13826" max="13826" width="32.5703125" style="13" customWidth="1"/>
    <col min="13827" max="13827" width="57.28515625" style="13" customWidth="1"/>
    <col min="13828" max="13828" width="15.5703125" style="13" customWidth="1"/>
    <col min="13829" max="13829" width="16.7109375" style="13" customWidth="1"/>
    <col min="13830" max="14078" width="9.140625" style="13"/>
    <col min="14079" max="14079" width="4" style="13" bestFit="1" customWidth="1"/>
    <col min="14080" max="14080" width="26.7109375" style="13" bestFit="1" customWidth="1"/>
    <col min="14081" max="14081" width="22.7109375" style="13" bestFit="1" customWidth="1"/>
    <col min="14082" max="14082" width="32.5703125" style="13" customWidth="1"/>
    <col min="14083" max="14083" width="57.28515625" style="13" customWidth="1"/>
    <col min="14084" max="14084" width="15.5703125" style="13" customWidth="1"/>
    <col min="14085" max="14085" width="16.7109375" style="13" customWidth="1"/>
    <col min="14086" max="14334" width="9.140625" style="13"/>
    <col min="14335" max="14335" width="4" style="13" bestFit="1" customWidth="1"/>
    <col min="14336" max="14336" width="26.7109375" style="13" bestFit="1" customWidth="1"/>
    <col min="14337" max="14337" width="22.7109375" style="13" bestFit="1" customWidth="1"/>
    <col min="14338" max="14338" width="32.5703125" style="13" customWidth="1"/>
    <col min="14339" max="14339" width="57.28515625" style="13" customWidth="1"/>
    <col min="14340" max="14340" width="15.5703125" style="13" customWidth="1"/>
    <col min="14341" max="14341" width="16.7109375" style="13" customWidth="1"/>
    <col min="14342" max="14590" width="9.140625" style="13"/>
    <col min="14591" max="14591" width="4" style="13" bestFit="1" customWidth="1"/>
    <col min="14592" max="14592" width="26.7109375" style="13" bestFit="1" customWidth="1"/>
    <col min="14593" max="14593" width="22.7109375" style="13" bestFit="1" customWidth="1"/>
    <col min="14594" max="14594" width="32.5703125" style="13" customWidth="1"/>
    <col min="14595" max="14595" width="57.28515625" style="13" customWidth="1"/>
    <col min="14596" max="14596" width="15.5703125" style="13" customWidth="1"/>
    <col min="14597" max="14597" width="16.7109375" style="13" customWidth="1"/>
    <col min="14598" max="14846" width="9.140625" style="13"/>
    <col min="14847" max="14847" width="4" style="13" bestFit="1" customWidth="1"/>
    <col min="14848" max="14848" width="26.7109375" style="13" bestFit="1" customWidth="1"/>
    <col min="14849" max="14849" width="22.7109375" style="13" bestFit="1" customWidth="1"/>
    <col min="14850" max="14850" width="32.5703125" style="13" customWidth="1"/>
    <col min="14851" max="14851" width="57.28515625" style="13" customWidth="1"/>
    <col min="14852" max="14852" width="15.5703125" style="13" customWidth="1"/>
    <col min="14853" max="14853" width="16.7109375" style="13" customWidth="1"/>
    <col min="14854" max="15102" width="9.140625" style="13"/>
    <col min="15103" max="15103" width="4" style="13" bestFit="1" customWidth="1"/>
    <col min="15104" max="15104" width="26.7109375" style="13" bestFit="1" customWidth="1"/>
    <col min="15105" max="15105" width="22.7109375" style="13" bestFit="1" customWidth="1"/>
    <col min="15106" max="15106" width="32.5703125" style="13" customWidth="1"/>
    <col min="15107" max="15107" width="57.28515625" style="13" customWidth="1"/>
    <col min="15108" max="15108" width="15.5703125" style="13" customWidth="1"/>
    <col min="15109" max="15109" width="16.7109375" style="13" customWidth="1"/>
    <col min="15110" max="15358" width="9.140625" style="13"/>
    <col min="15359" max="15359" width="4" style="13" bestFit="1" customWidth="1"/>
    <col min="15360" max="15360" width="26.7109375" style="13" bestFit="1" customWidth="1"/>
    <col min="15361" max="15361" width="22.7109375" style="13" bestFit="1" customWidth="1"/>
    <col min="15362" max="15362" width="32.5703125" style="13" customWidth="1"/>
    <col min="15363" max="15363" width="57.28515625" style="13" customWidth="1"/>
    <col min="15364" max="15364" width="15.5703125" style="13" customWidth="1"/>
    <col min="15365" max="15365" width="16.7109375" style="13" customWidth="1"/>
    <col min="15366" max="15614" width="9.140625" style="13"/>
    <col min="15615" max="15615" width="4" style="13" bestFit="1" customWidth="1"/>
    <col min="15616" max="15616" width="26.7109375" style="13" bestFit="1" customWidth="1"/>
    <col min="15617" max="15617" width="22.7109375" style="13" bestFit="1" customWidth="1"/>
    <col min="15618" max="15618" width="32.5703125" style="13" customWidth="1"/>
    <col min="15619" max="15619" width="57.28515625" style="13" customWidth="1"/>
    <col min="15620" max="15620" width="15.5703125" style="13" customWidth="1"/>
    <col min="15621" max="15621" width="16.7109375" style="13" customWidth="1"/>
    <col min="15622" max="15870" width="9.140625" style="13"/>
    <col min="15871" max="15871" width="4" style="13" bestFit="1" customWidth="1"/>
    <col min="15872" max="15872" width="26.7109375" style="13" bestFit="1" customWidth="1"/>
    <col min="15873" max="15873" width="22.7109375" style="13" bestFit="1" customWidth="1"/>
    <col min="15874" max="15874" width="32.5703125" style="13" customWidth="1"/>
    <col min="15875" max="15875" width="57.28515625" style="13" customWidth="1"/>
    <col min="15876" max="15876" width="15.5703125" style="13" customWidth="1"/>
    <col min="15877" max="15877" width="16.7109375" style="13" customWidth="1"/>
    <col min="15878" max="16126" width="9.140625" style="13"/>
    <col min="16127" max="16127" width="4" style="13" bestFit="1" customWidth="1"/>
    <col min="16128" max="16128" width="26.7109375" style="13" bestFit="1" customWidth="1"/>
    <col min="16129" max="16129" width="22.7109375" style="13" bestFit="1" customWidth="1"/>
    <col min="16130" max="16130" width="32.5703125" style="13" customWidth="1"/>
    <col min="16131" max="16131" width="57.28515625" style="13" customWidth="1"/>
    <col min="16132" max="16132" width="15.5703125" style="13" customWidth="1"/>
    <col min="16133" max="16133" width="16.7109375" style="13" customWidth="1"/>
    <col min="16134" max="16384" width="9.140625" style="13"/>
  </cols>
  <sheetData>
    <row r="1" spans="1:8" s="95" customFormat="1" ht="21" customHeight="1" x14ac:dyDescent="0.25">
      <c r="A1" s="88" t="s">
        <v>4</v>
      </c>
      <c r="B1" s="93"/>
      <c r="C1" s="94"/>
      <c r="D1" s="89" t="str">
        <f>Copertina!B7</f>
        <v>MEV 2023_13_PST_PagoPA</v>
      </c>
      <c r="E1" s="90"/>
      <c r="F1" s="90"/>
      <c r="G1" s="91"/>
      <c r="H1" s="13"/>
    </row>
    <row r="2" spans="1:8" s="95" customFormat="1" ht="20.25" customHeight="1" thickBot="1" x14ac:dyDescent="0.3">
      <c r="A2" s="56" t="s">
        <v>12</v>
      </c>
      <c r="B2" s="96"/>
      <c r="C2" s="97"/>
      <c r="D2" s="57" t="str">
        <f>Copertina!B3</f>
        <v>SIUT-SIES-CT-1.0-20230327-Allegato_al_piano_Test_2023_13_PST_PagoPA</v>
      </c>
      <c r="E2" s="58"/>
      <c r="F2" s="58"/>
      <c r="G2" s="59"/>
      <c r="H2" s="98"/>
    </row>
    <row r="3" spans="1:8" s="13" customFormat="1" ht="42" customHeight="1" thickBot="1" x14ac:dyDescent="0.3">
      <c r="A3" s="10" t="s">
        <v>8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2" t="s">
        <v>19</v>
      </c>
    </row>
    <row r="4" spans="1:8" s="13" customFormat="1" ht="45" x14ac:dyDescent="0.25">
      <c r="A4" s="99" t="s">
        <v>45</v>
      </c>
      <c r="B4" s="37" t="s">
        <v>46</v>
      </c>
      <c r="C4" s="37" t="s">
        <v>47</v>
      </c>
      <c r="D4" s="37" t="s">
        <v>48</v>
      </c>
      <c r="E4" s="36" t="s">
        <v>49</v>
      </c>
      <c r="F4" s="36" t="s">
        <v>50</v>
      </c>
      <c r="G4" s="36"/>
    </row>
    <row r="5" spans="1:8" s="13" customFormat="1" ht="30" x14ac:dyDescent="0.25">
      <c r="A5" s="99" t="s">
        <v>51</v>
      </c>
      <c r="B5" s="37" t="s">
        <v>46</v>
      </c>
      <c r="C5" s="37" t="s">
        <v>52</v>
      </c>
      <c r="D5" s="37" t="s">
        <v>53</v>
      </c>
      <c r="E5" s="37" t="s">
        <v>54</v>
      </c>
      <c r="F5" s="37" t="s">
        <v>50</v>
      </c>
      <c r="G5" s="37"/>
    </row>
    <row r="6" spans="1:8" s="13" customFormat="1" ht="30" x14ac:dyDescent="0.25">
      <c r="A6" s="99" t="s">
        <v>55</v>
      </c>
      <c r="B6" s="37" t="s">
        <v>46</v>
      </c>
      <c r="C6" s="37" t="s">
        <v>56</v>
      </c>
      <c r="D6" s="37" t="s">
        <v>57</v>
      </c>
      <c r="E6" s="37" t="s">
        <v>58</v>
      </c>
      <c r="F6" s="37" t="s">
        <v>50</v>
      </c>
      <c r="G6" s="37"/>
    </row>
    <row r="7" spans="1:8" s="13" customFormat="1" ht="30" x14ac:dyDescent="0.25">
      <c r="A7" s="99" t="s">
        <v>59</v>
      </c>
      <c r="B7" s="37" t="s">
        <v>60</v>
      </c>
      <c r="C7" s="37" t="s">
        <v>61</v>
      </c>
      <c r="D7" s="37" t="s">
        <v>62</v>
      </c>
      <c r="E7" s="37" t="s">
        <v>63</v>
      </c>
      <c r="F7" s="37" t="s">
        <v>50</v>
      </c>
      <c r="G7" s="37"/>
    </row>
    <row r="8" spans="1:8" s="13" customFormat="1" ht="60" x14ac:dyDescent="0.25">
      <c r="A8" s="99" t="s">
        <v>64</v>
      </c>
      <c r="B8" s="37" t="s">
        <v>65</v>
      </c>
      <c r="C8" s="37" t="s">
        <v>66</v>
      </c>
      <c r="D8" s="37" t="s">
        <v>67</v>
      </c>
      <c r="E8" s="37" t="s">
        <v>68</v>
      </c>
      <c r="F8" s="37" t="s">
        <v>50</v>
      </c>
      <c r="G8" s="37"/>
    </row>
    <row r="9" spans="1:8" s="13" customFormat="1" ht="30" x14ac:dyDescent="0.25">
      <c r="A9" s="99" t="s">
        <v>69</v>
      </c>
      <c r="B9" s="37" t="s">
        <v>65</v>
      </c>
      <c r="C9" s="37" t="s">
        <v>66</v>
      </c>
      <c r="D9" s="37" t="s">
        <v>70</v>
      </c>
      <c r="E9" s="37" t="s">
        <v>71</v>
      </c>
      <c r="F9" s="37" t="s">
        <v>50</v>
      </c>
      <c r="G9" s="37"/>
    </row>
    <row r="10" spans="1:8" s="13" customFormat="1" ht="30" x14ac:dyDescent="0.25">
      <c r="A10" s="99" t="s">
        <v>72</v>
      </c>
      <c r="B10" s="37" t="s">
        <v>65</v>
      </c>
      <c r="C10" s="37" t="s">
        <v>66</v>
      </c>
      <c r="D10" s="37" t="s">
        <v>73</v>
      </c>
      <c r="E10" s="37" t="s">
        <v>74</v>
      </c>
      <c r="F10" s="37" t="s">
        <v>50</v>
      </c>
      <c r="G10" s="37"/>
    </row>
    <row r="11" spans="1:8" s="13" customFormat="1" ht="60" x14ac:dyDescent="0.25">
      <c r="A11" s="99" t="s">
        <v>75</v>
      </c>
      <c r="B11" s="37" t="s">
        <v>65</v>
      </c>
      <c r="C11" s="37" t="s">
        <v>76</v>
      </c>
      <c r="D11" s="37" t="s">
        <v>77</v>
      </c>
      <c r="E11" s="37" t="s">
        <v>78</v>
      </c>
      <c r="F11" s="37" t="s">
        <v>50</v>
      </c>
      <c r="G11" s="37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9" customWidth="1"/>
    <col min="2" max="2" width="29.85546875" style="19" customWidth="1"/>
    <col min="3" max="3" width="28.140625" style="19" customWidth="1"/>
    <col min="4" max="4" width="27" style="19" customWidth="1"/>
    <col min="5" max="5" width="30.5703125" style="19" customWidth="1"/>
    <col min="6" max="6" width="1.7109375" style="19" customWidth="1"/>
    <col min="7" max="7" width="9.140625" style="28"/>
    <col min="8" max="256" width="9.140625" style="19"/>
    <col min="257" max="257" width="24.140625" style="19" customWidth="1"/>
    <col min="258" max="258" width="29.85546875" style="19" customWidth="1"/>
    <col min="259" max="259" width="28.140625" style="19" customWidth="1"/>
    <col min="260" max="260" width="27" style="19" customWidth="1"/>
    <col min="261" max="261" width="30.5703125" style="19" customWidth="1"/>
    <col min="262" max="262" width="1.7109375" style="19" customWidth="1"/>
    <col min="263" max="512" width="9.140625" style="19"/>
    <col min="513" max="513" width="24.140625" style="19" customWidth="1"/>
    <col min="514" max="514" width="29.85546875" style="19" customWidth="1"/>
    <col min="515" max="515" width="28.140625" style="19" customWidth="1"/>
    <col min="516" max="516" width="27" style="19" customWidth="1"/>
    <col min="517" max="517" width="30.5703125" style="19" customWidth="1"/>
    <col min="518" max="518" width="1.7109375" style="19" customWidth="1"/>
    <col min="519" max="768" width="9.140625" style="19"/>
    <col min="769" max="769" width="24.140625" style="19" customWidth="1"/>
    <col min="770" max="770" width="29.85546875" style="19" customWidth="1"/>
    <col min="771" max="771" width="28.140625" style="19" customWidth="1"/>
    <col min="772" max="772" width="27" style="19" customWidth="1"/>
    <col min="773" max="773" width="30.5703125" style="19" customWidth="1"/>
    <col min="774" max="774" width="1.7109375" style="19" customWidth="1"/>
    <col min="775" max="1024" width="9.140625" style="19"/>
    <col min="1025" max="1025" width="24.140625" style="19" customWidth="1"/>
    <col min="1026" max="1026" width="29.85546875" style="19" customWidth="1"/>
    <col min="1027" max="1027" width="28.140625" style="19" customWidth="1"/>
    <col min="1028" max="1028" width="27" style="19" customWidth="1"/>
    <col min="1029" max="1029" width="30.5703125" style="19" customWidth="1"/>
    <col min="1030" max="1030" width="1.7109375" style="19" customWidth="1"/>
    <col min="1031" max="1280" width="9.140625" style="19"/>
    <col min="1281" max="1281" width="24.140625" style="19" customWidth="1"/>
    <col min="1282" max="1282" width="29.85546875" style="19" customWidth="1"/>
    <col min="1283" max="1283" width="28.140625" style="19" customWidth="1"/>
    <col min="1284" max="1284" width="27" style="19" customWidth="1"/>
    <col min="1285" max="1285" width="30.5703125" style="19" customWidth="1"/>
    <col min="1286" max="1286" width="1.7109375" style="19" customWidth="1"/>
    <col min="1287" max="1536" width="9.140625" style="19"/>
    <col min="1537" max="1537" width="24.140625" style="19" customWidth="1"/>
    <col min="1538" max="1538" width="29.85546875" style="19" customWidth="1"/>
    <col min="1539" max="1539" width="28.140625" style="19" customWidth="1"/>
    <col min="1540" max="1540" width="27" style="19" customWidth="1"/>
    <col min="1541" max="1541" width="30.5703125" style="19" customWidth="1"/>
    <col min="1542" max="1542" width="1.7109375" style="19" customWidth="1"/>
    <col min="1543" max="1792" width="9.140625" style="19"/>
    <col min="1793" max="1793" width="24.140625" style="19" customWidth="1"/>
    <col min="1794" max="1794" width="29.85546875" style="19" customWidth="1"/>
    <col min="1795" max="1795" width="28.140625" style="19" customWidth="1"/>
    <col min="1796" max="1796" width="27" style="19" customWidth="1"/>
    <col min="1797" max="1797" width="30.5703125" style="19" customWidth="1"/>
    <col min="1798" max="1798" width="1.7109375" style="19" customWidth="1"/>
    <col min="1799" max="2048" width="9.140625" style="19"/>
    <col min="2049" max="2049" width="24.140625" style="19" customWidth="1"/>
    <col min="2050" max="2050" width="29.85546875" style="19" customWidth="1"/>
    <col min="2051" max="2051" width="28.140625" style="19" customWidth="1"/>
    <col min="2052" max="2052" width="27" style="19" customWidth="1"/>
    <col min="2053" max="2053" width="30.5703125" style="19" customWidth="1"/>
    <col min="2054" max="2054" width="1.7109375" style="19" customWidth="1"/>
    <col min="2055" max="2304" width="9.140625" style="19"/>
    <col min="2305" max="2305" width="24.140625" style="19" customWidth="1"/>
    <col min="2306" max="2306" width="29.85546875" style="19" customWidth="1"/>
    <col min="2307" max="2307" width="28.140625" style="19" customWidth="1"/>
    <col min="2308" max="2308" width="27" style="19" customWidth="1"/>
    <col min="2309" max="2309" width="30.5703125" style="19" customWidth="1"/>
    <col min="2310" max="2310" width="1.7109375" style="19" customWidth="1"/>
    <col min="2311" max="2560" width="9.140625" style="19"/>
    <col min="2561" max="2561" width="24.140625" style="19" customWidth="1"/>
    <col min="2562" max="2562" width="29.85546875" style="19" customWidth="1"/>
    <col min="2563" max="2563" width="28.140625" style="19" customWidth="1"/>
    <col min="2564" max="2564" width="27" style="19" customWidth="1"/>
    <col min="2565" max="2565" width="30.5703125" style="19" customWidth="1"/>
    <col min="2566" max="2566" width="1.7109375" style="19" customWidth="1"/>
    <col min="2567" max="2816" width="9.140625" style="19"/>
    <col min="2817" max="2817" width="24.140625" style="19" customWidth="1"/>
    <col min="2818" max="2818" width="29.85546875" style="19" customWidth="1"/>
    <col min="2819" max="2819" width="28.140625" style="19" customWidth="1"/>
    <col min="2820" max="2820" width="27" style="19" customWidth="1"/>
    <col min="2821" max="2821" width="30.5703125" style="19" customWidth="1"/>
    <col min="2822" max="2822" width="1.7109375" style="19" customWidth="1"/>
    <col min="2823" max="3072" width="9.140625" style="19"/>
    <col min="3073" max="3073" width="24.140625" style="19" customWidth="1"/>
    <col min="3074" max="3074" width="29.85546875" style="19" customWidth="1"/>
    <col min="3075" max="3075" width="28.140625" style="19" customWidth="1"/>
    <col min="3076" max="3076" width="27" style="19" customWidth="1"/>
    <col min="3077" max="3077" width="30.5703125" style="19" customWidth="1"/>
    <col min="3078" max="3078" width="1.7109375" style="19" customWidth="1"/>
    <col min="3079" max="3328" width="9.140625" style="19"/>
    <col min="3329" max="3329" width="24.140625" style="19" customWidth="1"/>
    <col min="3330" max="3330" width="29.85546875" style="19" customWidth="1"/>
    <col min="3331" max="3331" width="28.140625" style="19" customWidth="1"/>
    <col min="3332" max="3332" width="27" style="19" customWidth="1"/>
    <col min="3333" max="3333" width="30.5703125" style="19" customWidth="1"/>
    <col min="3334" max="3334" width="1.7109375" style="19" customWidth="1"/>
    <col min="3335" max="3584" width="9.140625" style="19"/>
    <col min="3585" max="3585" width="24.140625" style="19" customWidth="1"/>
    <col min="3586" max="3586" width="29.85546875" style="19" customWidth="1"/>
    <col min="3587" max="3587" width="28.140625" style="19" customWidth="1"/>
    <col min="3588" max="3588" width="27" style="19" customWidth="1"/>
    <col min="3589" max="3589" width="30.5703125" style="19" customWidth="1"/>
    <col min="3590" max="3590" width="1.7109375" style="19" customWidth="1"/>
    <col min="3591" max="3840" width="9.140625" style="19"/>
    <col min="3841" max="3841" width="24.140625" style="19" customWidth="1"/>
    <col min="3842" max="3842" width="29.85546875" style="19" customWidth="1"/>
    <col min="3843" max="3843" width="28.140625" style="19" customWidth="1"/>
    <col min="3844" max="3844" width="27" style="19" customWidth="1"/>
    <col min="3845" max="3845" width="30.5703125" style="19" customWidth="1"/>
    <col min="3846" max="3846" width="1.7109375" style="19" customWidth="1"/>
    <col min="3847" max="4096" width="9.140625" style="19"/>
    <col min="4097" max="4097" width="24.140625" style="19" customWidth="1"/>
    <col min="4098" max="4098" width="29.85546875" style="19" customWidth="1"/>
    <col min="4099" max="4099" width="28.140625" style="19" customWidth="1"/>
    <col min="4100" max="4100" width="27" style="19" customWidth="1"/>
    <col min="4101" max="4101" width="30.5703125" style="19" customWidth="1"/>
    <col min="4102" max="4102" width="1.7109375" style="19" customWidth="1"/>
    <col min="4103" max="4352" width="9.140625" style="19"/>
    <col min="4353" max="4353" width="24.140625" style="19" customWidth="1"/>
    <col min="4354" max="4354" width="29.85546875" style="19" customWidth="1"/>
    <col min="4355" max="4355" width="28.140625" style="19" customWidth="1"/>
    <col min="4356" max="4356" width="27" style="19" customWidth="1"/>
    <col min="4357" max="4357" width="30.5703125" style="19" customWidth="1"/>
    <col min="4358" max="4358" width="1.7109375" style="19" customWidth="1"/>
    <col min="4359" max="4608" width="9.140625" style="19"/>
    <col min="4609" max="4609" width="24.140625" style="19" customWidth="1"/>
    <col min="4610" max="4610" width="29.85546875" style="19" customWidth="1"/>
    <col min="4611" max="4611" width="28.140625" style="19" customWidth="1"/>
    <col min="4612" max="4612" width="27" style="19" customWidth="1"/>
    <col min="4613" max="4613" width="30.5703125" style="19" customWidth="1"/>
    <col min="4614" max="4614" width="1.7109375" style="19" customWidth="1"/>
    <col min="4615" max="4864" width="9.140625" style="19"/>
    <col min="4865" max="4865" width="24.140625" style="19" customWidth="1"/>
    <col min="4866" max="4866" width="29.85546875" style="19" customWidth="1"/>
    <col min="4867" max="4867" width="28.140625" style="19" customWidth="1"/>
    <col min="4868" max="4868" width="27" style="19" customWidth="1"/>
    <col min="4869" max="4869" width="30.5703125" style="19" customWidth="1"/>
    <col min="4870" max="4870" width="1.7109375" style="19" customWidth="1"/>
    <col min="4871" max="5120" width="9.140625" style="19"/>
    <col min="5121" max="5121" width="24.140625" style="19" customWidth="1"/>
    <col min="5122" max="5122" width="29.85546875" style="19" customWidth="1"/>
    <col min="5123" max="5123" width="28.140625" style="19" customWidth="1"/>
    <col min="5124" max="5124" width="27" style="19" customWidth="1"/>
    <col min="5125" max="5125" width="30.5703125" style="19" customWidth="1"/>
    <col min="5126" max="5126" width="1.7109375" style="19" customWidth="1"/>
    <col min="5127" max="5376" width="9.140625" style="19"/>
    <col min="5377" max="5377" width="24.140625" style="19" customWidth="1"/>
    <col min="5378" max="5378" width="29.85546875" style="19" customWidth="1"/>
    <col min="5379" max="5379" width="28.140625" style="19" customWidth="1"/>
    <col min="5380" max="5380" width="27" style="19" customWidth="1"/>
    <col min="5381" max="5381" width="30.5703125" style="19" customWidth="1"/>
    <col min="5382" max="5382" width="1.7109375" style="19" customWidth="1"/>
    <col min="5383" max="5632" width="9.140625" style="19"/>
    <col min="5633" max="5633" width="24.140625" style="19" customWidth="1"/>
    <col min="5634" max="5634" width="29.85546875" style="19" customWidth="1"/>
    <col min="5635" max="5635" width="28.140625" style="19" customWidth="1"/>
    <col min="5636" max="5636" width="27" style="19" customWidth="1"/>
    <col min="5637" max="5637" width="30.5703125" style="19" customWidth="1"/>
    <col min="5638" max="5638" width="1.7109375" style="19" customWidth="1"/>
    <col min="5639" max="5888" width="9.140625" style="19"/>
    <col min="5889" max="5889" width="24.140625" style="19" customWidth="1"/>
    <col min="5890" max="5890" width="29.85546875" style="19" customWidth="1"/>
    <col min="5891" max="5891" width="28.140625" style="19" customWidth="1"/>
    <col min="5892" max="5892" width="27" style="19" customWidth="1"/>
    <col min="5893" max="5893" width="30.5703125" style="19" customWidth="1"/>
    <col min="5894" max="5894" width="1.7109375" style="19" customWidth="1"/>
    <col min="5895" max="6144" width="9.140625" style="19"/>
    <col min="6145" max="6145" width="24.140625" style="19" customWidth="1"/>
    <col min="6146" max="6146" width="29.85546875" style="19" customWidth="1"/>
    <col min="6147" max="6147" width="28.140625" style="19" customWidth="1"/>
    <col min="6148" max="6148" width="27" style="19" customWidth="1"/>
    <col min="6149" max="6149" width="30.5703125" style="19" customWidth="1"/>
    <col min="6150" max="6150" width="1.7109375" style="19" customWidth="1"/>
    <col min="6151" max="6400" width="9.140625" style="19"/>
    <col min="6401" max="6401" width="24.140625" style="19" customWidth="1"/>
    <col min="6402" max="6402" width="29.85546875" style="19" customWidth="1"/>
    <col min="6403" max="6403" width="28.140625" style="19" customWidth="1"/>
    <col min="6404" max="6404" width="27" style="19" customWidth="1"/>
    <col min="6405" max="6405" width="30.5703125" style="19" customWidth="1"/>
    <col min="6406" max="6406" width="1.7109375" style="19" customWidth="1"/>
    <col min="6407" max="6656" width="9.140625" style="19"/>
    <col min="6657" max="6657" width="24.140625" style="19" customWidth="1"/>
    <col min="6658" max="6658" width="29.85546875" style="19" customWidth="1"/>
    <col min="6659" max="6659" width="28.140625" style="19" customWidth="1"/>
    <col min="6660" max="6660" width="27" style="19" customWidth="1"/>
    <col min="6661" max="6661" width="30.5703125" style="19" customWidth="1"/>
    <col min="6662" max="6662" width="1.7109375" style="19" customWidth="1"/>
    <col min="6663" max="6912" width="9.140625" style="19"/>
    <col min="6913" max="6913" width="24.140625" style="19" customWidth="1"/>
    <col min="6914" max="6914" width="29.85546875" style="19" customWidth="1"/>
    <col min="6915" max="6915" width="28.140625" style="19" customWidth="1"/>
    <col min="6916" max="6916" width="27" style="19" customWidth="1"/>
    <col min="6917" max="6917" width="30.5703125" style="19" customWidth="1"/>
    <col min="6918" max="6918" width="1.7109375" style="19" customWidth="1"/>
    <col min="6919" max="7168" width="9.140625" style="19"/>
    <col min="7169" max="7169" width="24.140625" style="19" customWidth="1"/>
    <col min="7170" max="7170" width="29.85546875" style="19" customWidth="1"/>
    <col min="7171" max="7171" width="28.140625" style="19" customWidth="1"/>
    <col min="7172" max="7172" width="27" style="19" customWidth="1"/>
    <col min="7173" max="7173" width="30.5703125" style="19" customWidth="1"/>
    <col min="7174" max="7174" width="1.7109375" style="19" customWidth="1"/>
    <col min="7175" max="7424" width="9.140625" style="19"/>
    <col min="7425" max="7425" width="24.140625" style="19" customWidth="1"/>
    <col min="7426" max="7426" width="29.85546875" style="19" customWidth="1"/>
    <col min="7427" max="7427" width="28.140625" style="19" customWidth="1"/>
    <col min="7428" max="7428" width="27" style="19" customWidth="1"/>
    <col min="7429" max="7429" width="30.5703125" style="19" customWidth="1"/>
    <col min="7430" max="7430" width="1.7109375" style="19" customWidth="1"/>
    <col min="7431" max="7680" width="9.140625" style="19"/>
    <col min="7681" max="7681" width="24.140625" style="19" customWidth="1"/>
    <col min="7682" max="7682" width="29.85546875" style="19" customWidth="1"/>
    <col min="7683" max="7683" width="28.140625" style="19" customWidth="1"/>
    <col min="7684" max="7684" width="27" style="19" customWidth="1"/>
    <col min="7685" max="7685" width="30.5703125" style="19" customWidth="1"/>
    <col min="7686" max="7686" width="1.7109375" style="19" customWidth="1"/>
    <col min="7687" max="7936" width="9.140625" style="19"/>
    <col min="7937" max="7937" width="24.140625" style="19" customWidth="1"/>
    <col min="7938" max="7938" width="29.85546875" style="19" customWidth="1"/>
    <col min="7939" max="7939" width="28.140625" style="19" customWidth="1"/>
    <col min="7940" max="7940" width="27" style="19" customWidth="1"/>
    <col min="7941" max="7941" width="30.5703125" style="19" customWidth="1"/>
    <col min="7942" max="7942" width="1.7109375" style="19" customWidth="1"/>
    <col min="7943" max="8192" width="9.140625" style="19"/>
    <col min="8193" max="8193" width="24.140625" style="19" customWidth="1"/>
    <col min="8194" max="8194" width="29.85546875" style="19" customWidth="1"/>
    <col min="8195" max="8195" width="28.140625" style="19" customWidth="1"/>
    <col min="8196" max="8196" width="27" style="19" customWidth="1"/>
    <col min="8197" max="8197" width="30.5703125" style="19" customWidth="1"/>
    <col min="8198" max="8198" width="1.7109375" style="19" customWidth="1"/>
    <col min="8199" max="8448" width="9.140625" style="19"/>
    <col min="8449" max="8449" width="24.140625" style="19" customWidth="1"/>
    <col min="8450" max="8450" width="29.85546875" style="19" customWidth="1"/>
    <col min="8451" max="8451" width="28.140625" style="19" customWidth="1"/>
    <col min="8452" max="8452" width="27" style="19" customWidth="1"/>
    <col min="8453" max="8453" width="30.5703125" style="19" customWidth="1"/>
    <col min="8454" max="8454" width="1.7109375" style="19" customWidth="1"/>
    <col min="8455" max="8704" width="9.140625" style="19"/>
    <col min="8705" max="8705" width="24.140625" style="19" customWidth="1"/>
    <col min="8706" max="8706" width="29.85546875" style="19" customWidth="1"/>
    <col min="8707" max="8707" width="28.140625" style="19" customWidth="1"/>
    <col min="8708" max="8708" width="27" style="19" customWidth="1"/>
    <col min="8709" max="8709" width="30.5703125" style="19" customWidth="1"/>
    <col min="8710" max="8710" width="1.7109375" style="19" customWidth="1"/>
    <col min="8711" max="8960" width="9.140625" style="19"/>
    <col min="8961" max="8961" width="24.140625" style="19" customWidth="1"/>
    <col min="8962" max="8962" width="29.85546875" style="19" customWidth="1"/>
    <col min="8963" max="8963" width="28.140625" style="19" customWidth="1"/>
    <col min="8964" max="8964" width="27" style="19" customWidth="1"/>
    <col min="8965" max="8965" width="30.5703125" style="19" customWidth="1"/>
    <col min="8966" max="8966" width="1.7109375" style="19" customWidth="1"/>
    <col min="8967" max="9216" width="9.140625" style="19"/>
    <col min="9217" max="9217" width="24.140625" style="19" customWidth="1"/>
    <col min="9218" max="9218" width="29.85546875" style="19" customWidth="1"/>
    <col min="9219" max="9219" width="28.140625" style="19" customWidth="1"/>
    <col min="9220" max="9220" width="27" style="19" customWidth="1"/>
    <col min="9221" max="9221" width="30.5703125" style="19" customWidth="1"/>
    <col min="9222" max="9222" width="1.7109375" style="19" customWidth="1"/>
    <col min="9223" max="9472" width="9.140625" style="19"/>
    <col min="9473" max="9473" width="24.140625" style="19" customWidth="1"/>
    <col min="9474" max="9474" width="29.85546875" style="19" customWidth="1"/>
    <col min="9475" max="9475" width="28.140625" style="19" customWidth="1"/>
    <col min="9476" max="9476" width="27" style="19" customWidth="1"/>
    <col min="9477" max="9477" width="30.5703125" style="19" customWidth="1"/>
    <col min="9478" max="9478" width="1.7109375" style="19" customWidth="1"/>
    <col min="9479" max="9728" width="9.140625" style="19"/>
    <col min="9729" max="9729" width="24.140625" style="19" customWidth="1"/>
    <col min="9730" max="9730" width="29.85546875" style="19" customWidth="1"/>
    <col min="9731" max="9731" width="28.140625" style="19" customWidth="1"/>
    <col min="9732" max="9732" width="27" style="19" customWidth="1"/>
    <col min="9733" max="9733" width="30.5703125" style="19" customWidth="1"/>
    <col min="9734" max="9734" width="1.7109375" style="19" customWidth="1"/>
    <col min="9735" max="9984" width="9.140625" style="19"/>
    <col min="9985" max="9985" width="24.140625" style="19" customWidth="1"/>
    <col min="9986" max="9986" width="29.85546875" style="19" customWidth="1"/>
    <col min="9987" max="9987" width="28.140625" style="19" customWidth="1"/>
    <col min="9988" max="9988" width="27" style="19" customWidth="1"/>
    <col min="9989" max="9989" width="30.5703125" style="19" customWidth="1"/>
    <col min="9990" max="9990" width="1.7109375" style="19" customWidth="1"/>
    <col min="9991" max="10240" width="9.140625" style="19"/>
    <col min="10241" max="10241" width="24.140625" style="19" customWidth="1"/>
    <col min="10242" max="10242" width="29.85546875" style="19" customWidth="1"/>
    <col min="10243" max="10243" width="28.140625" style="19" customWidth="1"/>
    <col min="10244" max="10244" width="27" style="19" customWidth="1"/>
    <col min="10245" max="10245" width="30.5703125" style="19" customWidth="1"/>
    <col min="10246" max="10246" width="1.7109375" style="19" customWidth="1"/>
    <col min="10247" max="10496" width="9.140625" style="19"/>
    <col min="10497" max="10497" width="24.140625" style="19" customWidth="1"/>
    <col min="10498" max="10498" width="29.85546875" style="19" customWidth="1"/>
    <col min="10499" max="10499" width="28.140625" style="19" customWidth="1"/>
    <col min="10500" max="10500" width="27" style="19" customWidth="1"/>
    <col min="10501" max="10501" width="30.5703125" style="19" customWidth="1"/>
    <col min="10502" max="10502" width="1.7109375" style="19" customWidth="1"/>
    <col min="10503" max="10752" width="9.140625" style="19"/>
    <col min="10753" max="10753" width="24.140625" style="19" customWidth="1"/>
    <col min="10754" max="10754" width="29.85546875" style="19" customWidth="1"/>
    <col min="10755" max="10755" width="28.140625" style="19" customWidth="1"/>
    <col min="10756" max="10756" width="27" style="19" customWidth="1"/>
    <col min="10757" max="10757" width="30.5703125" style="19" customWidth="1"/>
    <col min="10758" max="10758" width="1.7109375" style="19" customWidth="1"/>
    <col min="10759" max="11008" width="9.140625" style="19"/>
    <col min="11009" max="11009" width="24.140625" style="19" customWidth="1"/>
    <col min="11010" max="11010" width="29.85546875" style="19" customWidth="1"/>
    <col min="11011" max="11011" width="28.140625" style="19" customWidth="1"/>
    <col min="11012" max="11012" width="27" style="19" customWidth="1"/>
    <col min="11013" max="11013" width="30.5703125" style="19" customWidth="1"/>
    <col min="11014" max="11014" width="1.7109375" style="19" customWidth="1"/>
    <col min="11015" max="11264" width="9.140625" style="19"/>
    <col min="11265" max="11265" width="24.140625" style="19" customWidth="1"/>
    <col min="11266" max="11266" width="29.85546875" style="19" customWidth="1"/>
    <col min="11267" max="11267" width="28.140625" style="19" customWidth="1"/>
    <col min="11268" max="11268" width="27" style="19" customWidth="1"/>
    <col min="11269" max="11269" width="30.5703125" style="19" customWidth="1"/>
    <col min="11270" max="11270" width="1.7109375" style="19" customWidth="1"/>
    <col min="11271" max="11520" width="9.140625" style="19"/>
    <col min="11521" max="11521" width="24.140625" style="19" customWidth="1"/>
    <col min="11522" max="11522" width="29.85546875" style="19" customWidth="1"/>
    <col min="11523" max="11523" width="28.140625" style="19" customWidth="1"/>
    <col min="11524" max="11524" width="27" style="19" customWidth="1"/>
    <col min="11525" max="11525" width="30.5703125" style="19" customWidth="1"/>
    <col min="11526" max="11526" width="1.7109375" style="19" customWidth="1"/>
    <col min="11527" max="11776" width="9.140625" style="19"/>
    <col min="11777" max="11777" width="24.140625" style="19" customWidth="1"/>
    <col min="11778" max="11778" width="29.85546875" style="19" customWidth="1"/>
    <col min="11779" max="11779" width="28.140625" style="19" customWidth="1"/>
    <col min="11780" max="11780" width="27" style="19" customWidth="1"/>
    <col min="11781" max="11781" width="30.5703125" style="19" customWidth="1"/>
    <col min="11782" max="11782" width="1.7109375" style="19" customWidth="1"/>
    <col min="11783" max="12032" width="9.140625" style="19"/>
    <col min="12033" max="12033" width="24.140625" style="19" customWidth="1"/>
    <col min="12034" max="12034" width="29.85546875" style="19" customWidth="1"/>
    <col min="12035" max="12035" width="28.140625" style="19" customWidth="1"/>
    <col min="12036" max="12036" width="27" style="19" customWidth="1"/>
    <col min="12037" max="12037" width="30.5703125" style="19" customWidth="1"/>
    <col min="12038" max="12038" width="1.7109375" style="19" customWidth="1"/>
    <col min="12039" max="12288" width="9.140625" style="19"/>
    <col min="12289" max="12289" width="24.140625" style="19" customWidth="1"/>
    <col min="12290" max="12290" width="29.85546875" style="19" customWidth="1"/>
    <col min="12291" max="12291" width="28.140625" style="19" customWidth="1"/>
    <col min="12292" max="12292" width="27" style="19" customWidth="1"/>
    <col min="12293" max="12293" width="30.5703125" style="19" customWidth="1"/>
    <col min="12294" max="12294" width="1.7109375" style="19" customWidth="1"/>
    <col min="12295" max="12544" width="9.140625" style="19"/>
    <col min="12545" max="12545" width="24.140625" style="19" customWidth="1"/>
    <col min="12546" max="12546" width="29.85546875" style="19" customWidth="1"/>
    <col min="12547" max="12547" width="28.140625" style="19" customWidth="1"/>
    <col min="12548" max="12548" width="27" style="19" customWidth="1"/>
    <col min="12549" max="12549" width="30.5703125" style="19" customWidth="1"/>
    <col min="12550" max="12550" width="1.7109375" style="19" customWidth="1"/>
    <col min="12551" max="12800" width="9.140625" style="19"/>
    <col min="12801" max="12801" width="24.140625" style="19" customWidth="1"/>
    <col min="12802" max="12802" width="29.85546875" style="19" customWidth="1"/>
    <col min="12803" max="12803" width="28.140625" style="19" customWidth="1"/>
    <col min="12804" max="12804" width="27" style="19" customWidth="1"/>
    <col min="12805" max="12805" width="30.5703125" style="19" customWidth="1"/>
    <col min="12806" max="12806" width="1.7109375" style="19" customWidth="1"/>
    <col min="12807" max="13056" width="9.140625" style="19"/>
    <col min="13057" max="13057" width="24.140625" style="19" customWidth="1"/>
    <col min="13058" max="13058" width="29.85546875" style="19" customWidth="1"/>
    <col min="13059" max="13059" width="28.140625" style="19" customWidth="1"/>
    <col min="13060" max="13060" width="27" style="19" customWidth="1"/>
    <col min="13061" max="13061" width="30.5703125" style="19" customWidth="1"/>
    <col min="13062" max="13062" width="1.7109375" style="19" customWidth="1"/>
    <col min="13063" max="13312" width="9.140625" style="19"/>
    <col min="13313" max="13313" width="24.140625" style="19" customWidth="1"/>
    <col min="13314" max="13314" width="29.85546875" style="19" customWidth="1"/>
    <col min="13315" max="13315" width="28.140625" style="19" customWidth="1"/>
    <col min="13316" max="13316" width="27" style="19" customWidth="1"/>
    <col min="13317" max="13317" width="30.5703125" style="19" customWidth="1"/>
    <col min="13318" max="13318" width="1.7109375" style="19" customWidth="1"/>
    <col min="13319" max="13568" width="9.140625" style="19"/>
    <col min="13569" max="13569" width="24.140625" style="19" customWidth="1"/>
    <col min="13570" max="13570" width="29.85546875" style="19" customWidth="1"/>
    <col min="13571" max="13571" width="28.140625" style="19" customWidth="1"/>
    <col min="13572" max="13572" width="27" style="19" customWidth="1"/>
    <col min="13573" max="13573" width="30.5703125" style="19" customWidth="1"/>
    <col min="13574" max="13574" width="1.7109375" style="19" customWidth="1"/>
    <col min="13575" max="13824" width="9.140625" style="19"/>
    <col min="13825" max="13825" width="24.140625" style="19" customWidth="1"/>
    <col min="13826" max="13826" width="29.85546875" style="19" customWidth="1"/>
    <col min="13827" max="13827" width="28.140625" style="19" customWidth="1"/>
    <col min="13828" max="13828" width="27" style="19" customWidth="1"/>
    <col min="13829" max="13829" width="30.5703125" style="19" customWidth="1"/>
    <col min="13830" max="13830" width="1.7109375" style="19" customWidth="1"/>
    <col min="13831" max="14080" width="9.140625" style="19"/>
    <col min="14081" max="14081" width="24.140625" style="19" customWidth="1"/>
    <col min="14082" max="14082" width="29.85546875" style="19" customWidth="1"/>
    <col min="14083" max="14083" width="28.140625" style="19" customWidth="1"/>
    <col min="14084" max="14084" width="27" style="19" customWidth="1"/>
    <col min="14085" max="14085" width="30.5703125" style="19" customWidth="1"/>
    <col min="14086" max="14086" width="1.7109375" style="19" customWidth="1"/>
    <col min="14087" max="14336" width="9.140625" style="19"/>
    <col min="14337" max="14337" width="24.140625" style="19" customWidth="1"/>
    <col min="14338" max="14338" width="29.85546875" style="19" customWidth="1"/>
    <col min="14339" max="14339" width="28.140625" style="19" customWidth="1"/>
    <col min="14340" max="14340" width="27" style="19" customWidth="1"/>
    <col min="14341" max="14341" width="30.5703125" style="19" customWidth="1"/>
    <col min="14342" max="14342" width="1.7109375" style="19" customWidth="1"/>
    <col min="14343" max="14592" width="9.140625" style="19"/>
    <col min="14593" max="14593" width="24.140625" style="19" customWidth="1"/>
    <col min="14594" max="14594" width="29.85546875" style="19" customWidth="1"/>
    <col min="14595" max="14595" width="28.140625" style="19" customWidth="1"/>
    <col min="14596" max="14596" width="27" style="19" customWidth="1"/>
    <col min="14597" max="14597" width="30.5703125" style="19" customWidth="1"/>
    <col min="14598" max="14598" width="1.7109375" style="19" customWidth="1"/>
    <col min="14599" max="14848" width="9.140625" style="19"/>
    <col min="14849" max="14849" width="24.140625" style="19" customWidth="1"/>
    <col min="14850" max="14850" width="29.85546875" style="19" customWidth="1"/>
    <col min="14851" max="14851" width="28.140625" style="19" customWidth="1"/>
    <col min="14852" max="14852" width="27" style="19" customWidth="1"/>
    <col min="14853" max="14853" width="30.5703125" style="19" customWidth="1"/>
    <col min="14854" max="14854" width="1.7109375" style="19" customWidth="1"/>
    <col min="14855" max="15104" width="9.140625" style="19"/>
    <col min="15105" max="15105" width="24.140625" style="19" customWidth="1"/>
    <col min="15106" max="15106" width="29.85546875" style="19" customWidth="1"/>
    <col min="15107" max="15107" width="28.140625" style="19" customWidth="1"/>
    <col min="15108" max="15108" width="27" style="19" customWidth="1"/>
    <col min="15109" max="15109" width="30.5703125" style="19" customWidth="1"/>
    <col min="15110" max="15110" width="1.7109375" style="19" customWidth="1"/>
    <col min="15111" max="15360" width="9.140625" style="19"/>
    <col min="15361" max="15361" width="24.140625" style="19" customWidth="1"/>
    <col min="15362" max="15362" width="29.85546875" style="19" customWidth="1"/>
    <col min="15363" max="15363" width="28.140625" style="19" customWidth="1"/>
    <col min="15364" max="15364" width="27" style="19" customWidth="1"/>
    <col min="15365" max="15365" width="30.5703125" style="19" customWidth="1"/>
    <col min="15366" max="15366" width="1.7109375" style="19" customWidth="1"/>
    <col min="15367" max="15616" width="9.140625" style="19"/>
    <col min="15617" max="15617" width="24.140625" style="19" customWidth="1"/>
    <col min="15618" max="15618" width="29.85546875" style="19" customWidth="1"/>
    <col min="15619" max="15619" width="28.140625" style="19" customWidth="1"/>
    <col min="15620" max="15620" width="27" style="19" customWidth="1"/>
    <col min="15621" max="15621" width="30.5703125" style="19" customWidth="1"/>
    <col min="15622" max="15622" width="1.7109375" style="19" customWidth="1"/>
    <col min="15623" max="15872" width="9.140625" style="19"/>
    <col min="15873" max="15873" width="24.140625" style="19" customWidth="1"/>
    <col min="15874" max="15874" width="29.85546875" style="19" customWidth="1"/>
    <col min="15875" max="15875" width="28.140625" style="19" customWidth="1"/>
    <col min="15876" max="15876" width="27" style="19" customWidth="1"/>
    <col min="15877" max="15877" width="30.5703125" style="19" customWidth="1"/>
    <col min="15878" max="15878" width="1.7109375" style="19" customWidth="1"/>
    <col min="15879" max="16128" width="9.140625" style="19"/>
    <col min="16129" max="16129" width="24.140625" style="19" customWidth="1"/>
    <col min="16130" max="16130" width="29.85546875" style="19" customWidth="1"/>
    <col min="16131" max="16131" width="28.140625" style="19" customWidth="1"/>
    <col min="16132" max="16132" width="27" style="19" customWidth="1"/>
    <col min="16133" max="16133" width="30.5703125" style="19" customWidth="1"/>
    <col min="16134" max="16134" width="1.7109375" style="19" customWidth="1"/>
    <col min="16135" max="16384" width="9.140625" style="19"/>
  </cols>
  <sheetData>
    <row r="1" spans="1:9" s="8" customFormat="1" ht="21" customHeight="1" x14ac:dyDescent="0.35">
      <c r="A1" s="81" t="s">
        <v>4</v>
      </c>
      <c r="B1" s="81"/>
      <c r="C1" s="83" t="str">
        <f>Copertina!B7</f>
        <v>MEV 2023_13_PST_PagoPA</v>
      </c>
      <c r="D1" s="83"/>
      <c r="E1" s="83"/>
      <c r="F1" s="14"/>
      <c r="G1" s="15"/>
      <c r="H1" s="7"/>
    </row>
    <row r="2" spans="1:9" s="8" customFormat="1" ht="20.25" customHeight="1" thickBot="1" x14ac:dyDescent="0.4">
      <c r="A2" s="82" t="s">
        <v>12</v>
      </c>
      <c r="B2" s="82"/>
      <c r="C2" s="84" t="str">
        <f>Copertina!B3</f>
        <v>SIUT-SIES-CT-1.0-20230327-Allegato_al_piano_Test_2023_13_PST_PagoPA</v>
      </c>
      <c r="D2" s="84"/>
      <c r="E2" s="84"/>
      <c r="F2" s="16"/>
      <c r="G2" s="17"/>
      <c r="H2" s="9"/>
    </row>
    <row r="3" spans="1:9" s="18" customFormat="1" ht="27" customHeight="1" thickBot="1" x14ac:dyDescent="0.3">
      <c r="A3" s="65" t="s">
        <v>20</v>
      </c>
      <c r="B3" s="66"/>
      <c r="C3" s="66"/>
      <c r="D3" s="66"/>
      <c r="E3" s="67"/>
      <c r="G3" s="68" t="s">
        <v>21</v>
      </c>
      <c r="H3" s="69"/>
      <c r="I3" s="70"/>
    </row>
    <row r="4" spans="1:9" ht="23.25" customHeight="1" thickBot="1" x14ac:dyDescent="0.25">
      <c r="A4" s="77" t="s">
        <v>22</v>
      </c>
      <c r="B4" s="78" t="s">
        <v>23</v>
      </c>
      <c r="C4" s="79"/>
      <c r="D4" s="79"/>
      <c r="E4" s="80"/>
      <c r="G4" s="71"/>
      <c r="H4" s="72"/>
      <c r="I4" s="73"/>
    </row>
    <row r="5" spans="1:9" ht="26.25" customHeight="1" thickBot="1" x14ac:dyDescent="0.25">
      <c r="A5" s="61"/>
      <c r="B5" s="20">
        <v>1</v>
      </c>
      <c r="C5" s="20">
        <v>2</v>
      </c>
      <c r="D5" s="20">
        <v>3</v>
      </c>
      <c r="E5" s="21">
        <v>4</v>
      </c>
      <c r="G5" s="71"/>
      <c r="H5" s="72"/>
      <c r="I5" s="73"/>
    </row>
    <row r="6" spans="1:9" ht="15.75" thickBot="1" x14ac:dyDescent="0.25">
      <c r="A6" s="22" t="s">
        <v>24</v>
      </c>
      <c r="B6" s="23">
        <f>COUNTIFS(TabellaTest!$H$4:$H$338,1,TabellaTest!$I$4:$I$338,"A",TabellaTest!$J$4:$J$338,"KO")</f>
        <v>0</v>
      </c>
      <c r="C6" s="23">
        <f>COUNTIFS(TabellaTest!$H$4:$H$338,2,TabellaTest!$I$4:$I$338,"A",TabellaTest!$J$4:$J$338,"KO")</f>
        <v>0</v>
      </c>
      <c r="D6" s="23">
        <f>COUNTIFS(TabellaTest!$H$4:$H$338,3,TabellaTest!$I$4:$I$338,"A",TabellaTest!$J$4:$J$338,"KO")</f>
        <v>0</v>
      </c>
      <c r="E6" s="23">
        <f>COUNTIFS(TabellaTest!$H$4:$H$338,4,TabellaTest!$I$4:$I$338,"A",TabellaTest!$J$4:$J$338,"KO")</f>
        <v>0</v>
      </c>
      <c r="G6" s="71"/>
      <c r="H6" s="72"/>
      <c r="I6" s="73"/>
    </row>
    <row r="7" spans="1:9" ht="15.75" thickBot="1" x14ac:dyDescent="0.25">
      <c r="A7" s="24" t="s">
        <v>25</v>
      </c>
      <c r="B7" s="23">
        <f>COUNTIFS(TabellaTest!$H$4:$H$338,1,TabellaTest!$I$4:$I$338,"B",TabellaTest!$J$4:$J$338,"KO")</f>
        <v>0</v>
      </c>
      <c r="C7" s="23">
        <f>COUNTIFS(TabellaTest!$H$4:$H$338,2,TabellaTest!$I$4:$I$338,"B",TabellaTest!$J$4:$J$338,"KO")</f>
        <v>0</v>
      </c>
      <c r="D7" s="23">
        <f>COUNTIFS(TabellaTest!$H$4:$H$338,3,TabellaTest!$I$4:$I$338,"B",TabellaTest!$J$4:$J$338,"KO")</f>
        <v>0</v>
      </c>
      <c r="E7" s="23">
        <f>COUNTIFS(TabellaTest!$H$4:$H$338,4,TabellaTest!$I$4:$I$338,"B",TabellaTest!$J$4:$J$338,"KO")</f>
        <v>0</v>
      </c>
      <c r="G7" s="71"/>
      <c r="H7" s="72"/>
      <c r="I7" s="73"/>
    </row>
    <row r="8" spans="1:9" ht="15.75" thickBot="1" x14ac:dyDescent="0.25">
      <c r="A8" s="25" t="s">
        <v>26</v>
      </c>
      <c r="B8" s="23">
        <f>COUNTIFS(TabellaTest!$H$4:$H$338,1,TabellaTest!$I$4:$I$338,"C",TabellaTest!$J$4:$J$338,"KO")</f>
        <v>0</v>
      </c>
      <c r="C8" s="23">
        <f>COUNTIFS(TabellaTest!$H$4:$H$338,2,TabellaTest!$I$4:$I$338,"C",TabellaTest!$J$4:$J$338,"KO")</f>
        <v>0</v>
      </c>
      <c r="D8" s="23">
        <f>COUNTIFS(TabellaTest!$H$4:$H$338,3,TabellaTest!$I$4:$I$338,"C",TabellaTest!$J$4:$J$338,"KO")</f>
        <v>0</v>
      </c>
      <c r="E8" s="23">
        <f>COUNTIFS(TabellaTest!$H$4:$H$338,4,TabellaTest!$I$4:$I$338,"C",TabellaTest!$J$4:$J$338,"KO")</f>
        <v>0</v>
      </c>
      <c r="G8" s="74"/>
      <c r="H8" s="75"/>
      <c r="I8" s="76"/>
    </row>
    <row r="9" spans="1:9" ht="12.95" x14ac:dyDescent="0.3">
      <c r="G9" s="26"/>
      <c r="H9" s="27"/>
      <c r="I9" s="27"/>
    </row>
    <row r="12" spans="1:9" ht="10.5" customHeight="1" thickBot="1" x14ac:dyDescent="0.35"/>
    <row r="13" spans="1:9" ht="13.5" hidden="1" thickBot="1" x14ac:dyDescent="0.35"/>
    <row r="14" spans="1:9" s="18" customFormat="1" ht="28.5" customHeight="1" x14ac:dyDescent="0.25">
      <c r="A14" s="85" t="s">
        <v>27</v>
      </c>
      <c r="B14" s="86"/>
      <c r="C14" s="86"/>
      <c r="D14" s="86"/>
      <c r="E14" s="87"/>
      <c r="G14" s="29"/>
    </row>
    <row r="15" spans="1:9" ht="15.75" thickBot="1" x14ac:dyDescent="0.25">
      <c r="A15" s="60" t="s">
        <v>22</v>
      </c>
      <c r="B15" s="62" t="s">
        <v>23</v>
      </c>
      <c r="C15" s="63"/>
      <c r="D15" s="63"/>
      <c r="E15" s="64"/>
    </row>
    <row r="16" spans="1:9" ht="15.75" thickBot="1" x14ac:dyDescent="0.25">
      <c r="A16" s="61"/>
      <c r="B16" s="30">
        <v>1</v>
      </c>
      <c r="C16" s="30">
        <v>2</v>
      </c>
      <c r="D16" s="30">
        <v>3</v>
      </c>
      <c r="E16" s="31">
        <v>4</v>
      </c>
    </row>
    <row r="17" spans="1:5" ht="15" thickBot="1" x14ac:dyDescent="0.35">
      <c r="A17" s="32" t="s">
        <v>24</v>
      </c>
      <c r="B17" s="33">
        <f>COUNTIFS(TabellaTest!$H$4:$H$338,1,TabellaTest!$I$4:$I$338,"A")</f>
        <v>0</v>
      </c>
      <c r="C17" s="33">
        <f>COUNTIFS(TabellaTest!$H$4:$H$338,2,TabellaTest!$I$4:$I$338,"A")</f>
        <v>0</v>
      </c>
      <c r="D17" s="33">
        <f>COUNTIFS(TabellaTest!$H$4:$H$338,3,TabellaTest!$I$4:$I$338,"A")</f>
        <v>0</v>
      </c>
      <c r="E17" s="33">
        <f>COUNTIFS(TabellaTest!$H$4:$H$338,4,TabellaTest!$I$4:$I$338,"A")</f>
        <v>0</v>
      </c>
    </row>
    <row r="18" spans="1:5" ht="15" thickBot="1" x14ac:dyDescent="0.35">
      <c r="A18" s="34" t="s">
        <v>25</v>
      </c>
      <c r="B18" s="33">
        <f>COUNTIFS(TabellaTest!$H$4:$H$338,1,TabellaTest!$I$4:$I$338,"B")</f>
        <v>0</v>
      </c>
      <c r="C18" s="33">
        <f>COUNTIFS(TabellaTest!$H$4:$H$338,2,TabellaTest!$I$4:$I$338,"B")</f>
        <v>18</v>
      </c>
      <c r="D18" s="33">
        <f>COUNTIFS(TabellaTest!$H$4:$H$338,3,TabellaTest!$I$4:$I$338,"B")</f>
        <v>0</v>
      </c>
      <c r="E18" s="33">
        <f>COUNTIFS(TabellaTest!$H$4:$H$338,4,TabellaTest!$I$4:$I$338,"B")</f>
        <v>0</v>
      </c>
    </row>
    <row r="19" spans="1:5" ht="15" thickBot="1" x14ac:dyDescent="0.35">
      <c r="A19" s="35" t="s">
        <v>26</v>
      </c>
      <c r="B19" s="33">
        <f>COUNTIFS(TabellaTest!$H$4:$H$338,1,TabellaTest!$I$4:$I$338,"C")</f>
        <v>0</v>
      </c>
      <c r="C19" s="33">
        <f>COUNTIFS(TabellaTest!$H$4:$H$338,2,TabellaTest!$I$4:$I$338,"C")</f>
        <v>0</v>
      </c>
      <c r="D19" s="33">
        <f>COUNTIFS(TabellaTest!$H$4:$H$338,3,TabellaTest!$I$4:$I$338,"C")</f>
        <v>3</v>
      </c>
      <c r="E19" s="33">
        <f>COUNTIFS(TabellaTest!$H$4:$H$338,4,TabellaTest!$I$4:$I$338,"C")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a3ae56ea-36dd-4ec5-b67e-65253cb58edc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05f6d153-fdd9-4ea0-9d5e-dbae83f18a55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2023-03-27T15:28:38Z</dcterms:modified>
</cp:coreProperties>
</file>