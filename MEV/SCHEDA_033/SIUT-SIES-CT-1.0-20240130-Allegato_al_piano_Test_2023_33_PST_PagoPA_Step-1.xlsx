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5" yWindow="4845" windowWidth="20490" windowHeight="4485"/>
  </bookViews>
  <sheets>
    <sheet name="Copertina" sheetId="1" r:id="rId1"/>
    <sheet name="TabellaTest" sheetId="2" r:id="rId2"/>
    <sheet name="SpecificaTest" sheetId="3" r:id="rId3"/>
    <sheet name="VerificheConformità" sheetId="4" r:id="rId4"/>
    <sheet name="SogliaAccettazione" sheetId="5" r:id="rId5"/>
  </sheets>
  <externalReferences>
    <externalReference r:id="rId6"/>
    <externalReference r:id="rId7"/>
  </externalReferences>
  <definedNames>
    <definedName name="_xlnm._FilterDatabase" localSheetId="2" hidden="1">SpecificaTest!$A$3:$G$3</definedName>
    <definedName name="AllUserNames" localSheetId="4">#REF!</definedName>
    <definedName name="AllUserNames" localSheetId="3">#REF!</definedName>
    <definedName name="AllUserNames">#REF!</definedName>
    <definedName name="_xlnm.Print_Area" localSheetId="3">VerificheConformità!$A$1:$G$19</definedName>
    <definedName name="DecisionLastCategory">'[1]Test Decision'!$P$3409</definedName>
    <definedName name="DecisionLastSize">'[1]Test Decision'!$Q$3409</definedName>
    <definedName name="QACP_Project_Setup" localSheetId="4">#REF!</definedName>
    <definedName name="QACP_Project_Setup" localSheetId="3">#REF!</definedName>
    <definedName name="QACP_Project_Setup">#REF!</definedName>
    <definedName name="QACPRiskFactorWeights" localSheetId="4">#REF!</definedName>
    <definedName name="QACPRiskFactorWeights" localSheetId="3">#REF!</definedName>
    <definedName name="QACPRiskFactorWeights">#REF!</definedName>
    <definedName name="Raw_Data_In" localSheetId="4">#REF!</definedName>
    <definedName name="Raw_Data_In" localSheetId="3">#REF!</definedName>
    <definedName name="Raw_Data_In">#REF!</definedName>
    <definedName name="sfsfd">[2]Users!$A$2:$A$5</definedName>
    <definedName name="TempUsers" localSheetId="4">#REF!</definedName>
    <definedName name="TempUsers" localSheetId="3">#REF!</definedName>
    <definedName name="TempUsers">#REF!</definedName>
    <definedName name="UserIDs" localSheetId="4">#REF!</definedName>
    <definedName name="UserIDs" localSheetId="3">#REF!</definedName>
    <definedName name="UserIDs">#REF!</definedName>
    <definedName name="UserList" localSheetId="4">#REF!</definedName>
    <definedName name="UserList" localSheetId="3">#REF!</definedName>
    <definedName name="UserList">#REF!</definedName>
    <definedName name="UserNames" localSheetId="4">#REF!</definedName>
    <definedName name="UserNames" localSheetId="3">#REF!</definedName>
    <definedName name="UserNames">#REF!</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52" i="3" l="1"/>
  <c r="D552" i="3"/>
  <c r="B552" i="3"/>
  <c r="A552" i="3"/>
  <c r="F47" i="2"/>
  <c r="C47" i="2"/>
  <c r="F495" i="3" l="1"/>
  <c r="D495" i="3"/>
  <c r="B495" i="3"/>
  <c r="A495" i="3"/>
  <c r="F484" i="3"/>
  <c r="D484" i="3"/>
  <c r="B484" i="3"/>
  <c r="A484" i="3"/>
  <c r="F474" i="3"/>
  <c r="D474" i="3"/>
  <c r="B474" i="3"/>
  <c r="A474" i="3"/>
  <c r="F464" i="3"/>
  <c r="D464" i="3"/>
  <c r="B464" i="3"/>
  <c r="A464" i="3"/>
  <c r="F437" i="3"/>
  <c r="D437" i="3"/>
  <c r="B437" i="3"/>
  <c r="A437" i="3"/>
  <c r="F426" i="3"/>
  <c r="D426" i="3"/>
  <c r="B426" i="3"/>
  <c r="A426" i="3"/>
  <c r="F415" i="3"/>
  <c r="D415" i="3"/>
  <c r="A415" i="3"/>
  <c r="F404" i="3"/>
  <c r="D404" i="3"/>
  <c r="B404" i="3"/>
  <c r="A404" i="3"/>
  <c r="F390" i="3"/>
  <c r="D390" i="3"/>
  <c r="B390" i="3"/>
  <c r="A390" i="3"/>
  <c r="F382" i="3"/>
  <c r="D382" i="3"/>
  <c r="B382" i="3"/>
  <c r="A382" i="3"/>
  <c r="F365" i="3"/>
  <c r="D365" i="3"/>
  <c r="B365" i="3"/>
  <c r="A365" i="3"/>
  <c r="F355" i="3"/>
  <c r="D355" i="3"/>
  <c r="B355" i="3"/>
  <c r="A355" i="3"/>
  <c r="F331" i="3"/>
  <c r="D331" i="3"/>
  <c r="B331" i="3"/>
  <c r="A331" i="3"/>
  <c r="F309" i="3"/>
  <c r="D309" i="3"/>
  <c r="B309" i="3"/>
  <c r="A309" i="3"/>
  <c r="F284" i="3"/>
  <c r="D284" i="3"/>
  <c r="B284" i="3"/>
  <c r="A284" i="3"/>
  <c r="F262" i="3"/>
  <c r="D262" i="3"/>
  <c r="B262" i="3"/>
  <c r="A262" i="3"/>
  <c r="F247" i="3"/>
  <c r="D247" i="3"/>
  <c r="B247" i="3"/>
  <c r="A247" i="3"/>
  <c r="F230" i="3"/>
  <c r="D230" i="3"/>
  <c r="B230" i="3"/>
  <c r="A230" i="3"/>
  <c r="F215" i="3"/>
  <c r="D215" i="3"/>
  <c r="B215" i="3"/>
  <c r="A215" i="3"/>
  <c r="F199" i="3"/>
  <c r="D199" i="3"/>
  <c r="B199" i="3"/>
  <c r="A199" i="3"/>
  <c r="F179" i="3"/>
  <c r="D179" i="3"/>
  <c r="B179" i="3"/>
  <c r="A179" i="3"/>
  <c r="F27" i="2"/>
  <c r="F23" i="2"/>
  <c r="C23" i="2"/>
  <c r="F160" i="3" l="1"/>
  <c r="D160" i="3"/>
  <c r="F166" i="3"/>
  <c r="D166" i="3"/>
  <c r="F545" i="3" l="1"/>
  <c r="D545" i="3"/>
  <c r="F531" i="3"/>
  <c r="D531" i="3"/>
  <c r="F506" i="3" l="1"/>
  <c r="D506" i="3"/>
  <c r="D128" i="3" l="1"/>
  <c r="F128" i="3"/>
  <c r="D69" i="3" l="1"/>
  <c r="F69" i="3"/>
  <c r="F144" i="3" l="1"/>
  <c r="D144" i="3"/>
  <c r="F113" i="3"/>
  <c r="D113" i="3"/>
  <c r="F97" i="3"/>
  <c r="D97" i="3"/>
  <c r="F28" i="3" l="1"/>
  <c r="D28" i="3"/>
  <c r="D12" i="3"/>
  <c r="F12" i="3"/>
  <c r="F20" i="3"/>
  <c r="D20" i="3"/>
  <c r="F4" i="3"/>
  <c r="D4" i="3"/>
  <c r="F11" i="2"/>
  <c r="F7" i="2" l="1"/>
  <c r="A28" i="3" s="1"/>
  <c r="C7" i="2"/>
  <c r="B28" i="3" s="1"/>
  <c r="F6" i="2"/>
  <c r="C6" i="2"/>
  <c r="F5" i="2"/>
  <c r="A12" i="3" s="1"/>
  <c r="C5" i="2"/>
  <c r="B12" i="3" s="1"/>
  <c r="F4" i="2"/>
  <c r="C4" i="2"/>
  <c r="F20" i="2"/>
  <c r="A144" i="3" s="1"/>
  <c r="C20" i="2"/>
  <c r="B144" i="3" s="1"/>
  <c r="F19" i="2"/>
  <c r="A128" i="3" s="1"/>
  <c r="C19" i="2"/>
  <c r="B128" i="3" s="1"/>
  <c r="F18" i="2"/>
  <c r="A113" i="3" s="1"/>
  <c r="C18" i="2"/>
  <c r="B113" i="3" s="1"/>
  <c r="F17" i="2"/>
  <c r="A97" i="3" s="1"/>
  <c r="C17" i="2"/>
  <c r="B97" i="3" s="1"/>
  <c r="F46" i="2"/>
  <c r="A545" i="3" s="1"/>
  <c r="C46" i="2"/>
  <c r="B545" i="3" s="1"/>
  <c r="F45" i="2"/>
  <c r="A531" i="3" s="1"/>
  <c r="C45" i="2"/>
  <c r="B531" i="3" s="1"/>
  <c r="F44" i="2"/>
  <c r="A506" i="3" s="1"/>
  <c r="C44" i="2"/>
  <c r="B506" i="3" s="1"/>
  <c r="F43" i="2"/>
  <c r="C43" i="2"/>
  <c r="F42" i="2"/>
  <c r="C42" i="2"/>
  <c r="F40" i="2"/>
  <c r="C40" i="2"/>
  <c r="F41" i="2"/>
  <c r="C41" i="2"/>
  <c r="F39" i="2"/>
  <c r="C39" i="2"/>
  <c r="F38" i="2"/>
  <c r="C38" i="2"/>
  <c r="F37" i="2"/>
  <c r="C37" i="2"/>
  <c r="B415" i="3" s="1"/>
  <c r="F35" i="2"/>
  <c r="C35" i="2"/>
  <c r="F36" i="2"/>
  <c r="C36" i="2"/>
  <c r="F34" i="2"/>
  <c r="C34" i="2"/>
  <c r="F32" i="2"/>
  <c r="C32" i="2"/>
  <c r="F26" i="2"/>
  <c r="C26" i="2"/>
  <c r="F25" i="2"/>
  <c r="C25" i="2"/>
  <c r="A4" i="3" l="1"/>
  <c r="B20" i="3"/>
  <c r="A20" i="3"/>
  <c r="F33" i="2"/>
  <c r="F31" i="2"/>
  <c r="F30" i="2"/>
  <c r="F29" i="2"/>
  <c r="F28" i="2"/>
  <c r="F24" i="2"/>
  <c r="F22" i="2"/>
  <c r="A166" i="3" s="1"/>
  <c r="F21" i="2"/>
  <c r="A160" i="3" s="1"/>
  <c r="F16" i="2"/>
  <c r="A90" i="3" s="1"/>
  <c r="F15" i="2"/>
  <c r="F14" i="2"/>
  <c r="F13" i="2"/>
  <c r="F12" i="2"/>
  <c r="F10" i="2"/>
  <c r="F9" i="2"/>
  <c r="F8" i="2"/>
  <c r="C33" i="2" l="1"/>
  <c r="C31" i="2"/>
  <c r="C30" i="2"/>
  <c r="C29" i="2"/>
  <c r="C28" i="2"/>
  <c r="C24" i="2"/>
  <c r="C22" i="2"/>
  <c r="B166" i="3" s="1"/>
  <c r="C21" i="2"/>
  <c r="B160" i="3" s="1"/>
  <c r="C16" i="2"/>
  <c r="C15" i="2"/>
  <c r="C14" i="2"/>
  <c r="C13" i="2"/>
  <c r="B69" i="3" s="1"/>
  <c r="C12" i="2"/>
  <c r="C11" i="2"/>
  <c r="C10" i="2"/>
  <c r="C9" i="2"/>
  <c r="C8" i="2"/>
  <c r="B4" i="3" s="1"/>
  <c r="A36" i="3" l="1"/>
  <c r="B90" i="3" l="1"/>
  <c r="D90" i="3"/>
  <c r="F90" i="3"/>
  <c r="F84" i="3"/>
  <c r="D84" i="3"/>
  <c r="B84" i="3"/>
  <c r="A84" i="3"/>
  <c r="F78" i="3" l="1"/>
  <c r="D78" i="3"/>
  <c r="B78" i="3"/>
  <c r="A78" i="3"/>
  <c r="A69" i="3"/>
  <c r="F60" i="3" l="1"/>
  <c r="D60" i="3"/>
  <c r="B60" i="3"/>
  <c r="A60" i="3"/>
  <c r="F51" i="3"/>
  <c r="D51" i="3"/>
  <c r="B51" i="3"/>
  <c r="A51" i="3"/>
  <c r="F46" i="3"/>
  <c r="D46" i="3"/>
  <c r="B46" i="3"/>
  <c r="A46" i="3"/>
  <c r="B41" i="3"/>
  <c r="F41" i="3"/>
  <c r="D41" i="3"/>
  <c r="A41" i="3"/>
  <c r="D1" i="3"/>
  <c r="D36" i="3"/>
  <c r="B17" i="5" l="1"/>
  <c r="F36" i="3" l="1"/>
  <c r="B36" i="3"/>
  <c r="E19" i="5" l="1"/>
  <c r="E18" i="5"/>
  <c r="E17" i="5"/>
  <c r="D19" i="5"/>
  <c r="D18" i="5"/>
  <c r="D17" i="5"/>
  <c r="C19" i="5"/>
  <c r="C18" i="5"/>
  <c r="C17" i="5"/>
  <c r="B18" i="5"/>
  <c r="B19" i="5"/>
  <c r="E8" i="5"/>
  <c r="E7" i="5"/>
  <c r="D8" i="5"/>
  <c r="D7" i="5"/>
  <c r="C8" i="5"/>
  <c r="C7" i="5"/>
  <c r="B8" i="5"/>
  <c r="B7" i="5"/>
  <c r="E6" i="5"/>
  <c r="D6" i="5"/>
  <c r="C6" i="5"/>
  <c r="B6" i="5"/>
  <c r="C2" i="5" l="1"/>
  <c r="C1" i="5"/>
  <c r="C2" i="2"/>
  <c r="C1" i="2"/>
  <c r="D2" i="4" l="1"/>
  <c r="D1" i="4"/>
  <c r="D2" i="3"/>
</calcChain>
</file>

<file path=xl/comments1.xml><?xml version="1.0" encoding="utf-8"?>
<comments xmlns="http://schemas.openxmlformats.org/spreadsheetml/2006/main">
  <authors>
    <author>Andrea Salvaggio</author>
  </authors>
  <commentList>
    <comment ref="H3" authorId="0">
      <text>
        <r>
          <rPr>
            <b/>
            <sz val="9"/>
            <color indexed="81"/>
            <rFont val="Tahoma"/>
            <family val="2"/>
          </rPr>
          <t>1</t>
        </r>
        <r>
          <rPr>
            <sz val="9"/>
            <color indexed="81"/>
            <rFont val="Tahoma"/>
            <family val="2"/>
          </rPr>
          <t xml:space="preserve">: impedisce l'uso dell'applicazione
</t>
        </r>
        <r>
          <rPr>
            <b/>
            <sz val="9"/>
            <color indexed="81"/>
            <rFont val="Tahoma"/>
            <family val="2"/>
          </rPr>
          <t>2</t>
        </r>
        <r>
          <rPr>
            <sz val="9"/>
            <color indexed="81"/>
            <rFont val="Tahoma"/>
            <family val="2"/>
          </rPr>
          <t xml:space="preserve">: impedisce l'uso di una funzione
</t>
        </r>
        <r>
          <rPr>
            <b/>
            <sz val="9"/>
            <color indexed="81"/>
            <rFont val="Tahoma"/>
            <family val="2"/>
          </rPr>
          <t>3</t>
        </r>
        <r>
          <rPr>
            <sz val="9"/>
            <color indexed="81"/>
            <rFont val="Tahoma"/>
            <family val="2"/>
          </rPr>
          <t xml:space="preserve">: non impedisce l'uso di funzioni
</t>
        </r>
        <r>
          <rPr>
            <b/>
            <sz val="9"/>
            <color indexed="81"/>
            <rFont val="Tahoma"/>
            <family val="2"/>
          </rPr>
          <t>4</t>
        </r>
        <r>
          <rPr>
            <sz val="9"/>
            <color indexed="81"/>
            <rFont val="Tahoma"/>
            <family val="2"/>
          </rPr>
          <t xml:space="preserve">: malfunzionamento marginale
</t>
        </r>
      </text>
    </comment>
    <comment ref="I3" authorId="0">
      <text>
        <r>
          <rPr>
            <b/>
            <sz val="9"/>
            <color indexed="81"/>
            <rFont val="Tahoma"/>
            <family val="2"/>
          </rPr>
          <t>A</t>
        </r>
        <r>
          <rPr>
            <sz val="9"/>
            <color indexed="81"/>
            <rFont val="Tahoma"/>
            <family val="2"/>
          </rPr>
          <t>: Funzionalità indispensabile</t>
        </r>
        <r>
          <rPr>
            <b/>
            <sz val="9"/>
            <color indexed="81"/>
            <rFont val="Tahoma"/>
            <family val="2"/>
          </rPr>
          <t xml:space="preserve">
B</t>
        </r>
        <r>
          <rPr>
            <sz val="9"/>
            <color indexed="81"/>
            <rFont val="Tahoma"/>
            <family val="2"/>
          </rPr>
          <t>: Funzionalità non centrale</t>
        </r>
        <r>
          <rPr>
            <b/>
            <sz val="9"/>
            <color indexed="81"/>
            <rFont val="Tahoma"/>
            <family val="2"/>
          </rPr>
          <t xml:space="preserve">
C</t>
        </r>
        <r>
          <rPr>
            <sz val="9"/>
            <color indexed="81"/>
            <rFont val="Tahoma"/>
            <family val="2"/>
          </rPr>
          <t>: Funzionalità marginale</t>
        </r>
      </text>
    </comment>
  </commentList>
</comments>
</file>

<file path=xl/sharedStrings.xml><?xml version="1.0" encoding="utf-8"?>
<sst xmlns="http://schemas.openxmlformats.org/spreadsheetml/2006/main" count="2219" uniqueCount="663">
  <si>
    <t>Nome del file</t>
  </si>
  <si>
    <t xml:space="preserve">Piano di test </t>
  </si>
  <si>
    <t>Versione</t>
  </si>
  <si>
    <t>Data</t>
  </si>
  <si>
    <t>Intervento</t>
  </si>
  <si>
    <t>Area Applicativa</t>
  </si>
  <si>
    <t>Allegato al Piano dei Test</t>
  </si>
  <si>
    <t>Codice Appl.</t>
  </si>
  <si>
    <t>ID</t>
  </si>
  <si>
    <t>Classe di Gravità (1-4)</t>
  </si>
  <si>
    <t>Esito</t>
  </si>
  <si>
    <t xml:space="preserve">Codifica Piano di test </t>
  </si>
  <si>
    <t xml:space="preserve"> ID caso di test</t>
  </si>
  <si>
    <t>Tipo Verifica</t>
  </si>
  <si>
    <t xml:space="preserve">Attributo </t>
  </si>
  <si>
    <t xml:space="preserve">Indicatore </t>
  </si>
  <si>
    <t xml:space="preserve">Descrizione tipo Verifica </t>
  </si>
  <si>
    <t>Esito Verifica Fornitore</t>
  </si>
  <si>
    <t>Esito Verifica Amministrazione</t>
  </si>
  <si>
    <t>Verifica Soglia di Accettazione</t>
  </si>
  <si>
    <t>In Rosso le difformità che hanno superato il numero massimo ammissibile</t>
  </si>
  <si>
    <t xml:space="preserve">Classe di rilevanza </t>
  </si>
  <si>
    <t>Classe di gravità</t>
  </si>
  <si>
    <t>A</t>
  </si>
  <si>
    <t>B</t>
  </si>
  <si>
    <t>C</t>
  </si>
  <si>
    <t>Numero massimo di difformità ammesse</t>
  </si>
  <si>
    <t>Requisito</t>
  </si>
  <si>
    <t>Scenario di test</t>
  </si>
  <si>
    <t>Caso d'uso</t>
  </si>
  <si>
    <t>Lista Requisiti</t>
  </si>
  <si>
    <t>Step</t>
  </si>
  <si>
    <t>Tipo</t>
  </si>
  <si>
    <t>Istruzioni
(test)</t>
  </si>
  <si>
    <t>Dati di input
(Associated Data)</t>
  </si>
  <si>
    <t>Risultati attesi
(Expected Result)</t>
  </si>
  <si>
    <t>P</t>
  </si>
  <si>
    <t>Attività Preliminari e/o Precondizioni</t>
  </si>
  <si>
    <t>Stato Base</t>
  </si>
  <si>
    <t>Navigazione</t>
  </si>
  <si>
    <t>Azione</t>
  </si>
  <si>
    <t>Il presente documento è stato redatto con la collaborazione del RTI Engineering Ingegneria Informatica S.p.A. &amp; Sirfin-PA S.r.l. nell’ambito del contratto CIG 73479643B7 per lo “Sviluppo del Sistema Informativo Unitario Telematico, la manutenzione degli attuali sistemi dell’area Penale del Ministero della Giustizia e servizi correlati. Lotto 1”.</t>
  </si>
  <si>
    <t>001</t>
  </si>
  <si>
    <t>Adeguatezza delle funzionalità</t>
  </si>
  <si>
    <t xml:space="preserve">Completezza funzionale </t>
  </si>
  <si>
    <t xml:space="preserve">Copertura dei requisiti </t>
  </si>
  <si>
    <t xml:space="preserve">Verifica del grado di copertura funzionale offerta sulla base dell’analisi dei requisiti, delle funzionalità e degli obiettivi richiesti </t>
  </si>
  <si>
    <t>OK</t>
  </si>
  <si>
    <t>002</t>
  </si>
  <si>
    <t xml:space="preserve">Correttezza funzionale </t>
  </si>
  <si>
    <t xml:space="preserve">Aderenza ai requisiti </t>
  </si>
  <si>
    <t xml:space="preserve">Verifica del grado con cui le funzionalità implementate rispettano i requisiti richiesti </t>
  </si>
  <si>
    <t>003</t>
  </si>
  <si>
    <t xml:space="preserve">Appropriatezza funzionale </t>
  </si>
  <si>
    <t xml:space="preserve">Conformità alle normative </t>
  </si>
  <si>
    <t xml:space="preserve">Verifica l’aderenza delle funzionalità implementate rispetto alle normative pertinenti </t>
  </si>
  <si>
    <t>004</t>
  </si>
  <si>
    <t>Affidabilità</t>
  </si>
  <si>
    <t xml:space="preserve">Robustezza </t>
  </si>
  <si>
    <t xml:space="preserve">Robustezza del software </t>
  </si>
  <si>
    <t xml:space="preserve">Verifica della capacità del sistema di gestire condizioni non previste dalle specifiche </t>
  </si>
  <si>
    <t>005</t>
  </si>
  <si>
    <t>Manutenibilità</t>
  </si>
  <si>
    <t>Analizzabilità</t>
  </si>
  <si>
    <t xml:space="preserve">Leggibilità del codice </t>
  </si>
  <si>
    <t xml:space="preserve">Verifica della facilità di comprensione del codice, per esempio con riferimento ai nomi utilizzati per i moduli, le funzioni e le variabili, ai commenti e alla dimensione dei moduli e delle funzioni  </t>
  </si>
  <si>
    <t>006</t>
  </si>
  <si>
    <t>Copertura documentazione tecnica</t>
  </si>
  <si>
    <t xml:space="preserve">Verifica del livello di completezza della documentazione tecnica di moduli e funzioni </t>
  </si>
  <si>
    <t>007</t>
  </si>
  <si>
    <t>Adeguatezza documentazione tecnica</t>
  </si>
  <si>
    <t xml:space="preserve">Verifica della qualità descrittiva della documentazione tecnica di moduli e funzioni </t>
  </si>
  <si>
    <t>008</t>
  </si>
  <si>
    <t>Verificabilità</t>
  </si>
  <si>
    <t>Completezza dei test</t>
  </si>
  <si>
    <t xml:space="preserve">Verifica del grado di copertura del codice sviluppato da parte di test (di varia natura, come test unitari, test di integrazione, test end-to-end, test di accettazione, test di regressione, test di qualità)  </t>
  </si>
  <si>
    <t>UC01</t>
  </si>
  <si>
    <t>UC02</t>
  </si>
  <si>
    <t>UC03</t>
  </si>
  <si>
    <t>Penale</t>
  </si>
  <si>
    <t>SIES</t>
  </si>
  <si>
    <t>V</t>
  </si>
  <si>
    <t>Verifica</t>
  </si>
  <si>
    <t>1.0</t>
  </si>
  <si>
    <t>UC04</t>
  </si>
  <si>
    <t xml:space="preserve">L'utente effettua l'accesso al sistema SIEP come Procura della Repubblica c/o Tribunale Ordinario </t>
  </si>
  <si>
    <t>Axxxxx (Procura della Repubblica c/o Tribunale Ordinario)</t>
  </si>
  <si>
    <t xml:space="preserve">Apertura di una nuova finestra del browser e successiva Visualizzazione a video del documento associato all'Ordine di Ingiunzione </t>
  </si>
  <si>
    <t>MEV 2023_33_PST_PagoPA_Step-1</t>
  </si>
  <si>
    <t>Classe di Rilevanza (A, B, C)</t>
  </si>
  <si>
    <t>ID Requisito Padre</t>
  </si>
  <si>
    <t>ID Caso d'Uso</t>
  </si>
  <si>
    <t>Caso d'Uso</t>
  </si>
  <si>
    <t>Verifica presenza link "Pena Pecuniaria sostitutiva"</t>
  </si>
  <si>
    <t>Verifica: Verificare che nel sottosistema SIEP nella pagina di dettaglio procedimento sia presente il link "Pena Pecuniaria sostitutiva" (se valorizzata)</t>
  </si>
  <si>
    <t>Verifica presenza link "Civilmente Obbligati al pagamento pena pecuniaria"</t>
  </si>
  <si>
    <t>Verifica: Verificare che nel sottosistema SIEP nella pagina di dettaglio procedimento sia presente il link "Civilmente Obbligati al pagamento pena pecuniaria" (se presenti)</t>
  </si>
  <si>
    <t>Verifica: Verificare che nel sottosistema SIEP nella pagina di dettaglio procedimento sia presente il link "Verifica Stato Pagamenti" (se presenti)</t>
  </si>
  <si>
    <t>PAR. 2.2.2-033-03</t>
  </si>
  <si>
    <t>Verifica valorizzazione data di scadenza del primo bollettino per rata unica</t>
  </si>
  <si>
    <t>Verifica: Verificare nel sottosistema SIEP la correttezza della valorizzazione della data di scadenza del primo bollettino per rata unica</t>
  </si>
  <si>
    <t>Verifica valorizzazione data di scadenza bollettini per pagamento rateale</t>
  </si>
  <si>
    <t>Verifica: Verificare nel sottosistema SIEP la correttezza della valorizzazione della data di scadenza dei bollettini per pagamento rateale</t>
  </si>
  <si>
    <t>Verifica presenza link "Visualizza Stato Notifiche"</t>
  </si>
  <si>
    <t>Verifica presenza link "Richiesta Bollettini"</t>
  </si>
  <si>
    <t>Verifica presenza link "Verifica Stato Pagamenti"</t>
  </si>
  <si>
    <t>Verifica presenza link "Richiesta Generazione Bollettini"</t>
  </si>
  <si>
    <t>UC05</t>
  </si>
  <si>
    <t>Verifica: Verificare che nel sottosistema SIEP nella pagina di dettaglio avvenuta notifica alle parti sia presente il link "Richiesta Generazione Bollettini"</t>
  </si>
  <si>
    <t>Verifica: Verificare che nel sottosistema SIEP nella pagina di dettaglio Ordine di Ingiunzione al Pagamento Pena Pecuniaria sia presente il link "Visualizza Stato Notifiche"</t>
  </si>
  <si>
    <t>Verifica: Verificare che nel sottosistema SIEP nella pagina di dettaglio Ordine di Ingiunzione al Pagamento Pena Pecuniaria sia presente il link "Richiesta Bollettini"</t>
  </si>
  <si>
    <t>PAR. 2.2.3-033-04</t>
  </si>
  <si>
    <t>PAR. 2.2.4-033-05</t>
  </si>
  <si>
    <t>PAR. 2.2.5-033-06</t>
  </si>
  <si>
    <t>PAR. 2.2.6-033-07</t>
  </si>
  <si>
    <t>Verifica: Verificare nel sottosistema SIEP l'utilizzo della funzione "Rideterminazione della Pena Pecuniaria"</t>
  </si>
  <si>
    <t>Verifica: Verificare nel sottosistema SIEP l'utilizzo della funzione "Avviso Mancato Pagamento"</t>
  </si>
  <si>
    <t>Verifica: Verificare nel sottosistema SIEP la presenza dei tabulatori per le funzionalità "Ordine Ingiunzione",  "Nota Trasmissione Bollettini Rate Successive alla Prima", "Rideterminazione della Pena Pecuniaria", "Avviso Mancato Pagamento", "Provvedimento Avvenuto Pagamento", "Trasmissione Atti per la Conversione" e "Definizione Procedimento"</t>
  </si>
  <si>
    <t>Verifica inserimento "Definizione Procedimento"</t>
  </si>
  <si>
    <t>Verifica: Verificare nel sottosistema SIEP l'utilizzo della funzione "Definizione Procedimento"</t>
  </si>
  <si>
    <t>Verifica: Verificare nel sottosistema SIEP l'utilizzo della funzione "Trasmissione Atti per la Conversione"</t>
  </si>
  <si>
    <t>Verifica: Verificare nel sottosistema SIEP l'utilizzo della funzione "Provvedimento Avvenuto Pagamento"</t>
  </si>
  <si>
    <t>Verifica inserimento "Gestione Modalità Pagamento"</t>
  </si>
  <si>
    <t>Verifica: Verificare nel sottosistema SIEP l'utilizzo della funzione "Gestione Modalità Pagamento"</t>
  </si>
  <si>
    <t>Verifica: Verificare nel sottosistema SIEP la presenza dell'elenco dei provvedimenti nella funzione "Verifica Stato Bollettini"</t>
  </si>
  <si>
    <t>Verifica funzionalità "Scadenzario Stato Pagamenti"</t>
  </si>
  <si>
    <t>Verifica: Verificare nel sottosistema SIEP l'utilizzio della funzione di consultazione dello Scadenzario Stato Pagamenti</t>
  </si>
  <si>
    <t>Verifica funzionalità "Ricerca Stato Pagamenti" per "Procedimenti con pena pecuniaria totalmente pagata"</t>
  </si>
  <si>
    <t>Verifica funzionalità "Ricerca Stato Pagamenti" per "Procedimenti con pagamento rateizzato con rate non pagate"</t>
  </si>
  <si>
    <t>Verifica funzionalità "Ricerca Stato Pagamenti" per "Procedimenti con pagamento in unica soluzione non pagata"</t>
  </si>
  <si>
    <t>Verifica: Verificare nel sottosistema SIEP l'utilizzo della funzione di "Ricerca Stato Pagamenti" per "Procedimenti con pena pecuniaria totalmente pagata"</t>
  </si>
  <si>
    <t>Verifica: Verificare nel sottosistema SIEP l'utilizzo della funzione di "Ricerca Stato Pagamenti" per "Procedimenti con pagamento rateizzato con rate non pagate"</t>
  </si>
  <si>
    <t>Verifica: Verificare nel sottosistema SIEP l'utilizzo della funzione di "Ricerca Stato Pagamenti" per "Procedimenti con pagamento in unica soluzione non pagata"</t>
  </si>
  <si>
    <t>Verifica inserimento "Trasmissione Atti per Esecuzione"</t>
  </si>
  <si>
    <t>Verifica: Verificare nel sottosistema SIEP l'utilizzo della funzione "Trasmissione Atti per Esecuzione"</t>
  </si>
  <si>
    <t>Verifica presenza nuovi Contenuti, Oggetti ed Esiti</t>
  </si>
  <si>
    <t>Verifica presenza nuovi Esiti</t>
  </si>
  <si>
    <t>Verifica aggiornamento template "Fissazione Udienza"</t>
  </si>
  <si>
    <t>Verifica: Verificare nel sottosistema SIGE la stampa del template di "Fissazione Udienza"</t>
  </si>
  <si>
    <t>Verifica funzionalità "Cruscotto per funzionalità Batch"</t>
  </si>
  <si>
    <t>Verifica: Verificare nel sottosistema SIEP l'utilizzo della funzione "Cruscotto per funzionalità Batch"</t>
  </si>
  <si>
    <t>Verifica funzionalità "Cruscotto per funzionalità web"</t>
  </si>
  <si>
    <t>Verifica: Verificare nel sottosistema SIEP l'utilizzo della funzione "Cruscotto per funzionalità web"</t>
  </si>
  <si>
    <t>Verifica funzionalità "Test di Sistema"</t>
  </si>
  <si>
    <t>Verifica: Verificare nel sottosistema SIEP la presenza nella funzione "Test di Sistema" di due nuovi controlli</t>
  </si>
  <si>
    <t>PAR. 2.1-033-01</t>
  </si>
  <si>
    <t>Verifica stampa template SIEP_PP_OI_PAGAMENTO_UN.rtf</t>
  </si>
  <si>
    <t>Verifica: Verificare che nel sottosistema SIEP a seguito inserimento Ordine Ingiunzione pagamento sia generato template SIEP_PP_OI_PAGAMENTO_UN.rtf</t>
  </si>
  <si>
    <t>Verifica stampa template SIEP_PP_OI_PAGAMENTO_UN_DET.rtf</t>
  </si>
  <si>
    <t>Verifica: Verificare che nel sottosistema SIEP a seguito inserimento Ordine Ingiunzione pagamento sia generato template SIEP_PP_OI_PAGAMENTO_UN_DET.rtf</t>
  </si>
  <si>
    <t>Verifica stampa template SIEP_PP_OI_PAGAMENTO_RR.rtf</t>
  </si>
  <si>
    <t>Verifica stampa template SIEP_PP_OI_PAGAMENTO_RR_DET.rtf</t>
  </si>
  <si>
    <t>Verifica: Verificare che nel sottosistema SIEP a seguito inserimento Ordine Ingiunzione pagamento sia generato template SIEP_PP_OI_PAGAMENTO_RR.rtf</t>
  </si>
  <si>
    <t>Verifica: Verificare che nel sottosistema SIEP a seguito inserimento Ordine Ingiunzione pagamento sia generato template SIEP_PP_OI_PAGAMENTO_RR_DET.rtf</t>
  </si>
  <si>
    <t>Verifica: Verificare nel sottosistema SIEP che, a seguito Inserimento Notifiche dell'OI il sistema aggiorni le date scadenza dei Bollettini</t>
  </si>
  <si>
    <t>Verifica Inserimento "Notifiche"</t>
  </si>
  <si>
    <t>PAR. 2.2-033-02</t>
  </si>
  <si>
    <t>Verifica funzionalità  "Richiesta Informazioni comma 5"</t>
  </si>
  <si>
    <t>Verifica funzionalità "Rinnovo Ricerche per Omesse Notifiche"</t>
  </si>
  <si>
    <t>Verifica: Verificare nel sottosistema SIEP la  funzionalità "Rinnovo Ricerche per Omesse Notifiche"</t>
  </si>
  <si>
    <t>Verifica: Verificare nel sottosistema SIEP la funzionalità "Richiesta Informazioni comma 5"</t>
  </si>
  <si>
    <t>Verifica funzionalità "Rinnovazione Notifica successiva alla Richiesta Informazioni"</t>
  </si>
  <si>
    <t>Verifica: Verificare nel sottosistema SIEP la funzionalità  "Rinnovazione Notifica successiva alla Richiesta Informazioni"</t>
  </si>
  <si>
    <t>Verifica  funzionalità "Solleciti"</t>
  </si>
  <si>
    <t>Verifica: Verificare nel sottosistema SIEP la funzionalità  "Solleciti"</t>
  </si>
  <si>
    <t>Verifica presenza nuove funzionalità nel percorso "Gestione Altre Sanzioni &gt;&gt; Ordine Ingiunzione/Altri Provvedimenti"</t>
  </si>
  <si>
    <t>Verifica: Verificare nel sottosistema SIUS la presenza per contenuto "Conversione / Rateizzazione Pena Pecuniaria" e per oggetti "Conversione pena pecuniaria" e "Rateizzazione pena pecuniaria" dei nuovi esiti "Dispone conversione in detenzione domiciliare sostitutiva", "Dispone conversione in semilibertà sostitutiva" e "Dispone conversione in lavoro di pubblica utilità sostitutivo"</t>
  </si>
  <si>
    <t>Verifica: Verificare nel sottosistema SIUS la presenza del nuovo contenuto "Applicazione Pene Sostitutive" con Oggetti "Semilibertà sostitutiva (art. 55 - 62 L. 689/1981)" e "Detenzione domiciliare sostitutiva (art. 56 - 62 L. 689/1981)" ed Esiti "Determina le modalità di esecuzione", "Dichiara N.D.P./ N.L.P", "Dichiara inammissibilità", "Dichiara la propria incompetenza" e "Dispone restituzione atti al PM"</t>
  </si>
  <si>
    <t>Verifica: Verificare nel sottosistema SIUSla presenza del nuovo contenuto "Applicazione pene sostitutive delle pene detentive brevi art. 95. D.lgs. 150/22" con Oggetti "Applicazione della pena in semilibertà sostitutiva", "Applicazione della pena in detenzione domiciliare sostitutiva", "Applicazione della pena il lavoro di pubblica utilità sostitutivo" e "Applicazione della pena la pena pecuniaria sostitutiva" ed Esiti "Applica la Pena sostitutiva breve", "Rigetta l’istanza", "Dichiara il non luogo a provvedere", "Dichiara il non doversi procedere", "Dichiara l’inammissibilità" e "Dichiara la propria la propria incompetenza"</t>
  </si>
  <si>
    <t>Verifica: Verificare nel sottosistema SIGE la presenza del nuovo contenuto "Riduzione della pena articolo 442, comma 2-bis" con Oggetti "Riduzione della pena articolo 442, comma 2-bis" ed Esiti "Applica riduzione pena", "Rigetta l’istanza", "Dichiara il non luogo a provvedere", "Dichiara il non doversi procedere", "Dichiara l’inammissibilità" e "Dichiara la propria la propria incompetenza"</t>
  </si>
  <si>
    <t>selezionare la funzione Gestione Altre Sanzioni&gt;&gt;Riscossione Pene Pecuniarie&gt;&gt;Ordine Ingiunzione/Altri Provvedimenti&gt;&gt;Ordine Ingiuzione</t>
  </si>
  <si>
    <r>
      <t xml:space="preserve">Visualizzazione pagina </t>
    </r>
    <r>
      <rPr>
        <b/>
        <sz val="11"/>
        <rFont val="Calibri"/>
        <family val="2"/>
        <scheme val="minor"/>
      </rPr>
      <t xml:space="preserve"> Inserimento Ordine Ingiunzione al Pagamento Pena Pecuniaria</t>
    </r>
  </si>
  <si>
    <t>Compilare tutti i campi della form obbligatori e Confermare</t>
  </si>
  <si>
    <r>
      <t xml:space="preserve">Visualizzazione pagina </t>
    </r>
    <r>
      <rPr>
        <b/>
        <sz val="11"/>
        <rFont val="Calibri"/>
        <family val="2"/>
        <scheme val="minor"/>
      </rPr>
      <t>Dettaglio Ordine Ingiunzione</t>
    </r>
  </si>
  <si>
    <r>
      <t xml:space="preserve">Cliccare sull'icona di </t>
    </r>
    <r>
      <rPr>
        <b/>
        <sz val="11"/>
        <rFont val="Calibri"/>
        <family val="2"/>
        <scheme val="minor"/>
      </rPr>
      <t>Stampa</t>
    </r>
    <r>
      <rPr>
        <sz val="11"/>
        <rFont val="Calibri"/>
        <family val="2"/>
        <scheme val="minor"/>
      </rPr>
      <t xml:space="preserve"> </t>
    </r>
  </si>
  <si>
    <r>
      <t xml:space="preserve">Verificare che venga prodotto il template </t>
    </r>
    <r>
      <rPr>
        <b/>
        <sz val="11"/>
        <rFont val="Calibri"/>
        <family val="2"/>
        <scheme val="minor"/>
      </rPr>
      <t>SIEP_PP_OI_PAGAMENTO_UN.rtf</t>
    </r>
  </si>
  <si>
    <r>
      <t xml:space="preserve">Verificare che venga prodotto il template </t>
    </r>
    <r>
      <rPr>
        <b/>
        <sz val="11"/>
        <rFont val="Calibri"/>
        <family val="2"/>
        <scheme val="minor"/>
      </rPr>
      <t>SIEP_PP_OI_PAGAMENTO_UN_DET.rtf</t>
    </r>
  </si>
  <si>
    <r>
      <t>L'utente si trova nella pagina di Dettaglio di un Procedimento con pena pecuniaria sostitutiva con pagamento</t>
    </r>
    <r>
      <rPr>
        <b/>
        <sz val="11"/>
        <rFont val="Calibri"/>
        <family val="2"/>
        <scheme val="minor"/>
      </rPr>
      <t xml:space="preserve"> rateizzato</t>
    </r>
    <r>
      <rPr>
        <sz val="11"/>
        <rFont val="Calibri"/>
        <family val="2"/>
        <scheme val="minor"/>
      </rPr>
      <t xml:space="preserve">, con condannato </t>
    </r>
    <r>
      <rPr>
        <b/>
        <sz val="11"/>
        <rFont val="Calibri"/>
        <family val="2"/>
        <scheme val="minor"/>
      </rPr>
      <t>libero</t>
    </r>
  </si>
  <si>
    <r>
      <t xml:space="preserve">L'utente si trova nella pagina di Dettaglio di un Procedimento con pena pecuniaria sostitutiva con pagamento in </t>
    </r>
    <r>
      <rPr>
        <b/>
        <sz val="11"/>
        <rFont val="Calibri"/>
        <family val="2"/>
        <scheme val="minor"/>
      </rPr>
      <t>unica soluzione</t>
    </r>
    <r>
      <rPr>
        <sz val="11"/>
        <rFont val="Calibri"/>
        <family val="2"/>
        <scheme val="minor"/>
      </rPr>
      <t xml:space="preserve">, con condannato </t>
    </r>
    <r>
      <rPr>
        <b/>
        <sz val="11"/>
        <rFont val="Calibri"/>
        <family val="2"/>
        <scheme val="minor"/>
      </rPr>
      <t>libero</t>
    </r>
  </si>
  <si>
    <r>
      <t xml:space="preserve">Verificare che venga prodotto il template </t>
    </r>
    <r>
      <rPr>
        <b/>
        <sz val="11"/>
        <rFont val="Calibri"/>
        <family val="2"/>
        <scheme val="minor"/>
      </rPr>
      <t>SIEP_PP_OI_PAGAMENTO_RR.rtf</t>
    </r>
  </si>
  <si>
    <r>
      <t xml:space="preserve">L'utente si trova nella pagina di Dettaglio di un Procedimento con pena pecuniaria sostitutiva con </t>
    </r>
    <r>
      <rPr>
        <b/>
        <sz val="11"/>
        <rFont val="Calibri"/>
        <family val="2"/>
        <scheme val="minor"/>
      </rPr>
      <t>pagamento in unica soluzione</t>
    </r>
    <r>
      <rPr>
        <sz val="11"/>
        <rFont val="Calibri"/>
        <family val="2"/>
        <scheme val="minor"/>
      </rPr>
      <t xml:space="preserve">, con condannato </t>
    </r>
    <r>
      <rPr>
        <b/>
        <sz val="11"/>
        <rFont val="Calibri"/>
        <family val="2"/>
        <scheme val="minor"/>
      </rPr>
      <t>detenuto</t>
    </r>
  </si>
  <si>
    <r>
      <t>L'utente si trova nella pagina di Dettaglio di un Procedimento con pena pecuniaria sostitutiva con pagamento</t>
    </r>
    <r>
      <rPr>
        <b/>
        <sz val="11"/>
        <rFont val="Calibri"/>
        <family val="2"/>
        <scheme val="minor"/>
      </rPr>
      <t xml:space="preserve"> rateizzato</t>
    </r>
    <r>
      <rPr>
        <sz val="11"/>
        <rFont val="Calibri"/>
        <family val="2"/>
        <scheme val="minor"/>
      </rPr>
      <t xml:space="preserve">, con condannato </t>
    </r>
    <r>
      <rPr>
        <b/>
        <sz val="11"/>
        <rFont val="Calibri"/>
        <family val="2"/>
        <scheme val="minor"/>
      </rPr>
      <t>detenuto</t>
    </r>
  </si>
  <si>
    <r>
      <t xml:space="preserve">Verificare che venga prodotto il template </t>
    </r>
    <r>
      <rPr>
        <b/>
        <sz val="11"/>
        <rFont val="Calibri"/>
        <family val="2"/>
        <scheme val="minor"/>
      </rPr>
      <t>SIEP_PP_OI_PAGAMENTO_RR_DET.rtf</t>
    </r>
  </si>
  <si>
    <t>SIUT-SIES-CT-1.0-20240130-Allegato_al_piano_Test_2023_33_PST_PagoPA_Step-1</t>
  </si>
  <si>
    <t>SIUT-SIES-PT-1.0-20240130-Piano_dei_Test_2023_33_PST_PagoPA_Step-1</t>
  </si>
  <si>
    <t>UC06</t>
  </si>
  <si>
    <t>PAR. 2.3-033-08</t>
  </si>
  <si>
    <t>PAR. 2.3.1-033-09</t>
  </si>
  <si>
    <t>PAR. 2.3.2-033-10</t>
  </si>
  <si>
    <t>PAR. 2.3.4-033-11</t>
  </si>
  <si>
    <t>PAR. 2.3.5-033-12</t>
  </si>
  <si>
    <t>PAR. 2.3.5.1-033-13</t>
  </si>
  <si>
    <t>PAR. 2.3.5.2-033-14</t>
  </si>
  <si>
    <t>PAR. 2.3.5.3-033-15</t>
  </si>
  <si>
    <t>PAR. 2.3.5.4-033-16</t>
  </si>
  <si>
    <t>PAR. 2.3.5.4.1-033-17</t>
  </si>
  <si>
    <t>PAR. 2.3.5.5-033-18</t>
  </si>
  <si>
    <t>PAR. 2.4-033-19</t>
  </si>
  <si>
    <t>L'utente si trova nella pagina di Dettaglio di un Procedimento in stato di Iscritto con, Pena Complessiva inserita con "Sanzione Sostitutiva" di tipo "Pena Pecuniaria sostitutiva" valorizzata</t>
  </si>
  <si>
    <t>Verificare che nella form visualizzata sia presente, nella stessa riga della dicitura "Pena sostitutiva applicata:", il link "Pena Pecuniaria sostitutiva"</t>
  </si>
  <si>
    <t>Visualizzazione pagina "Dettaglio Modalita' pagamento Pena Pecuniaria"</t>
  </si>
  <si>
    <t>Visualizzazione pagina "Dettaglio Procedimento"</t>
  </si>
  <si>
    <t>L'utente si trova nella pagina di Dettaglio di un Procedimento in stato di Iscritto con, Pena Complessiva inserita con "Civilmente Obbligato per la Pena Pecuniaria" valorizzato</t>
  </si>
  <si>
    <t>Visualizzazione pagina "Dettaglio Civilmente Obbligato"</t>
  </si>
  <si>
    <t>Verificare che nella form visualizzata sia presente il link "Civilmente Obbligati al Pagamento Pena Pecuniaria"</t>
  </si>
  <si>
    <t>Verificare che nella form visualizzata sia presente il link "Verifica Stato Pagamenti"</t>
  </si>
  <si>
    <t>Visualizzazione pagina "Verifica Stato Pagamento Bollettini su PagoPA"</t>
  </si>
  <si>
    <t>L'utente si trova nella pagina di Dettaglio di un Procedimento per il quale sia stato emesso un "Ordine esecuzione di Ingiunzione al Pagamento della Pena Pecuniaria"</t>
  </si>
  <si>
    <t>Visualizzazione Pagina "Stato Bollettini per Pagamento Pena Pecuniaria"</t>
  </si>
  <si>
    <t>Gestione Altre Sanzioni &gt;&gt; Riscossione Pene Pecuniarie &gt;&gt; Gestione Notifiche &gt;&gt; Notifiche</t>
  </si>
  <si>
    <t>L'utente riempie i campi obbligatori e preme il tasto "Conferma"</t>
  </si>
  <si>
    <t>Visualizzazione pagina "Dettaglio avvenuta notifica alle parti"</t>
  </si>
  <si>
    <r>
      <t>Visualizzazione pagina "Inserimento avvenuta notifica alle parti</t>
    </r>
    <r>
      <rPr>
        <b/>
        <sz val="11"/>
        <rFont val="Calibri"/>
        <family val="2"/>
        <scheme val="minor"/>
      </rPr>
      <t>"</t>
    </r>
  </si>
  <si>
    <t>L'utente clicca sul link "Richiesta Generazione Bollettini"</t>
  </si>
  <si>
    <t>Visualizzazione pagina "Richiesta a PagoPA Generazione Bollettini Pagamento Pena Pecuniaria"</t>
  </si>
  <si>
    <t>L'utente clicca sull'icona della lente nella colonna "Visualizza"</t>
  </si>
  <si>
    <t>Visualizzazione pagina "Stato Bollettini per Pagamento Pena Pecuniaria"</t>
  </si>
  <si>
    <t>Verificare che la colonna "Data Scadenza" sia valorizzata correttamente</t>
  </si>
  <si>
    <t>data scadenza vuota</t>
  </si>
  <si>
    <t>data scadenza valorizzata</t>
  </si>
  <si>
    <t>pagamento in unica rata</t>
  </si>
  <si>
    <t>data scadenza valorizzata come data avvenuta notifica + 90 giorni</t>
  </si>
  <si>
    <t>pagamento rateizzato</t>
  </si>
  <si>
    <t>data scadenza valorizzata per la prima rata come data avvenuta notifica + 30 gg, per le rate successive come ultimo giorno dei mesi successivi alla data di scadenza prima rata</t>
  </si>
  <si>
    <t>Gestione Altre Sanzioni &gt;&gt; Riscossione Pene Pecuniarie &gt;&gt; Ordine Ingiunzione / Altri Provvedimenti &gt;&gt; Ordine Ingiunzione</t>
  </si>
  <si>
    <r>
      <t>Visualizzazione pagina "Dettaglio Ordine di Ingiunzione al Pagamento Pena Pecuniaria</t>
    </r>
    <r>
      <rPr>
        <b/>
        <sz val="11"/>
        <rFont val="Calibri"/>
        <family val="2"/>
        <scheme val="minor"/>
      </rPr>
      <t>"</t>
    </r>
  </si>
  <si>
    <t>Verificare che nella form visualizzata sia presente il link "Visualizza stato notifiche"</t>
  </si>
  <si>
    <t>Visualizzazione pagina "Dettaglio avvenuta notifica alle parti" o "Inserimento avvenuta notifica alle parti" a seconda che siano state inserite o meno le notifiche</t>
  </si>
  <si>
    <t>Verificare che nella form visualizzata sia presente il link "Richiesta Bollettini"</t>
  </si>
  <si>
    <t>Verificare che nella form visualizzata sia presente il link "Richiesta Generazione Bollettini"</t>
  </si>
  <si>
    <t>L'utente si trova nella pagina di Dettaglio di un Procedimento per il quale sia stato emesso un "Ordine esecuzione di Ingiunzione al Pagamento della Pena Pecuniaria" e siano stati generati i bollettini</t>
  </si>
  <si>
    <t>Gestione Altre Sanzioni &gt;&gt; Riscossione Pene Pecuniarie &gt;&gt; Gestione Notifiche &gt;&gt; Rinnovo Ricerche per Omesse Notifiche</t>
  </si>
  <si>
    <r>
      <t>Visualizzazione pagina "Gestione Notifiche</t>
    </r>
    <r>
      <rPr>
        <b/>
        <sz val="11"/>
        <rFont val="Calibri"/>
        <family val="2"/>
        <scheme val="minor"/>
      </rPr>
      <t>"</t>
    </r>
  </si>
  <si>
    <t>L'utente clicca sull'icona della lente nella colonna "Seleziona"</t>
  </si>
  <si>
    <t>Visualizzazione pagina "Rinnovo Ricerche per Omesse Notifiche"</t>
  </si>
  <si>
    <t>Scegliere il radio button "Omessa Notifica Forza di Polizia"</t>
  </si>
  <si>
    <t>Verificare che in assenza di Verbale Vane Ricerche già inserito, il sistema invii un messaggio bloccante</t>
  </si>
  <si>
    <t>Non Esiste Nessun Verbale Vane Ricerche Associato all'Ordine di Ingiunzione.
Vuoi andare al Verbale Vane Ricerche?</t>
  </si>
  <si>
    <t>L'utente, dopo aver inserito il Verbale Vane Ricerche, riempie i campi obbligatori e preme il tasto "Conferma"</t>
  </si>
  <si>
    <t>Scegliere il radio button "Rinnovo stessa autorità in data" oppure "Rinnovo altra autorità in data" (per il quale saranno predisposti tre ulteriori campi)</t>
  </si>
  <si>
    <t>Visualizzazione pagina "Dettaglio Rinnovo Ricerche per Omessa Notifica Forza di Polizia"</t>
  </si>
  <si>
    <t>L'utente clicca sull'icona di Cancellazione</t>
  </si>
  <si>
    <t>Premere OK per confermare la cancellazione del rinnovo</t>
  </si>
  <si>
    <t>Visualizzazione Pagina "Rinnovo Ricerche per Omesse Notifiche"</t>
  </si>
  <si>
    <t>Verificare che la cancellazione sia andata a buon fine</t>
  </si>
  <si>
    <t>Scegliere il radio button "Omessa Notifica Ufficiali Giudiziari"</t>
  </si>
  <si>
    <t>Visualizzazione pagina "Dettaglio Rinnovo Ricerche per Omessa Notifica Ufficiali Giudiziari"</t>
  </si>
  <si>
    <t>L'utente clicca sull'icona di "Generazione Stampa"</t>
  </si>
  <si>
    <t>Generazione template "SIEP_GDS_RICH_POL"</t>
  </si>
  <si>
    <t>L'utente seleziona la checkbox "Valida Documento" e preme il tasto "Conferma"</t>
  </si>
  <si>
    <t>Premere OK per confermare l'operazione</t>
  </si>
  <si>
    <t>Verificare la presenza di una riga che attesti l'avvenuto inserimento del Rinnovo Ricerche per Omesse Notifiche</t>
  </si>
  <si>
    <t>Gestione Altre Sanzioni &gt;&gt; Riscossione Pene Pecuniarie &gt;&gt; Gestione Notifiche &gt;&gt; Solleciti</t>
  </si>
  <si>
    <t>Gestione Altre Sanzioni &gt;&gt; Riscossione Pene Pecuniarie &gt;&gt; Gestione Notifiche &gt;&gt; Rinnovazione Notifica successiva alla Richiesta Informazioni</t>
  </si>
  <si>
    <t>Gestione Altre Sanzioni &gt;&gt; Riscossione Pene Pecuniarie &gt;&gt; Gestione Notifiche &gt;&gt; Richiesta Informazioni comma 5</t>
  </si>
  <si>
    <t>Visualizzazione pagina "Richiesta Informazioni Comma 5"</t>
  </si>
  <si>
    <t>Scegliere il radio button "Richiesta Informazioni al Difensore"</t>
  </si>
  <si>
    <t>Visualizzazione pagina "Dettaglio Richiesta Informazioni Comma 5"</t>
  </si>
  <si>
    <t>Visualizzazione Pagina "Richiesta Informazioni Comma 5"</t>
  </si>
  <si>
    <t>Scegliere il radio button "Richiesta Informazioni ad altri"</t>
  </si>
  <si>
    <t>Generazione template "SIEP_GDS_ALTRI_8BIS"</t>
  </si>
  <si>
    <t>Verificare la presenza di una riga che attesti l'avvenuto inserimento della "Richiesta Informazioni Altri"</t>
  </si>
  <si>
    <t>Visualizzazione pagina "Rinnovazione Notifiche Comma 5"</t>
  </si>
  <si>
    <t>Scegliere il radio button "A mezzo Ufficiali Giudiziari"</t>
  </si>
  <si>
    <t>Visualizzazione pagina "Dettaglio Rinnovazione Notifica comma 5 Ufficiali Giudiziari"</t>
  </si>
  <si>
    <t>Generazione template "SIEP_GDS_RIN_UFFG"</t>
  </si>
  <si>
    <t>Visualizzazione Pagina "Rinnovazione Notifiche Comma 5"</t>
  </si>
  <si>
    <t>Scegliere il radio button "A mezzo Autorità di Polizia"</t>
  </si>
  <si>
    <t>Visualizzazione pagina "Dettaglio Rinnovazione Notifica comma 5 Forza di Polizia"</t>
  </si>
  <si>
    <t>Generazione template "SIEP_GDS_RIN_POL"</t>
  </si>
  <si>
    <t>Verificare la presenza di una riga che attesti l'avvenuto inserimento del "Rinnovo Notifica Comma 5"</t>
  </si>
  <si>
    <t>Visualizzazione pagina "Solleciti"</t>
  </si>
  <si>
    <t>Scegliere il radio button "Sollecito Autorità di Polizia"</t>
  </si>
  <si>
    <t>Visualizzazione pagina "Solleciti Forza di Polizia"</t>
  </si>
  <si>
    <t>Generazione template "SIEP_GDS_SOLL02"</t>
  </si>
  <si>
    <t>Visualizzazione Pagina "Solleciti"</t>
  </si>
  <si>
    <t>Scegliere il radio button "Sollecito Ufficiali Giudiziari"</t>
  </si>
  <si>
    <t>Visualizzazione pagina "Sollecito Ufficiali Giudiziari"</t>
  </si>
  <si>
    <t>Generazione template "SIEP_GDS_SOLL01"</t>
  </si>
  <si>
    <t>Verificare la presenza di una riga che attesti l'avvenuto inserimento del "Sollecito"</t>
  </si>
  <si>
    <t>L'utente si trova nella pagina Home del sistema</t>
  </si>
  <si>
    <t>Esecuzione batch PagoPa</t>
  </si>
  <si>
    <t>Homepage</t>
  </si>
  <si>
    <t>Visualizzazione pagina "Dettaglio Esecuzione Batch PagoPa"</t>
  </si>
  <si>
    <t>L'utente clicca sull'icona di "Scarica XML Richiesta"</t>
  </si>
  <si>
    <t>se presente</t>
  </si>
  <si>
    <t>Visualizzazione file "Richiesta.xml"</t>
  </si>
  <si>
    <t>L'utente clicca sull'icona di "Scarica XML Risposta"</t>
  </si>
  <si>
    <t>Visualizzazione file "Risposta.xml"</t>
  </si>
  <si>
    <t>L'utente clicca sul link "Lancio Manuale Batch"</t>
  </si>
  <si>
    <t>Visualizzazione Pagina "Dettaglio Batch PagoPa"</t>
  </si>
  <si>
    <t>sarà aggiunta una nuova riga per l'elaborazione appena lanciata</t>
  </si>
  <si>
    <t>Verificare che il batch sia stato rilanciato</t>
  </si>
  <si>
    <t>la ricerca è preimpostata sugli ultimi due mesi</t>
  </si>
  <si>
    <t>L'utente imposta i parametri di ricerca e preme il tasto "Ricerca"</t>
  </si>
  <si>
    <r>
      <t>Visualizzazione pagina "Dettaglio Batch PagoPa</t>
    </r>
    <r>
      <rPr>
        <b/>
        <sz val="11"/>
        <rFont val="Calibri"/>
        <family val="2"/>
        <scheme val="minor"/>
      </rPr>
      <t>"</t>
    </r>
  </si>
  <si>
    <t>Visualizzazione pagina "Dettaglio Batch PagoPa"</t>
  </si>
  <si>
    <t>Schedulazione batch PagoPa</t>
  </si>
  <si>
    <r>
      <t>Visualizzazione pagina "Dettaglio Schedulazione Batch PagoPa</t>
    </r>
    <r>
      <rPr>
        <b/>
        <sz val="11"/>
        <rFont val="Calibri"/>
        <family val="2"/>
        <scheme val="minor"/>
      </rPr>
      <t>"</t>
    </r>
  </si>
  <si>
    <t>L'utente clicca sull'icona "Configura Schedulazione" nella colonna "Azioni"</t>
  </si>
  <si>
    <t>Visualizzazione pagina "Configurazione Schedulazione Batch PagoPa"</t>
  </si>
  <si>
    <t>L'utente imposta i parametri di configurazione e preme il tasto "Conferma"</t>
  </si>
  <si>
    <t>Visualizzazione pagina "Dettaglio Schedulazione Batch PagoPa"</t>
  </si>
  <si>
    <t>La modifica della schedulazione del batch PagoPA ha effetto solo per il tempo di durata della sessione di SIES, quindi fino allo stop del server JBoss</t>
  </si>
  <si>
    <t>L'utente clicca sull'icona "Sospendi Schedulazione" nella colonna "Azioni"</t>
  </si>
  <si>
    <t>Verificare che nella colonna "Prossima Esecuzione" sia programmata la schedulazione impostata</t>
  </si>
  <si>
    <t>Verificare che nella colonna "Stato" sia presente la dicitura "In Pausa"</t>
  </si>
  <si>
    <t>L'utente clicca sull'icona "Attiva Schedulazione" nella colonna "Azioni"</t>
  </si>
  <si>
    <t>Verificare che nella colonna "Stato" sia presente la dicitura "Schedulato"</t>
  </si>
  <si>
    <t>L'utente clicca sull'icona "Avviso Batch PagoPA"</t>
  </si>
  <si>
    <t>Verificare la presenza del link "Verifica Batch PagoPA"</t>
  </si>
  <si>
    <t>Cliccando sul link si riparte dall'azione 3, ovvero dall'ultima esecuzione batch lanciata</t>
  </si>
  <si>
    <t>Verificare la assenza del link "Verifica Batch PagoPA"</t>
  </si>
  <si>
    <t>sarà presente solo un messaggio informativo sull'esecuzione dell'ultimo batch</t>
  </si>
  <si>
    <t>Gestione Altre Sanzioni &gt;&gt; Cruscotto Errori su PagoPa Pene Pecuniarie</t>
  </si>
  <si>
    <t>oppure cliccando sull'icona "Errori PagoPa" nel menù orizzontale</t>
  </si>
  <si>
    <t>CODICE PROFILO = 99 (GESTORE UTENTI E PROFILI)</t>
  </si>
  <si>
    <t>L'utente effettua l'accesso al sistema SIEP come "Gestore Utenti e Profili"</t>
  </si>
  <si>
    <t>Cruscotto errori su PagoPa</t>
  </si>
  <si>
    <t>L'utente effettua l'accesso al sistema SIEP come "AMMINISTRATORE D' UFFICIO"</t>
  </si>
  <si>
    <t>CODICE PROFILO = 90 (AMMINISTRATORE D' UFFICIO)</t>
  </si>
  <si>
    <r>
      <t>Visualizzazione pagina "VERIFICA ERRORI SU PAGOPA</t>
    </r>
    <r>
      <rPr>
        <b/>
        <sz val="11"/>
        <rFont val="Calibri"/>
        <family val="2"/>
        <scheme val="minor"/>
      </rPr>
      <t>"</t>
    </r>
  </si>
  <si>
    <t>Visualizzazione pagina "CRUSCOTTO ERRORI COLLEGAMENTI WEB SIES-PST"</t>
  </si>
  <si>
    <t>Ripartire dall'azione 2</t>
  </si>
  <si>
    <t>L'utente seleziona il bollettino da verificare nella colonna "Azioni" e preme il tasto "Inoltra"</t>
  </si>
  <si>
    <t>la colonna "Prossima Esecuzione" è valorizzata col valore preimpostato nel file di configurazione "f3b.properties" con chiave "PagoPaCronExpression"</t>
  </si>
  <si>
    <t>aggiornamento dello stato se disponibile</t>
  </si>
  <si>
    <t>Verificare che l'invocazione del web service sia avvenuta correttamente e che lo stato sia aggiornato</t>
  </si>
  <si>
    <t>Visualizzazione Pagina "Verifica Stato Pagamento Bollettini su PagoPA"</t>
  </si>
  <si>
    <t>L'utente clicca sull'icona della cancellazione (X) nella colonna "Azioni"</t>
  </si>
  <si>
    <t>L'utente clicca sull'icona di dettaglio (lente) nella colonna "Azioni"</t>
  </si>
  <si>
    <t>dare la conferma all'operazione</t>
  </si>
  <si>
    <t>Verificare che la riga selezionata sia stata eliminata</t>
  </si>
  <si>
    <t>Test Sistema</t>
  </si>
  <si>
    <r>
      <t>Download file "Documento.rtf</t>
    </r>
    <r>
      <rPr>
        <b/>
        <sz val="11"/>
        <rFont val="Calibri"/>
        <family val="2"/>
        <scheme val="minor"/>
      </rPr>
      <t>"</t>
    </r>
  </si>
  <si>
    <t>L'utente clicca sul link "Test Sistema"</t>
  </si>
  <si>
    <t>Verificare che nella sezione "Web &amp; Web Services" siano presenti, alla fine, due controlli "Test Connessione WS di Servizi Invio Pagamenti Telematici" e "Test Connessione WS di Servizi Consultazione Pagamenti Telematici" e che lo stato dei due web services sia "DISPONIBILE"</t>
  </si>
  <si>
    <t>ok</t>
  </si>
  <si>
    <r>
      <t xml:space="preserve">Visualizzazione seconda pagina </t>
    </r>
    <r>
      <rPr>
        <b/>
        <sz val="11"/>
        <rFont val="Calibri"/>
        <family val="2"/>
        <scheme val="minor"/>
      </rPr>
      <t>Modifica Oggetto</t>
    </r>
  </si>
  <si>
    <t xml:space="preserve">Cliccare su Scarico Esito - Unico per Oggetto </t>
  </si>
  <si>
    <r>
      <t xml:space="preserve">Visualizzazione seconda pagina </t>
    </r>
    <r>
      <rPr>
        <b/>
        <sz val="11"/>
        <rFont val="Calibri"/>
        <family val="2"/>
        <scheme val="minor"/>
      </rPr>
      <t>Emissione Ordinanza</t>
    </r>
  </si>
  <si>
    <t>Compilare i campi obbligatori della prima form e Confermare</t>
  </si>
  <si>
    <r>
      <t xml:space="preserve">Visualizzazione pagina </t>
    </r>
    <r>
      <rPr>
        <b/>
        <sz val="11"/>
        <rFont val="Calibri"/>
        <family val="2"/>
        <scheme val="minor"/>
      </rPr>
      <t>Emissione Ordinanza</t>
    </r>
  </si>
  <si>
    <r>
      <t xml:space="preserve">Visualizzazione pagina </t>
    </r>
    <r>
      <rPr>
        <b/>
        <sz val="11"/>
        <rFont val="Calibri"/>
        <family val="2"/>
        <scheme val="minor"/>
      </rPr>
      <t>Gestione Oggetti Relativi alla Richiesta/Atto</t>
    </r>
    <r>
      <rPr>
        <sz val="11"/>
        <rFont val="Calibri"/>
        <family val="2"/>
        <scheme val="minor"/>
      </rPr>
      <t xml:space="preserve">  con i dati inseriti</t>
    </r>
  </si>
  <si>
    <t>Selezionare nella form le suddette voci, completare con i dati obbligatori e Confermare</t>
  </si>
  <si>
    <r>
      <t>Verificare che nelle combo box siano presenti le seguenti voci: Contenuto  "riduzione della pena articolo 442, comma 2-bis   ";</t>
    </r>
    <r>
      <rPr>
        <b/>
        <sz val="11"/>
        <rFont val="Calibri"/>
        <family val="2"/>
        <scheme val="minor"/>
      </rPr>
      <t xml:space="preserve"> Oggetto</t>
    </r>
    <r>
      <rPr>
        <sz val="11"/>
        <rFont val="Calibri"/>
        <family val="2"/>
        <scheme val="minor"/>
      </rPr>
      <t xml:space="preserve"> "riduzione della pena articolo 442, comma 2-bis"</t>
    </r>
  </si>
  <si>
    <r>
      <t xml:space="preserve">Visualizzazione pagina </t>
    </r>
    <r>
      <rPr>
        <b/>
        <sz val="11"/>
        <rFont val="Calibri"/>
        <family val="2"/>
        <scheme val="minor"/>
      </rPr>
      <t>Gestione Oggetti Relativi alla Richiesta/Atto</t>
    </r>
    <r>
      <rPr>
        <sz val="11"/>
        <rFont val="Calibri"/>
        <family val="2"/>
        <scheme val="minor"/>
      </rPr>
      <t xml:space="preserve">  Combo box Contenuto, Oggetto, Titolo Esecutivo, Reati</t>
    </r>
  </si>
  <si>
    <t>Cliccare su Icona Inserimento</t>
  </si>
  <si>
    <r>
      <t xml:space="preserve">Visualizzazione pagina </t>
    </r>
    <r>
      <rPr>
        <b/>
        <sz val="11"/>
        <rFont val="Calibri"/>
        <family val="2"/>
        <scheme val="minor"/>
      </rPr>
      <t>Gestione Oggetti Relativi alla Richiesta/Atto</t>
    </r>
    <r>
      <rPr>
        <sz val="11"/>
        <rFont val="Calibri"/>
        <family val="2"/>
        <scheme val="minor"/>
      </rPr>
      <t xml:space="preserve"> </t>
    </r>
  </si>
  <si>
    <r>
      <t xml:space="preserve">Cliccare su link </t>
    </r>
    <r>
      <rPr>
        <b/>
        <sz val="11"/>
        <rFont val="Calibri"/>
        <family val="2"/>
        <scheme val="minor"/>
      </rPr>
      <t>Oggetti</t>
    </r>
  </si>
  <si>
    <t>L'utente ricerca un procedimento SIGE in stato di Iscritto, privo di oggetti, con almeno un titolo esecutivi associato e si posiziona sulla pagina Dettaglio Procedimento</t>
  </si>
  <si>
    <r>
      <t xml:space="preserve">L'utente effettua l'accesso al sistema </t>
    </r>
    <r>
      <rPr>
        <b/>
        <sz val="11"/>
        <rFont val="Calibri"/>
        <family val="2"/>
        <scheme val="minor"/>
      </rPr>
      <t>SIGE</t>
    </r>
    <r>
      <rPr>
        <sz val="11"/>
        <rFont val="Calibri"/>
        <family val="2"/>
        <scheme val="minor"/>
      </rPr>
      <t xml:space="preserve"> come Tribunale Ordinario </t>
    </r>
  </si>
  <si>
    <t>Selezionare nella form una delle suddette voci, completare con i dati obbligatori e Confermare</t>
  </si>
  <si>
    <r>
      <t xml:space="preserve">Apertura di una nuova finestra del browser e successiva Visualizzazione a video del documento </t>
    </r>
    <r>
      <rPr>
        <b/>
        <sz val="11"/>
        <rFont val="Calibri"/>
        <family val="2"/>
        <scheme val="minor"/>
      </rPr>
      <t>IGE_DE_DECRFISSAZIONEUDIENZA_P1.rtf</t>
    </r>
  </si>
  <si>
    <t>Selezionare nella combo box Modello di stampa "Decreto Fissazione Udienza - Senza Avviso" e Cliccare su Icona di Stampa</t>
  </si>
  <si>
    <t>L'utente è sul Dettaglio Fissazione Udienza</t>
  </si>
  <si>
    <r>
      <t xml:space="preserve">Apertura di una nuova finestra del browser e successiva Visualizzazione a video del documento </t>
    </r>
    <r>
      <rPr>
        <b/>
        <sz val="11"/>
        <rFont val="Calibri"/>
        <family val="2"/>
        <scheme val="minor"/>
      </rPr>
      <t>SIGE_DE_DECRFISSAZIONEUDIENZA.rtf</t>
    </r>
  </si>
  <si>
    <t>Selezionare nella combo box Modello di stampa "Decreto Fissazione Udienza" e Cliccare su Icona di Stampa</t>
  </si>
  <si>
    <t>Visualizzazione pagina Dettaglio Fissazione Udienza</t>
  </si>
  <si>
    <t>Compilare i dati obbligatori della form e Confermare</t>
  </si>
  <si>
    <r>
      <t xml:space="preserve">Visualizzazione pagina </t>
    </r>
    <r>
      <rPr>
        <b/>
        <sz val="11"/>
        <rFont val="Calibri"/>
        <family val="2"/>
        <scheme val="minor"/>
      </rPr>
      <t>Inserimento Fissazione Udienza</t>
    </r>
  </si>
  <si>
    <t xml:space="preserve">Udienze/Fissazione/Rinvio/Ruolo » Fissazione Udienza </t>
  </si>
  <si>
    <t>L'utente ricerca un procedimento SIGE in stato di Iscritto, con luogo detenzione valorizzato</t>
  </si>
  <si>
    <t>Procedere con le attività di presa in carico e di iscrizione di un procedimento con Contenuto  "Applicazione Pene Sostitutive " e per oggettI "Semilibertà sostitutiva (art. 55 - 62 L. 689/1981)" o "Detenzione domiciliare sostitutiva (art. 56 - 62 L. 689/1981"</t>
  </si>
  <si>
    <t>Visualizzazione Dettaglio dell'Atto pervenuto</t>
  </si>
  <si>
    <t>Selezionare il record relativo al procedimento SIEP del precedente test, Tipo Operazione = Trasferimento Pena Sostitutiva, e cliccare sull'icona di Dettaglio</t>
  </si>
  <si>
    <r>
      <t xml:space="preserve">Visualizzazione pagina </t>
    </r>
    <r>
      <rPr>
        <b/>
        <sz val="11"/>
        <rFont val="Calibri"/>
        <family val="2"/>
        <scheme val="minor"/>
      </rPr>
      <t xml:space="preserve">Lista Atti ricevuti dal _____ al _____   </t>
    </r>
    <r>
      <rPr>
        <sz val="11"/>
        <rFont val="Calibri"/>
        <family val="2"/>
        <scheme val="minor"/>
      </rPr>
      <t xml:space="preserve">(ultimi 2 mesi rispetto alla data elaborazione) </t>
    </r>
  </si>
  <si>
    <t>Cliccare su Ricerca</t>
  </si>
  <si>
    <r>
      <t xml:space="preserve">Visualizzazione pagina </t>
    </r>
    <r>
      <rPr>
        <b/>
        <sz val="11"/>
        <rFont val="Calibri"/>
        <family val="2"/>
        <scheme val="minor"/>
      </rPr>
      <t>Ricerca Atto Pervenuto nel periodo</t>
    </r>
  </si>
  <si>
    <r>
      <t xml:space="preserve">L'utente è nella Home page di </t>
    </r>
    <r>
      <rPr>
        <b/>
        <sz val="11"/>
        <rFont val="Calibri"/>
        <family val="2"/>
        <scheme val="minor"/>
      </rPr>
      <t>SIUS</t>
    </r>
  </si>
  <si>
    <t>Exxxxx (Ufficio di Sorveglianza)</t>
  </si>
  <si>
    <r>
      <t xml:space="preserve">L'utente effettua l'accesso al sistema </t>
    </r>
    <r>
      <rPr>
        <b/>
        <sz val="11"/>
        <rFont val="Calibri"/>
        <family val="2"/>
        <scheme val="minor"/>
      </rPr>
      <t>SIUS</t>
    </r>
    <r>
      <rPr>
        <sz val="11"/>
        <rFont val="Calibri"/>
        <family val="2"/>
        <scheme val="minor"/>
      </rPr>
      <t xml:space="preserve"> come Ufficio di Sorveglianza destinatario del precedente provvedimento </t>
    </r>
  </si>
  <si>
    <t>Verificare che nella form di inserimento e modifica, tra gli altri dati, siano presenti i campi per i seguenti destinatari: Uds, Autorità per la notifica al Difensore, Autorità per notifica ad Altro Destinatario e Istituto Detenzione</t>
  </si>
  <si>
    <r>
      <t xml:space="preserve">Ricercare o iscrivere un procedimento validato con Pena sostitutiva detentiva (es. semilibertà sostitutiva) e condannato in </t>
    </r>
    <r>
      <rPr>
        <b/>
        <sz val="11"/>
        <color theme="1"/>
        <rFont val="Calibri"/>
        <family val="2"/>
        <scheme val="minor"/>
      </rPr>
      <t>Custodia Cautelare per Questa Causa in Regime di Detenzione</t>
    </r>
    <r>
      <rPr>
        <sz val="11"/>
        <color theme="1"/>
        <rFont val="Calibri"/>
        <family val="2"/>
        <scheme val="minor"/>
      </rPr>
      <t>, con pena residua non calcolata</t>
    </r>
  </si>
  <si>
    <t>Ripetere passo 1 del test (Navigazione) fino a 10</t>
  </si>
  <si>
    <t>Riciclo Test</t>
  </si>
  <si>
    <t>R1</t>
  </si>
  <si>
    <t>Visualizzazione Dettaglio Procedimento SIEP</t>
  </si>
  <si>
    <t>Cliccare su Anno e Numero Procedimento</t>
  </si>
  <si>
    <t>Cliccare su OK</t>
  </si>
  <si>
    <r>
      <t xml:space="preserve">Visualizzazione messaggio </t>
    </r>
    <r>
      <rPr>
        <b/>
        <sz val="11"/>
        <rFont val="Calibri"/>
        <family val="2"/>
        <scheme val="minor"/>
      </rPr>
      <t>Trasmissione Documento sottomessa al Sistema!</t>
    </r>
    <r>
      <rPr>
        <sz val="11"/>
        <rFont val="Calibri"/>
        <family val="2"/>
        <scheme val="minor"/>
      </rPr>
      <t xml:space="preserve">       OK</t>
    </r>
  </si>
  <si>
    <t>Cliccare sul tasto Conferma trasmissione</t>
  </si>
  <si>
    <t>Procedere con la validazione del provvedimento</t>
  </si>
  <si>
    <r>
      <t xml:space="preserve">Verificare che venga prodotto il template </t>
    </r>
    <r>
      <rPr>
        <b/>
        <sz val="11"/>
        <rFont val="Calibri"/>
        <family val="2"/>
        <scheme val="minor"/>
      </rPr>
      <t>NOTA_TRASM_PENSOS.rtf</t>
    </r>
  </si>
  <si>
    <t>Apertura di una nuova finestra del browser e successiva Visualizzazione a video del documento associato alla Comunicazione</t>
  </si>
  <si>
    <t>Cliccare sull'Icona Stampa</t>
  </si>
  <si>
    <t>L'utente si trova nella pagina di  Dettaglio Trasmissione Atti Esecuzione Pena Sostitutiva</t>
  </si>
  <si>
    <t>Verificare che i dati visualizzati corrispondano a quelli confermati</t>
  </si>
  <si>
    <r>
      <t xml:space="preserve">Visualizzazione pagina </t>
    </r>
    <r>
      <rPr>
        <b/>
        <sz val="11"/>
        <rFont val="Calibri"/>
        <family val="2"/>
        <scheme val="minor"/>
      </rPr>
      <t>Dettaglio Trasmissione Atti Esecuzione Pena Sostituiva</t>
    </r>
  </si>
  <si>
    <t>Modificare i dati di interesse e Confermare</t>
  </si>
  <si>
    <r>
      <t xml:space="preserve">Visualizzazione pagina </t>
    </r>
    <r>
      <rPr>
        <b/>
        <sz val="11"/>
        <rFont val="Calibri"/>
        <family val="2"/>
        <scheme val="minor"/>
      </rPr>
      <t>Modifica Trasmissione Atti Esecuzione Pena Sostituiva</t>
    </r>
  </si>
  <si>
    <r>
      <t xml:space="preserve">Cliccare sull'Icona </t>
    </r>
    <r>
      <rPr>
        <b/>
        <sz val="11"/>
        <rFont val="Calibri"/>
        <family val="2"/>
        <scheme val="minor"/>
      </rPr>
      <t>Modifica</t>
    </r>
  </si>
  <si>
    <t>Verificare che i dati riportati siano conformi a quelli confermati</t>
  </si>
  <si>
    <r>
      <t xml:space="preserve">Visualizzazione pagina </t>
    </r>
    <r>
      <rPr>
        <b/>
        <sz val="11"/>
        <rFont val="Calibri"/>
        <family val="2"/>
        <scheme val="minor"/>
      </rPr>
      <t xml:space="preserve"> Dettaglio Trasmissione Atti Esecuzione Pena Sostituiva</t>
    </r>
  </si>
  <si>
    <t>Scegliere come UDS destinatario, uno dello stesso Distretto</t>
  </si>
  <si>
    <t>Compilare i campi obbligatori  e Confermare</t>
  </si>
  <si>
    <t>Verificare che, tra gli altri dati, siano presenti i campi per i seguenti destinatari: Uds, Autorità per la notifica al Difensore, Autorità per notifica ad Altro Destinatario</t>
  </si>
  <si>
    <r>
      <t xml:space="preserve">Cliccare su </t>
    </r>
    <r>
      <rPr>
        <b/>
        <sz val="11"/>
        <rFont val="Calibri"/>
        <family val="2"/>
        <scheme val="minor"/>
      </rPr>
      <t>Icona Torna Indietro</t>
    </r>
  </si>
  <si>
    <r>
      <t xml:space="preserve">Visualizzazione pagina </t>
    </r>
    <r>
      <rPr>
        <b/>
        <sz val="11"/>
        <rFont val="Calibri"/>
        <family val="2"/>
        <scheme val="minor"/>
      </rPr>
      <t>Calcolo Pena</t>
    </r>
    <r>
      <rPr>
        <sz val="11"/>
        <rFont val="Calibri"/>
        <family val="2"/>
        <scheme val="minor"/>
      </rPr>
      <t xml:space="preserve"> con icona Torna Indietro</t>
    </r>
  </si>
  <si>
    <r>
      <t xml:space="preserve">Visualizzazione messaggio </t>
    </r>
    <r>
      <rPr>
        <b/>
        <sz val="11"/>
        <rFont val="Calibri"/>
        <family val="2"/>
        <scheme val="minor"/>
      </rPr>
      <t>Pena Residua da Espiare Inesistente. Eseguire Calcolo della pena?      OK</t>
    </r>
  </si>
  <si>
    <t>Ricercare o iscrivere un procedimento validato con Pena sostitutiva detentiva (es. semilibertà sostitutiva) e condannato libero, con pena residua non calcolata</t>
  </si>
  <si>
    <t>Verificare la corrispondenza del numero records riportati nel foglio con quello totale riportato nella pagina e a campione la corrispondenza dei dati riportati nel foglio con quelli a video</t>
  </si>
  <si>
    <t>Apertura di una nuova finestra nella pagina e successiva Visualizzazione a video del file excel</t>
  </si>
  <si>
    <t>Selezionare l'icona Excel presente sulla testata della funzione</t>
  </si>
  <si>
    <t>L'utente si trova nella pagina Elenco Procedimenti con pagamento in unica soluzione non pagata</t>
  </si>
  <si>
    <t>Verificare  l'assenza del provvedimento di Trasmissione per la conversione e la presenza per l'ultimo provvedimento del Bollettino non pagato</t>
  </si>
  <si>
    <r>
      <t xml:space="preserve">Visualizzazione pagina </t>
    </r>
    <r>
      <rPr>
        <b/>
        <sz val="11"/>
        <rFont val="Calibri"/>
        <family val="2"/>
        <scheme val="minor"/>
      </rPr>
      <t>Verifica Stato Bollettini per Pagamento Pena Pecuniaria</t>
    </r>
  </si>
  <si>
    <t>Per un record dell'elenco, selezionare la relativa icona di dettaglio</t>
  </si>
  <si>
    <r>
      <t xml:space="preserve">Visualizzazione pagina </t>
    </r>
    <r>
      <rPr>
        <b/>
        <sz val="11"/>
        <rFont val="Calibri"/>
        <family val="2"/>
        <scheme val="minor"/>
      </rPr>
      <t>Elenco</t>
    </r>
    <r>
      <rPr>
        <sz val="11"/>
        <rFont val="Calibri"/>
        <family val="2"/>
        <scheme val="minor"/>
      </rPr>
      <t xml:space="preserve"> </t>
    </r>
    <r>
      <rPr>
        <b/>
        <sz val="11"/>
        <rFont val="Calibri"/>
        <family val="2"/>
        <scheme val="minor"/>
      </rPr>
      <t xml:space="preserve">Procedimenti con pagamento in unica soluzione non pagata, </t>
    </r>
    <r>
      <rPr>
        <sz val="11"/>
        <rFont val="Calibri"/>
        <family val="2"/>
        <scheme val="minor"/>
      </rPr>
      <t xml:space="preserve">ma privi del provvedimento di Trasmissione per la Conversione </t>
    </r>
  </si>
  <si>
    <r>
      <t>Non impostare alcun filtro, ma impostare radio button su</t>
    </r>
    <r>
      <rPr>
        <b/>
        <sz val="11"/>
        <rFont val="Calibri"/>
        <family val="2"/>
        <scheme val="minor"/>
      </rPr>
      <t xml:space="preserve"> Procedimenti con pagamento in unica soluzione non pagat</t>
    </r>
    <r>
      <rPr>
        <sz val="11"/>
        <rFont val="Calibri"/>
        <family val="2"/>
        <scheme val="minor"/>
      </rPr>
      <t>a</t>
    </r>
    <r>
      <rPr>
        <b/>
        <sz val="11"/>
        <rFont val="Calibri"/>
        <family val="2"/>
        <scheme val="minor"/>
      </rPr>
      <t xml:space="preserve"> e </t>
    </r>
    <r>
      <rPr>
        <sz val="11"/>
        <rFont val="Calibri"/>
        <family val="2"/>
        <scheme val="minor"/>
      </rPr>
      <t xml:space="preserve"> e cliccare su </t>
    </r>
    <r>
      <rPr>
        <b/>
        <sz val="11"/>
        <rFont val="Calibri"/>
        <family val="2"/>
        <scheme val="minor"/>
      </rPr>
      <t>Ricerca</t>
    </r>
  </si>
  <si>
    <r>
      <t xml:space="preserve">Visualizzazione pagina </t>
    </r>
    <r>
      <rPr>
        <b/>
        <sz val="11"/>
        <rFont val="Calibri"/>
        <family val="2"/>
        <scheme val="minor"/>
      </rPr>
      <t xml:space="preserve"> Ricerca Procedimenti Pene Pecuniarie In Base a Stato Pagamenti </t>
    </r>
  </si>
  <si>
    <t>L'utente si trova nella Home Page di SIEP</t>
  </si>
  <si>
    <t>L'utente si trova nella pagina Elenco Procedimenti con pena pecuniaria totalmente pagata</t>
  </si>
  <si>
    <t>Verificare  l'assenza del provvedimento di Avviso Mancato Pagamento e la presenza per l'ultimo provvedimento di Bollettini non pagati</t>
  </si>
  <si>
    <r>
      <t xml:space="preserve">Visualizzazione pagina </t>
    </r>
    <r>
      <rPr>
        <b/>
        <sz val="11"/>
        <rFont val="Calibri"/>
        <family val="2"/>
        <scheme val="minor"/>
      </rPr>
      <t>Elenco</t>
    </r>
    <r>
      <rPr>
        <sz val="11"/>
        <rFont val="Calibri"/>
        <family val="2"/>
        <scheme val="minor"/>
      </rPr>
      <t xml:space="preserve"> </t>
    </r>
    <r>
      <rPr>
        <b/>
        <sz val="11"/>
        <rFont val="Calibri"/>
        <family val="2"/>
        <scheme val="minor"/>
      </rPr>
      <t xml:space="preserve">Procedimenti con pagamento rateizzato con rate non pagate, </t>
    </r>
    <r>
      <rPr>
        <sz val="11"/>
        <rFont val="Calibri"/>
        <family val="2"/>
        <scheme val="minor"/>
      </rPr>
      <t xml:space="preserve">ma privi del provvedimento di Avviso Mancato Pagamento </t>
    </r>
  </si>
  <si>
    <r>
      <t>Non impostare alcun filtro, ma impostare radio button su</t>
    </r>
    <r>
      <rPr>
        <b/>
        <sz val="11"/>
        <rFont val="Calibri"/>
        <family val="2"/>
        <scheme val="minor"/>
      </rPr>
      <t xml:space="preserve"> Procedimenti con pagamento rateizzato con rate non pagate </t>
    </r>
    <r>
      <rPr>
        <sz val="11"/>
        <rFont val="Calibri"/>
        <family val="2"/>
        <scheme val="minor"/>
      </rPr>
      <t xml:space="preserve"> e cliccare su </t>
    </r>
    <r>
      <rPr>
        <b/>
        <sz val="11"/>
        <rFont val="Calibri"/>
        <family val="2"/>
        <scheme val="minor"/>
      </rPr>
      <t>Ricerca</t>
    </r>
  </si>
  <si>
    <t>Verificare  l'assenza del provvedimento di Avvenuto Pagamento e l'avvenuto pagamento di tutti i Bollettini</t>
  </si>
  <si>
    <r>
      <t xml:space="preserve">Visualizzazione pagina </t>
    </r>
    <r>
      <rPr>
        <b/>
        <sz val="11"/>
        <rFont val="Calibri"/>
        <family val="2"/>
        <scheme val="minor"/>
      </rPr>
      <t xml:space="preserve">Elenco Procedimenti con pena pecuniaria totalmente pagata, </t>
    </r>
    <r>
      <rPr>
        <sz val="11"/>
        <rFont val="Calibri"/>
        <family val="2"/>
        <scheme val="minor"/>
      </rPr>
      <t xml:space="preserve">ma privi del provvedimento di Avvenuto Pagamento </t>
    </r>
  </si>
  <si>
    <r>
      <t>Non impostare alcun filtro, ma impostare radio button su</t>
    </r>
    <r>
      <rPr>
        <b/>
        <sz val="11"/>
        <rFont val="Calibri"/>
        <family val="2"/>
        <scheme val="minor"/>
      </rPr>
      <t xml:space="preserve"> Procedimenti con pena pecuniaria totalmente pagata</t>
    </r>
    <r>
      <rPr>
        <sz val="11"/>
        <rFont val="Calibri"/>
        <family val="2"/>
        <scheme val="minor"/>
      </rPr>
      <t xml:space="preserve"> e cliccare su </t>
    </r>
    <r>
      <rPr>
        <b/>
        <sz val="11"/>
        <rFont val="Calibri"/>
        <family val="2"/>
        <scheme val="minor"/>
      </rPr>
      <t>Ricerca</t>
    </r>
  </si>
  <si>
    <t>Verificare la presenza di tutti i Bollettini, relativi all'ultimo provvedimento del procedimento indicato</t>
  </si>
  <si>
    <r>
      <t xml:space="preserve">Visualizzazione pagina </t>
    </r>
    <r>
      <rPr>
        <b/>
        <sz val="11"/>
        <rFont val="Calibri"/>
        <family val="2"/>
        <scheme val="minor"/>
      </rPr>
      <t xml:space="preserve"> Consultazione Scadenzario Stato Pagamenti Pena Pecuniaria - Tutti  </t>
    </r>
  </si>
  <si>
    <t>Digitare Anno e Numero di un procedimento presente nell'Elenco del precedente test e cliccare su Ricerca</t>
  </si>
  <si>
    <t>Ripetere passo 1 del test (Navigazione)</t>
  </si>
  <si>
    <t>Verificare la presenza di tutti i Bollettini, relativi all'ultimo provvedimento in Elenco</t>
  </si>
  <si>
    <t>Per un record dell'Elenco, selezionare l'icona di Dettaglio</t>
  </si>
  <si>
    <t>Verificare la correttezza della date scadenza pagamento riportate per ciascun Bollettino</t>
  </si>
  <si>
    <t>Impostare Radio Button su Tutti e cliccare su Ricerca</t>
  </si>
  <si>
    <r>
      <t xml:space="preserve">Visualizzazione pagina </t>
    </r>
    <r>
      <rPr>
        <b/>
        <sz val="11"/>
        <rFont val="Calibri"/>
        <family val="2"/>
        <scheme val="minor"/>
      </rPr>
      <t xml:space="preserve"> Consultazione Scadenzario Stato Pagamenti Pena Pecuniaria</t>
    </r>
  </si>
  <si>
    <t>Verificare la presenza di tutti i Bollettini, relativi al provvedimento</t>
  </si>
  <si>
    <r>
      <t xml:space="preserve">Visualizzazione pagina </t>
    </r>
    <r>
      <rPr>
        <b/>
        <sz val="11"/>
        <rFont val="Calibri"/>
        <family val="2"/>
        <scheme val="minor"/>
      </rPr>
      <t>Stato Bollettini per pagamento Pena Pecuniaria</t>
    </r>
  </si>
  <si>
    <t>Per un provvedimento della lista, su cui sono valorizzate Data Richiesta e Data Ricezione, cliccare su icona di Dettaglio</t>
  </si>
  <si>
    <r>
      <t xml:space="preserve">Visualizzazione pagina </t>
    </r>
    <r>
      <rPr>
        <b/>
        <sz val="11"/>
        <rFont val="Calibri"/>
        <family val="2"/>
        <scheme val="minor"/>
      </rPr>
      <t xml:space="preserve"> Verifica Stato Bollettini per  Pagamento Pena Pecuniaria </t>
    </r>
    <r>
      <rPr>
        <sz val="11"/>
        <rFont val="Calibri"/>
        <family val="2"/>
        <scheme val="minor"/>
      </rPr>
      <t>con elenco dei provvedimenti per i quali possono essere presenti Bollettini di pagamento</t>
    </r>
  </si>
  <si>
    <t>L'utente si trova nella pagina di Dettaglio di un Procedimento con pena pecuniaria sostitutiva su cui sono presenti un Ordine Ingiunzione, un Provvedimento di Rideterminazione Pena e un Provvedimento di Avviso mancato pagamento</t>
  </si>
  <si>
    <r>
      <t xml:space="preserve">Verificare che sulla pagina di Dettaglio lo stato procedimento sia </t>
    </r>
    <r>
      <rPr>
        <b/>
        <sz val="11"/>
        <rFont val="Calibri"/>
        <family val="2"/>
        <scheme val="minor"/>
      </rPr>
      <t xml:space="preserve"> Archiviazione a seguito Provvedimento Avvenuto Pagamento Pena Pecuniaria</t>
    </r>
  </si>
  <si>
    <r>
      <t xml:space="preserve">Verificare che sulla pagina di Dettaglio non sia presente alcuna azione  e che accanto ad Anno e Numero Procedimento appaia la dicitura </t>
    </r>
    <r>
      <rPr>
        <b/>
        <sz val="11"/>
        <rFont val="Calibri"/>
        <family val="2"/>
        <scheme val="minor"/>
      </rPr>
      <t>Archiviato</t>
    </r>
  </si>
  <si>
    <t>Visualizzazione messaggio dell'avvenuta validazione e susseguente visualizzazione pagina di   Dettaglio Definizione Procedimento - Pena Pecuniaria</t>
  </si>
  <si>
    <r>
      <t xml:space="preserve">Verificare che venga prodotto il template </t>
    </r>
    <r>
      <rPr>
        <b/>
        <sz val="12"/>
        <rFont val="Calibri"/>
        <family val="2"/>
        <scheme val="minor"/>
      </rPr>
      <t>SIEP_ARC_FOGLIO_COMP_ESP.rtf</t>
    </r>
  </si>
  <si>
    <t>L'utente si trova nella pagina di  Dettaglio Definizione Procedimento - Pena Pecuniaria del procedimento corrente</t>
  </si>
  <si>
    <r>
      <t xml:space="preserve">Visualizzazione pagina </t>
    </r>
    <r>
      <rPr>
        <b/>
        <sz val="11"/>
        <rFont val="Calibri"/>
        <family val="2"/>
        <scheme val="minor"/>
      </rPr>
      <t xml:space="preserve">Dettaglio Definizione Procedimento - Pena Pecuniaria  </t>
    </r>
    <r>
      <rPr>
        <sz val="11"/>
        <rFont val="Calibri"/>
        <family val="2"/>
        <scheme val="minor"/>
      </rPr>
      <t>con Icone di Modifica e Stampa</t>
    </r>
  </si>
  <si>
    <r>
      <t xml:space="preserve">Visualizzazione pagina </t>
    </r>
    <r>
      <rPr>
        <b/>
        <sz val="11"/>
        <rFont val="Calibri"/>
        <family val="2"/>
        <scheme val="minor"/>
      </rPr>
      <t>Modifica  Definizione Procedimento - Pena Pecuniaria</t>
    </r>
  </si>
  <si>
    <t>L'utente si trova nella pagina di  Dettaglio Definizione Procedimento - Pena Pecuniaria</t>
  </si>
  <si>
    <r>
      <t xml:space="preserve">Visualizzazione pagina </t>
    </r>
    <r>
      <rPr>
        <b/>
        <sz val="11"/>
        <rFont val="Calibri"/>
        <family val="2"/>
        <scheme val="minor"/>
      </rPr>
      <t>Inserimento Definizione Procedimento - Pena Pecuniaria</t>
    </r>
  </si>
  <si>
    <t>Digitare Anno e Numero di un procedimento con pena detentiva espiata o assente, con provvedimento di avvenuto pagamento pena pecuniaria e Confermare</t>
  </si>
  <si>
    <t>Verificare che nella combo box Esito siano presenti, tra le altre, anche le seguenti voci: "Dispone conversione in detenzione domiciliare sostitutiva", "Dispone conversione in semilibertà sostitutiva" e "Dispone conversione in lavoro di pubblica utilità sostitutivo"</t>
  </si>
  <si>
    <t>Selezionare il record relativo al procedimento SIEP del precedente test e cliccare sull'icona di Dettaglio</t>
  </si>
  <si>
    <r>
      <t xml:space="preserve">Verificare che sulla pagina di Dettaglio lo stato procedimento sia </t>
    </r>
    <r>
      <rPr>
        <b/>
        <sz val="11"/>
        <rFont val="Calibri"/>
        <family val="2"/>
        <scheme val="minor"/>
      </rPr>
      <t>Trasmessi Atti a Magistrato di Sorveglianza per Conversione Pena Pecuniaria Sostitutiva</t>
    </r>
  </si>
  <si>
    <t>Cliccare su Conferma</t>
  </si>
  <si>
    <r>
      <t xml:space="preserve">Visualizzazione pagina </t>
    </r>
    <r>
      <rPr>
        <b/>
        <sz val="11"/>
        <rFont val="Calibri"/>
        <family val="2"/>
        <scheme val="minor"/>
      </rPr>
      <t>Trasferimento Atti Conversione Pene Pecuniarie</t>
    </r>
    <r>
      <rPr>
        <sz val="11"/>
        <rFont val="Calibri"/>
        <family val="2"/>
        <scheme val="minor"/>
      </rPr>
      <t>, già precompilata con i dati dell'UdS destinatario</t>
    </r>
  </si>
  <si>
    <t>Cliccare su Icona Trasmissione</t>
  </si>
  <si>
    <t>Verificare che sulla pagina di Dettaglio  sia presente l'icona di trasmissione</t>
  </si>
  <si>
    <t>Visualizzazione messaggio dell'avvenuta validazione e susseguente visualizzazione pagina di  Dettaglio Trasmissione Atti per la Conversione Pena Pecuniaria</t>
  </si>
  <si>
    <r>
      <t xml:space="preserve">Verificare che venga prodotto il template </t>
    </r>
    <r>
      <rPr>
        <b/>
        <sz val="11"/>
        <rFont val="Calibri"/>
        <family val="2"/>
        <scheme val="minor"/>
      </rPr>
      <t>SIEP_TRASM_RICH_CONVERSIONE.rtf</t>
    </r>
  </si>
  <si>
    <t>L'utente si trova nella pagina di  Dettaglio Trasmissione Atti per la Conversione Pena Pecuniaria del procedimento corrente</t>
  </si>
  <si>
    <r>
      <t xml:space="preserve">Visualizzazione pagina </t>
    </r>
    <r>
      <rPr>
        <b/>
        <sz val="11"/>
        <rFont val="Calibri"/>
        <family val="2"/>
        <scheme val="minor"/>
      </rPr>
      <t>Dettaglio Trasmissione Atti per la Conversione Pena Pecuniaria</t>
    </r>
  </si>
  <si>
    <r>
      <t xml:space="preserve">Visualizzazione pagina </t>
    </r>
    <r>
      <rPr>
        <b/>
        <sz val="11"/>
        <rFont val="Calibri"/>
        <family val="2"/>
        <scheme val="minor"/>
      </rPr>
      <t xml:space="preserve">Modifica Provvedimento Trasmissione Atti per la Conversione </t>
    </r>
  </si>
  <si>
    <t>L'utente si trova nella pagina di  Dettaglio Trasmissione Atti per la Conversione Pena Pecuniaria</t>
  </si>
  <si>
    <r>
      <t xml:space="preserve">Visualizzazione pagina </t>
    </r>
    <r>
      <rPr>
        <b/>
        <sz val="11"/>
        <rFont val="Calibri"/>
        <family val="2"/>
        <scheme val="minor"/>
      </rPr>
      <t>Dettaglio Trasmissione Atti per la Conversione Pena Pecuniaria</t>
    </r>
    <r>
      <rPr>
        <sz val="11"/>
        <rFont val="Calibri"/>
        <family val="2"/>
        <scheme val="minor"/>
      </rPr>
      <t xml:space="preserve"> con icone di Modifica e Stampa</t>
    </r>
  </si>
  <si>
    <t>Compilare i campi obbligatori della form e Confermare</t>
  </si>
  <si>
    <r>
      <t xml:space="preserve">Visualizzazione pagina </t>
    </r>
    <r>
      <rPr>
        <b/>
        <sz val="11"/>
        <rFont val="Calibri"/>
        <family val="2"/>
        <scheme val="minor"/>
      </rPr>
      <t xml:space="preserve"> Inserimento Provvedimento Trasmissione Atti per la Conversione</t>
    </r>
  </si>
  <si>
    <t>Digitare Anno e Numero di un procedimento con avviso di mancato pagamento, per il quale non risulta pagato il Bollettino, e Confermare</t>
  </si>
  <si>
    <t>Verificare che non vi siano modalità non collegate a provvedimenti</t>
  </si>
  <si>
    <r>
      <t xml:space="preserve">Visualizzazione pagina </t>
    </r>
    <r>
      <rPr>
        <b/>
        <sz val="11"/>
        <rFont val="Calibri"/>
        <family val="2"/>
        <scheme val="minor"/>
      </rPr>
      <t>Dettaglio Modalità Pagamento Pena Pecuniaria</t>
    </r>
  </si>
  <si>
    <t>Digitare Anno e Numero di un procedimento con avviso di mancato pagamento, per il quale risulta già pagato il Bollettino, e Confermare</t>
  </si>
  <si>
    <r>
      <t xml:space="preserve">Verificare che sulla pagina di Dettaglio lo stato procedimento sia </t>
    </r>
    <r>
      <rPr>
        <b/>
        <sz val="11"/>
        <rFont val="Calibri"/>
        <family val="2"/>
        <scheme val="minor"/>
      </rPr>
      <t>Emesso Provvedimento Avvenuto pagamento pena pecuniaria</t>
    </r>
  </si>
  <si>
    <t>Verificare che sulla pagina di Dettaglio non sia presente alcuna Icona o link per attivare altre azioni</t>
  </si>
  <si>
    <t>Visualizzazione messaggio dell'avvenuta validazione e susseguente visualizzazione pagina di  Dettaglio Avviso Mancato Pagamento Pena Pecuniaria</t>
  </si>
  <si>
    <r>
      <t xml:space="preserve">Verificare che venga prodotto il template </t>
    </r>
    <r>
      <rPr>
        <b/>
        <sz val="11"/>
        <rFont val="Calibri"/>
        <family val="2"/>
        <scheme val="minor"/>
      </rPr>
      <t>SIEP_PP_PR_AVVPAGAM_PP.rtf</t>
    </r>
  </si>
  <si>
    <t>L'utente si trova nella pagina di  Dettaglio Provvedimento Avvenuto Pagamento Pena Pecuniaria del procedimento corrente</t>
  </si>
  <si>
    <r>
      <t xml:space="preserve">Visualizzazione pagina </t>
    </r>
    <r>
      <rPr>
        <b/>
        <sz val="11"/>
        <rFont val="Calibri"/>
        <family val="2"/>
        <scheme val="minor"/>
      </rPr>
      <t>Dettaglio Provvedimento Avvenuto Pagamento Pena Pecuniaria</t>
    </r>
  </si>
  <si>
    <r>
      <t xml:space="preserve">Visualizzazione pagina </t>
    </r>
    <r>
      <rPr>
        <b/>
        <sz val="11"/>
        <rFont val="Calibri"/>
        <family val="2"/>
        <scheme val="minor"/>
      </rPr>
      <t>Modifica Provvedimento Provvedimento Avvenuto Pagamento Pena Pecuniaria</t>
    </r>
  </si>
  <si>
    <t>L'utente si trova nella pagina di  Dettaglio Provvedimento Avvenuto Pagamento Pena Pecuniaria</t>
  </si>
  <si>
    <r>
      <t xml:space="preserve">Visualizzazione pagina </t>
    </r>
    <r>
      <rPr>
        <b/>
        <sz val="11"/>
        <rFont val="Calibri"/>
        <family val="2"/>
        <scheme val="minor"/>
      </rPr>
      <t>Dettaglio Provvedimento Avvenuto Pagamento Pena Pecuniaria</t>
    </r>
    <r>
      <rPr>
        <sz val="11"/>
        <rFont val="Calibri"/>
        <family val="2"/>
        <scheme val="minor"/>
      </rPr>
      <t xml:space="preserve"> con icone di Modifica e Stampa</t>
    </r>
  </si>
  <si>
    <r>
      <t xml:space="preserve">Visualizzazione pagina </t>
    </r>
    <r>
      <rPr>
        <b/>
        <sz val="11"/>
        <rFont val="Calibri"/>
        <family val="2"/>
        <scheme val="minor"/>
      </rPr>
      <t xml:space="preserve"> Provvedimento Avvenuto Pagamento Pena Pecuniaria</t>
    </r>
  </si>
  <si>
    <t>Verificare che Non sia presente alcun Bollettino o che non tutti i Bollettini risultino pagati</t>
  </si>
  <si>
    <r>
      <t xml:space="preserve">Visualizzazione pagina </t>
    </r>
    <r>
      <rPr>
        <b/>
        <sz val="11"/>
        <rFont val="Calibri"/>
        <family val="2"/>
        <scheme val="minor"/>
      </rPr>
      <t>Verifica Stato Bollettini per pagamento pena pecuniaria</t>
    </r>
  </si>
  <si>
    <r>
      <t>Digitare Anno e Numero di un procedimento con pagamento unica soluzione o rateizzato, su cui sia stato già emesso un ordine di Ingiunzione o un provvedimento di Rideterminazione Pena, ma</t>
    </r>
    <r>
      <rPr>
        <b/>
        <sz val="11"/>
        <rFont val="Calibri"/>
        <family val="2"/>
        <scheme val="minor"/>
      </rPr>
      <t xml:space="preserve"> con rate non pagate</t>
    </r>
    <r>
      <rPr>
        <sz val="11"/>
        <rFont val="Calibri"/>
        <family val="2"/>
        <scheme val="minor"/>
      </rPr>
      <t>, e Confermare</t>
    </r>
  </si>
  <si>
    <r>
      <t xml:space="preserve">Verificare che sulla pagina di Dettaglio lo stato procedimento sia </t>
    </r>
    <r>
      <rPr>
        <b/>
        <sz val="11"/>
        <rFont val="Calibri"/>
        <family val="2"/>
        <scheme val="minor"/>
      </rPr>
      <t>Emesso Provvedimento Avviso Mancato Pagamento</t>
    </r>
  </si>
  <si>
    <r>
      <t xml:space="preserve">Verificare che venga prodotto il template </t>
    </r>
    <r>
      <rPr>
        <b/>
        <sz val="11"/>
        <rFont val="Calibri"/>
        <family val="2"/>
        <scheme val="minor"/>
      </rPr>
      <t>SIEP_PP_PR_AVV_MAN_PAG.rtf</t>
    </r>
  </si>
  <si>
    <t>L'utente si trova nella pagina di  Dettaglio Avviso Mancato Pagamento Pena Pecuniaria del procedimento corrente</t>
  </si>
  <si>
    <r>
      <t xml:space="preserve">Visualizzazione pagina </t>
    </r>
    <r>
      <rPr>
        <b/>
        <sz val="11"/>
        <rFont val="Calibri"/>
        <family val="2"/>
        <scheme val="minor"/>
      </rPr>
      <t>Dettaglio Avviso Mancato Pagamento Pena Pecuniaria</t>
    </r>
  </si>
  <si>
    <r>
      <t xml:space="preserve">Visualizzazione pagina </t>
    </r>
    <r>
      <rPr>
        <b/>
        <sz val="11"/>
        <rFont val="Calibri"/>
        <family val="2"/>
        <scheme val="minor"/>
      </rPr>
      <t>Modifica Provvedimento Avviso Mancato Pagamento</t>
    </r>
  </si>
  <si>
    <t>L'utente si trova nella pagina di  Dettaglio Avviso Mancato Pagamento Pena Pecuniaria</t>
  </si>
  <si>
    <r>
      <t xml:space="preserve">Visualizzazione pagina </t>
    </r>
    <r>
      <rPr>
        <b/>
        <sz val="11"/>
        <rFont val="Calibri"/>
        <family val="2"/>
        <scheme val="minor"/>
      </rPr>
      <t>Dettaglio Avviso Mancato Pagamento Pena Pecuniaria</t>
    </r>
    <r>
      <rPr>
        <sz val="11"/>
        <rFont val="Calibri"/>
        <family val="2"/>
        <scheme val="minor"/>
      </rPr>
      <t xml:space="preserve"> con icone di Modifica e Stampa</t>
    </r>
  </si>
  <si>
    <r>
      <t xml:space="preserve">Visualizzazione pagina </t>
    </r>
    <r>
      <rPr>
        <b/>
        <sz val="11"/>
        <rFont val="Calibri"/>
        <family val="2"/>
        <scheme val="minor"/>
      </rPr>
      <t>Inserimento Provvedimento Avviso Mancato Pagamento</t>
    </r>
  </si>
  <si>
    <r>
      <t xml:space="preserve">Selezionare tasto </t>
    </r>
    <r>
      <rPr>
        <b/>
        <sz val="11"/>
        <rFont val="Calibri"/>
        <family val="2"/>
        <scheme val="minor"/>
      </rPr>
      <t>Avviso Mancato Pagamento</t>
    </r>
  </si>
  <si>
    <r>
      <t>Verificare che l'unico Bollettino o almeno un Bollettino, in caso di rateizzazione, risulti non pagato e che l'</t>
    </r>
    <r>
      <rPr>
        <b/>
        <sz val="11"/>
        <rFont val="Calibri"/>
        <family val="2"/>
        <scheme val="minor"/>
      </rPr>
      <t>Importo Pagato</t>
    </r>
    <r>
      <rPr>
        <sz val="11"/>
        <rFont val="Calibri"/>
        <family val="2"/>
        <scheme val="minor"/>
      </rPr>
      <t xml:space="preserve"> sia diverso da zero</t>
    </r>
  </si>
  <si>
    <r>
      <t xml:space="preserve">Visualizzazione pagina </t>
    </r>
    <r>
      <rPr>
        <b/>
        <sz val="11"/>
        <rFont val="Calibri"/>
        <family val="2"/>
        <scheme val="minor"/>
      </rPr>
      <t>Verifica Stato Bollettini per pagamento pena pecuniaria</t>
    </r>
    <r>
      <rPr>
        <sz val="11"/>
        <rFont val="Calibri"/>
        <family val="2"/>
        <scheme val="minor"/>
      </rPr>
      <t xml:space="preserve"> con tasto </t>
    </r>
    <r>
      <rPr>
        <b/>
        <sz val="11"/>
        <rFont val="Calibri"/>
        <family val="2"/>
        <scheme val="minor"/>
      </rPr>
      <t>Avviso Mancato Pagamento</t>
    </r>
  </si>
  <si>
    <t xml:space="preserve">Visualizzazione pagina </t>
  </si>
  <si>
    <t>Digitare Anno e Numero di un procedimento con pagamento unica soluzione o rateizzato, su cui sia stato già emesso un ordine di Ingiunzione o un provvedimento di Rideterminazione Pena,  con almeno una rata non pagata, e Confermare</t>
  </si>
  <si>
    <t>Verificare che Non sia presente alcun Bollettino o che tutti i Bollettini risultino pagati</t>
  </si>
  <si>
    <t>Digitare Anno e Numero di un procedimento con pagamento unica soluzione o rateizzato, su cui sia stato già emesso un ordine di Ingiunzione o un provvedimento di Rideterminazione Pena, ma con rate tutte pagate, e Confermare</t>
  </si>
  <si>
    <r>
      <t xml:space="preserve">Verificare che sulla pagina di Dettaglio lo stato procedimento sia </t>
    </r>
    <r>
      <rPr>
        <b/>
        <sz val="11"/>
        <rFont val="Calibri"/>
        <family val="2"/>
        <scheme val="minor"/>
      </rPr>
      <t>Emesso Provvedimento Rideterminazione Pena Pecuniaria Sostitutiva</t>
    </r>
  </si>
  <si>
    <t>Visualizzazione messaggio dell'avvenuta validazione e susseguente visualizzazione pagina di  Dettaglio Rideterminazione della Pena Pecuniaria</t>
  </si>
  <si>
    <r>
      <t xml:space="preserve">Verificare che venga prodotto il template </t>
    </r>
    <r>
      <rPr>
        <b/>
        <sz val="11"/>
        <rFont val="Calibri"/>
        <family val="2"/>
        <scheme val="minor"/>
      </rPr>
      <t>SIEP_PP_PR_RIDET_PP.rtf</t>
    </r>
  </si>
  <si>
    <t>L'utente si trova nella pagina di  Dettaglio  Rideterminazione della Pena Pecuniaria del procedimento corrente</t>
  </si>
  <si>
    <r>
      <t xml:space="preserve">Visualizzazione pagina </t>
    </r>
    <r>
      <rPr>
        <b/>
        <sz val="11"/>
        <rFont val="Calibri"/>
        <family val="2"/>
        <scheme val="minor"/>
      </rPr>
      <t>Dettaglio Rideterminazione della Pena Pecuniaria</t>
    </r>
  </si>
  <si>
    <r>
      <t xml:space="preserve">Visualizzazione pagina </t>
    </r>
    <r>
      <rPr>
        <b/>
        <sz val="11"/>
        <rFont val="Calibri"/>
        <family val="2"/>
        <scheme val="minor"/>
      </rPr>
      <t>Modifica Rideterminazione della Pena Pecuniaria</t>
    </r>
  </si>
  <si>
    <t>L'utente si trova nella pagina di  Dettaglio Rideterminazione Pena Pecuniaria</t>
  </si>
  <si>
    <r>
      <t xml:space="preserve">Visualizzazione pagina </t>
    </r>
    <r>
      <rPr>
        <b/>
        <sz val="11"/>
        <rFont val="Calibri"/>
        <family val="2"/>
        <scheme val="minor"/>
      </rPr>
      <t>Dettaglio Rideterminazione Pena Pecuniaria</t>
    </r>
    <r>
      <rPr>
        <sz val="11"/>
        <rFont val="Calibri"/>
        <family val="2"/>
        <scheme val="minor"/>
      </rPr>
      <t xml:space="preserve"> con icone di Modifica e Stampa</t>
    </r>
  </si>
  <si>
    <t>Compilare i campi obbligatori della form, selezionando pagamento in unica soluzione o rateizzato, e Confermare</t>
  </si>
  <si>
    <r>
      <t xml:space="preserve">Visualizzazione pagina </t>
    </r>
    <r>
      <rPr>
        <b/>
        <sz val="11"/>
        <rFont val="Calibri"/>
        <family val="2"/>
        <scheme val="minor"/>
      </rPr>
      <t>Inserimento Provvedimento Rideterminazione della Pena Pecuniaria</t>
    </r>
  </si>
  <si>
    <r>
      <t xml:space="preserve">Selezionare tasto </t>
    </r>
    <r>
      <rPr>
        <b/>
        <sz val="11"/>
        <rFont val="Calibri"/>
        <family val="2"/>
        <scheme val="minor"/>
      </rPr>
      <t>Rideterminazione Pena Pecuniaria</t>
    </r>
  </si>
  <si>
    <r>
      <t xml:space="preserve">Visualizzazione pagina </t>
    </r>
    <r>
      <rPr>
        <b/>
        <sz val="11"/>
        <rFont val="Calibri"/>
        <family val="2"/>
        <scheme val="minor"/>
      </rPr>
      <t>Dettaglio Modalità Pagamento Pena Pecuniaria con icone di Modifica, Cancellazione e tasti per attivazione Ordine Ingiunzione o Rideterminazione Pena Pecuniaria</t>
    </r>
  </si>
  <si>
    <r>
      <t xml:space="preserve">Visualizzazione pagina </t>
    </r>
    <r>
      <rPr>
        <b/>
        <sz val="11"/>
        <rFont val="Calibri"/>
        <family val="2"/>
        <scheme val="minor"/>
      </rPr>
      <t>Inserimento Modalità Pagamento Pena Pecuniaria</t>
    </r>
  </si>
  <si>
    <t>Selezionare Icona di Inserimento</t>
  </si>
  <si>
    <r>
      <t xml:space="preserve">Visualizzazione pagina </t>
    </r>
    <r>
      <rPr>
        <b/>
        <sz val="11"/>
        <rFont val="Calibri"/>
        <family val="2"/>
        <scheme val="minor"/>
      </rPr>
      <t xml:space="preserve">Dettaglio Modalità Pagamento Pena Pecuniaria </t>
    </r>
    <r>
      <rPr>
        <sz val="11"/>
        <rFont val="Calibri"/>
        <family val="2"/>
        <scheme val="minor"/>
      </rPr>
      <t>con i dati della Modalità già presente</t>
    </r>
    <r>
      <rPr>
        <b/>
        <sz val="11"/>
        <rFont val="Calibri"/>
        <family val="2"/>
        <scheme val="minor"/>
      </rPr>
      <t xml:space="preserve"> </t>
    </r>
    <r>
      <rPr>
        <sz val="11"/>
        <rFont val="Calibri"/>
        <family val="2"/>
        <scheme val="minor"/>
      </rPr>
      <t xml:space="preserve">e con Icona di </t>
    </r>
    <r>
      <rPr>
        <b/>
        <sz val="11"/>
        <rFont val="Calibri"/>
        <family val="2"/>
        <scheme val="minor"/>
      </rPr>
      <t>Inserimento</t>
    </r>
  </si>
  <si>
    <t>Digitare Anno e Numero di un procedimento con pagamento unica soluzione o rateizzato, su cui sia stato già emesso un ordine di Ingiunzione e Confermare</t>
  </si>
  <si>
    <t>Visualizzazione messaggio dell'avvenuta validazione e susseguente visualizzazione pagina di Dettaglio Comunicazione Nota Trasmissione Bollettini Rate Successive alla Prima</t>
  </si>
  <si>
    <t>Procedere con la validazione della comunicazione</t>
  </si>
  <si>
    <r>
      <t xml:space="preserve">Verificare che venga prodotto il template </t>
    </r>
    <r>
      <rPr>
        <b/>
        <sz val="11"/>
        <rFont val="Calibri"/>
        <family val="2"/>
        <scheme val="minor"/>
      </rPr>
      <t>SIEP_PP_NT_TRASM_BOLL.rtf</t>
    </r>
  </si>
  <si>
    <t>L'utente si trova nella pagina di  Dettaglio Comunicazione Nota Trasmissione Bollettini Rate Successive alla Prima a del procedimento corrente</t>
  </si>
  <si>
    <r>
      <t xml:space="preserve">Visualizzazione pagina </t>
    </r>
    <r>
      <rPr>
        <b/>
        <sz val="11"/>
        <rFont val="Calibri"/>
        <family val="2"/>
        <scheme val="minor"/>
      </rPr>
      <t>Dettaglio Comunicazione Nota Trasmissione Bollettini Rate Successive alla Prima</t>
    </r>
  </si>
  <si>
    <r>
      <t xml:space="preserve">Visualizzazione pagina </t>
    </r>
    <r>
      <rPr>
        <b/>
        <sz val="11"/>
        <rFont val="Calibri"/>
        <family val="2"/>
        <scheme val="minor"/>
      </rPr>
      <t>Modifica Comunicazione Nota Trasmissione Bollettini Rate Successive alla Prima</t>
    </r>
  </si>
  <si>
    <t>Visualizzazione pagina Dettaglio Comunicazione Nota Trasmissione Bollettini Rate Successive alla Prima con icone di Modifica e Stampa</t>
  </si>
  <si>
    <r>
      <rPr>
        <sz val="11"/>
        <rFont val="Calibri"/>
        <family val="2"/>
        <scheme val="minor"/>
      </rPr>
      <t>Compilare i campi obbligatori della form e</t>
    </r>
    <r>
      <rPr>
        <b/>
        <sz val="11"/>
        <rFont val="Calibri"/>
        <family val="2"/>
        <scheme val="minor"/>
      </rPr>
      <t xml:space="preserve"> Confermare</t>
    </r>
  </si>
  <si>
    <t>Visualizzazione pagina Comunicazione Nota Trasmissione Bollettini Rate Successive alla Prima</t>
  </si>
  <si>
    <t>Generare i bollettini relativi alle rate successive alla prima, e ritornare sulla funzione Nota Trasmissione Bollettini Rate Successive alla Prima</t>
  </si>
  <si>
    <t>Visualizzazione pagina Dettaglio Procedimento</t>
  </si>
  <si>
    <t>Selezionare l'azione di Ricerca Procedimento, digitando Anno e Numero di un procedimento con pagamento rateizzato, su cui è stato generato solo il primo bollettino</t>
  </si>
  <si>
    <t>Digitare Anno e Numero di un procedimento con pagamento unica soluzione</t>
  </si>
  <si>
    <t>Visualizzazione pagina per indicare Anno e Numero Procedimento</t>
  </si>
  <si>
    <r>
      <t xml:space="preserve">Visualizzazione pagina </t>
    </r>
    <r>
      <rPr>
        <b/>
        <sz val="11"/>
        <rFont val="Calibri"/>
        <family val="2"/>
        <scheme val="minor"/>
      </rPr>
      <t>Dettaglio Pena Complessiva</t>
    </r>
  </si>
  <si>
    <r>
      <t xml:space="preserve">Visualizzazione messaggio: </t>
    </r>
    <r>
      <rPr>
        <b/>
        <sz val="11"/>
        <rFont val="Calibri"/>
        <family val="2"/>
        <scheme val="minor"/>
      </rPr>
      <t>"Si vuole procedere alla cancellazione della Modalità di pagamento non collegata ad alcun provvedimento?"     OK      Annulla</t>
    </r>
  </si>
  <si>
    <t>Cliccare sull'icona di Cancellazione</t>
  </si>
  <si>
    <t>L'utente si trova nella pagina Dettaglio Modalità di Pagamento Pena Pecuniaria</t>
  </si>
  <si>
    <t>Modificare le modalita di pagamento,unica soluzione in rateizzata o viceversa, e Confermare</t>
  </si>
  <si>
    <t>Verificare che siano riportati  i dati dell'ultima Modalità, cioè di quella non collegata ad alcun provvedimento</t>
  </si>
  <si>
    <r>
      <t xml:space="preserve">Visualizzazione pagina </t>
    </r>
    <r>
      <rPr>
        <b/>
        <sz val="11"/>
        <rFont val="Calibri"/>
        <family val="2"/>
        <scheme val="minor"/>
      </rPr>
      <t>Modifica Modalità Pagamento Pena Pecuniaria</t>
    </r>
  </si>
  <si>
    <t>Cliccare sull'icona di Modifica</t>
  </si>
  <si>
    <t>Verificare che siano presenti i dati della precedente Modalità e di quella appena inserita e che, per quest'ultima,i dati visualizzati corrispondano a quelli inseriti</t>
  </si>
  <si>
    <r>
      <t xml:space="preserve">Aprire toolbar delle funzionalità attivabili dal Dettaglio e selezionare la voce </t>
    </r>
    <r>
      <rPr>
        <b/>
        <sz val="11"/>
        <rFont val="Calibri"/>
        <family val="2"/>
        <scheme val="minor"/>
      </rPr>
      <t>Gestione Modalità Pagamento</t>
    </r>
  </si>
  <si>
    <t>L'utente si trova nella pagina Dettaglio Procedimento, validato, di un procedimento già con modalità pagamento collegata ad un ordine ingiunzione</t>
  </si>
  <si>
    <t>Axxxxx (Procura della Repubblica Presso il Tribunale Ordinario)</t>
  </si>
  <si>
    <t xml:space="preserve">L'utente effettua l'accesso al sistema SIEP come Procura della Repubblica Presso il Tribunale Ordinario </t>
  </si>
  <si>
    <t>Selezionando nella toolbar la voce Modalità Pagamento Pena Pecuniaria, venga visualizzata la pagina per l'Inserimento di una nuova modalità di pagamento</t>
  </si>
  <si>
    <t>Modificare le modalità di pagamento,unica soluzione in rateizzata o viceversa, e Confermare</t>
  </si>
  <si>
    <t>Verificare che i dati visualizzati corrispondano a quelli inseriti</t>
  </si>
  <si>
    <t>L'utente si trova nella pagina Dettaglio Procedimento, validato, di un procedimento privo di modalità pagamento</t>
  </si>
  <si>
    <t>Verificare i dati contenuti nei singoli Avvisi di pagamento</t>
  </si>
  <si>
    <t>Viene aperto il documento pdf contenente tutti i bolletini in elenco</t>
  </si>
  <si>
    <t>Cliccare sull'icona di stampa, presente accanto all'intestazione della funzionalità</t>
  </si>
  <si>
    <t>Verificare i dati contenuti nel documento prodotto, che sarà privo del codice fiscale e della data di scadenza</t>
  </si>
  <si>
    <t>Viene aperto il documento pdf</t>
  </si>
  <si>
    <t>Cliccare sull'icona di stampa, presente accanto agli estremi di uno dei bollettini</t>
  </si>
  <si>
    <t>Selezionare Icona Dettaglio</t>
  </si>
  <si>
    <t>Visualizzazione pagina con elenco provvedimenti emessi e validati relativi a pagamento pene pecuniarie, in cui per il provvedimento corrente non è più presente l'azione Inoltra e risultano valorizzate la Data Richiesta e la Data Ricezione</t>
  </si>
  <si>
    <r>
      <t xml:space="preserve">Visualizzazione messaggio:  </t>
    </r>
    <r>
      <rPr>
        <b/>
        <sz val="11"/>
        <rFont val="Calibri"/>
        <family val="2"/>
        <scheme val="minor"/>
      </rPr>
      <t xml:space="preserve">La Generazione dell'Avviso PagoPA è andata a buon fine! </t>
    </r>
    <r>
      <rPr>
        <sz val="11"/>
        <rFont val="Calibri"/>
        <family val="2"/>
        <scheme val="minor"/>
      </rPr>
      <t xml:space="preserve">
 </t>
    </r>
  </si>
  <si>
    <t>Cliccare su Salva</t>
  </si>
  <si>
    <t>Visualizzazione pagina con elenco provvedimenti emessi e validati relativi a pagamento pene pecuniarie</t>
  </si>
  <si>
    <r>
      <t>Visualizzazione messaggio:</t>
    </r>
    <r>
      <rPr>
        <b/>
        <sz val="11"/>
        <rFont val="Calibri"/>
        <family val="2"/>
        <scheme val="minor"/>
      </rPr>
      <t xml:space="preserve"> Attenzione! Non è possibile procedere per l'assenza della Data Avvenuta Notifica al Condannato dell'Ordine di Ingiunzione!            OK</t>
    </r>
    <r>
      <rPr>
        <sz val="11"/>
        <rFont val="Calibri"/>
        <family val="2"/>
        <scheme val="minor"/>
      </rPr>
      <t xml:space="preserve">       </t>
    </r>
  </si>
  <si>
    <t>Visualizzazione pagina con elenco dei Bollettini da inoltrare a Pagopa per la generazione con radio-button per selezionare tutti o solamente il primo o solo i bollettini successivi al primo</t>
  </si>
  <si>
    <t>Selezionare l'icona Inoltra per il provvedimento di Interesse</t>
  </si>
  <si>
    <t xml:space="preserve">Visualizzazione pagina con elenco dei Bollettini da inoltrare a Pagopa (dalla rata 2 in poi) </t>
  </si>
  <si>
    <t>Selezionare l'icona Inoltra per il provvedimento di Interesse, caratterizzato dall'avere Data Richiesta e Data Ricezione valorizzate</t>
  </si>
  <si>
    <t>L'utente si trova nella pagina di  Dettaglio del procedimento del test precedente, sul quale non è stata ancora annotata la data di notifica dell'ordine ingiunzione al condannato</t>
  </si>
  <si>
    <t>Cliccare sull'icona di stampa, presente accanto agli estremi del bollettino</t>
  </si>
  <si>
    <t xml:space="preserve">Visualizzazione pagina Richiesta a Pagopa generazione Bollettino pagamento con gli estremi della prima rata    </t>
  </si>
  <si>
    <r>
      <t xml:space="preserve">Impostare radio button su </t>
    </r>
    <r>
      <rPr>
        <b/>
        <sz val="11"/>
        <rFont val="Calibri"/>
        <family val="2"/>
        <scheme val="minor"/>
      </rPr>
      <t xml:space="preserve">Solo Bollettino Prima Rata </t>
    </r>
    <r>
      <rPr>
        <sz val="11"/>
        <rFont val="Calibri"/>
        <family val="2"/>
        <scheme val="minor"/>
      </rPr>
      <t>e cliccare su Salva</t>
    </r>
  </si>
  <si>
    <r>
      <t>Visualizzazione messaggio:</t>
    </r>
    <r>
      <rPr>
        <b/>
        <sz val="11"/>
        <rFont val="Calibri"/>
        <family val="2"/>
        <scheme val="minor"/>
      </rPr>
      <t xml:space="preserve"> Attenzione! Non è possibile procedere per la mancata generazione PagoPA del bollettino relativo alla prima rata!              OK</t>
    </r>
    <r>
      <rPr>
        <sz val="11"/>
        <rFont val="Calibri"/>
        <family val="2"/>
        <scheme val="minor"/>
      </rPr>
      <t xml:space="preserve">       </t>
    </r>
  </si>
  <si>
    <r>
      <t xml:space="preserve">Impostare radio button su </t>
    </r>
    <r>
      <rPr>
        <b/>
        <sz val="11"/>
        <rFont val="Calibri"/>
        <family val="2"/>
        <scheme val="minor"/>
      </rPr>
      <t xml:space="preserve">Solo Bollettini Rate successive alla Prima </t>
    </r>
    <r>
      <rPr>
        <sz val="11"/>
        <rFont val="Calibri"/>
        <family val="2"/>
        <scheme val="minor"/>
      </rPr>
      <t>e cliccare su Salva</t>
    </r>
  </si>
  <si>
    <r>
      <t xml:space="preserve">Cliccare su </t>
    </r>
    <r>
      <rPr>
        <b/>
        <sz val="11"/>
        <rFont val="Calibri"/>
        <family val="2"/>
        <scheme val="minor"/>
      </rPr>
      <t>OK</t>
    </r>
  </si>
  <si>
    <t>Visualizzazione messaggio: Attenzione! Il condannato risulta privo di Codice Fiscale. Si vuole procedere comunque alla Richiesta di Generazione Bollettini?                 OK       Annulla</t>
  </si>
  <si>
    <t>L'utente si trova nella pagina di  Dettaglio di un procedimentocon soggetto privo di codice fiscale, con modalità di pagamento rateizzato e su cui sia stato già emesso Ordine di ingiunzione validato</t>
  </si>
  <si>
    <r>
      <t xml:space="preserve">Verificare che in fondo alla form di Dettaglio siano presenti i tasti </t>
    </r>
    <r>
      <rPr>
        <b/>
        <sz val="11"/>
        <rFont val="Calibri"/>
        <family val="2"/>
        <scheme val="minor"/>
      </rPr>
      <t>Visualizza stato notifiche</t>
    </r>
    <r>
      <rPr>
        <sz val="11"/>
        <rFont val="Calibri"/>
        <family val="2"/>
        <scheme val="minor"/>
      </rPr>
      <t xml:space="preserve"> e </t>
    </r>
    <r>
      <rPr>
        <b/>
        <sz val="11"/>
        <rFont val="Calibri"/>
        <family val="2"/>
        <scheme val="minor"/>
      </rPr>
      <t>Richiesta Bollettini</t>
    </r>
  </si>
  <si>
    <r>
      <t xml:space="preserve">Visualizzazione pagina </t>
    </r>
    <r>
      <rPr>
        <b/>
        <sz val="11"/>
        <rFont val="Calibri"/>
        <family val="2"/>
        <scheme val="minor"/>
      </rPr>
      <t xml:space="preserve">Dettaglio Ordine Ingiunzione al Pagamento Pena Pecuniaria </t>
    </r>
    <r>
      <rPr>
        <sz val="11"/>
        <rFont val="Calibri"/>
        <family val="2"/>
        <scheme val="minor"/>
      </rPr>
      <t>senza Icone di Modifica e Stampa</t>
    </r>
  </si>
  <si>
    <t>Procedere alla validazione dell'ordine</t>
  </si>
  <si>
    <t>Verificare che il template generato sia conforme alle condizioni, descritte nei suddetti test.</t>
  </si>
  <si>
    <t>L'utente seleziona icona Stampa</t>
  </si>
  <si>
    <r>
      <t xml:space="preserve">Visualizzazione pagina </t>
    </r>
    <r>
      <rPr>
        <b/>
        <sz val="11"/>
        <rFont val="Calibri"/>
        <family val="2"/>
        <scheme val="minor"/>
      </rPr>
      <t xml:space="preserve">Dettaglio Ordine Ingiunzione al Pagamento Pena Pecuniaria </t>
    </r>
    <r>
      <rPr>
        <sz val="11"/>
        <rFont val="Calibri"/>
        <family val="2"/>
        <scheme val="minor"/>
      </rPr>
      <t>con Icone di Modifica e Stampa</t>
    </r>
  </si>
  <si>
    <t>L'utente compila i dati della form e Conferma</t>
  </si>
  <si>
    <r>
      <t xml:space="preserve">Visualizzazione pagina </t>
    </r>
    <r>
      <rPr>
        <b/>
        <sz val="11"/>
        <rFont val="Calibri"/>
        <family val="2"/>
        <scheme val="minor"/>
      </rPr>
      <t xml:space="preserve">Inserimento Ordine Ingiunzione al Pagamento Pena Pecuniaria </t>
    </r>
  </si>
  <si>
    <t>L'utente clicca su Ordine Ingiunzione</t>
  </si>
  <si>
    <r>
      <t xml:space="preserve">Visualizzazione pagina </t>
    </r>
    <r>
      <rPr>
        <b/>
        <sz val="11"/>
        <rFont val="Calibri"/>
        <family val="2"/>
        <scheme val="minor"/>
      </rPr>
      <t>Dettaglio Modalità Pagamento P.P.</t>
    </r>
    <r>
      <rPr>
        <sz val="11"/>
        <rFont val="Calibri"/>
        <family val="2"/>
        <scheme val="minor"/>
      </rPr>
      <t xml:space="preserve"> con tasti per azionare Ordine Ingiunzione o Rideterminazione Pena Pecuniaria</t>
    </r>
  </si>
  <si>
    <t>L'utente compila i dati della form, impostando pagamento unica soluzione o rateizzato e Conferma</t>
  </si>
  <si>
    <r>
      <t xml:space="preserve">Visualizzazione pagina </t>
    </r>
    <r>
      <rPr>
        <b/>
        <sz val="11"/>
        <color theme="1"/>
        <rFont val="Calibri"/>
        <family val="2"/>
        <scheme val="minor"/>
      </rPr>
      <t>Inserimento Modalità Pagamento Pena Pecuniaria</t>
    </r>
  </si>
  <si>
    <t>L'utente clicca su OK</t>
  </si>
  <si>
    <t>Visualizzazione seguente messaggio:
Non e' stato inserito un metodo di pagamento: unica rata o rateizzazione. Impossibile procedere! Si reindirizza alla pagina di Gestione Modalita' Pagamento.    OK</t>
  </si>
  <si>
    <r>
      <t xml:space="preserve">L'utente si trova nella pagina di Dettaglio di un Procedimento validato con pena pecuniaria sostitutiva, ma </t>
    </r>
    <r>
      <rPr>
        <b/>
        <sz val="11"/>
        <rFont val="Calibri"/>
        <family val="2"/>
        <scheme val="minor"/>
      </rPr>
      <t>privo di modalità di pagamento della pena pecuniaria</t>
    </r>
  </si>
  <si>
    <t>Verificare che siano presenti le voci per azionare le seguenti funzionalità: "Ordine Ingiunzione",  "Nota Trasmissione Bollettini Rate Successive alla Prima", "Rideterminazione della Pena Pecuniaria", "Avviso Mancato Pagamento", "Provvedimento Avvenuto Pagamento", "Trasmissione Atti per la Conversione" e "Definizione Procedimento"</t>
  </si>
  <si>
    <r>
      <t xml:space="preserve">Visualizzazione pagina </t>
    </r>
    <r>
      <rPr>
        <b/>
        <sz val="11"/>
        <rFont val="Calibri"/>
        <family val="2"/>
        <scheme val="minor"/>
      </rPr>
      <t xml:space="preserve"> con griglia di funzioni</t>
    </r>
  </si>
  <si>
    <t>selezionare la funzione Gestione Altre Sanzioni&gt;&gt;Riscossione Pene Pecuniarie&gt;&gt;Ordine Ingiunzione/Altri Provvedimenti</t>
  </si>
  <si>
    <t>L'utente si trova nella pagina di Dettaglio di un Procedimento validato con pena pecuniaria sostitutiva</t>
  </si>
  <si>
    <t>Verifica gestione "Ordine Ingiunzione"</t>
  </si>
  <si>
    <t>Verifica: Verificare nel sottosistema SIEP l'utilizzo della funzioni di gestione "Ordine Ingiunzione"</t>
  </si>
  <si>
    <t>Verifica inserimento "Richiesta Bollettini" - solo prima rata</t>
  </si>
  <si>
    <t xml:space="preserve">Verifica inserimento "Richiesta Bollettini" - rate successive alla prima </t>
  </si>
  <si>
    <t>Verifica: Verificare il corretto funzionamento nel sottosistema SIEP della funzione "Richiesta Bollettini" - solo prima rata</t>
  </si>
  <si>
    <t>Verifica: Verificare il corretto funzionamento nel sottosistema SIEP della funzione "Richiesta Bollettini" - rate successive alla prima</t>
  </si>
  <si>
    <t>Verifica gestione "Nota Trasmissione Bollettini Rate Successive alla Prima"</t>
  </si>
  <si>
    <t>Verifica: Verificare nel sottosistema SIEP l'utilizzo delle funzioni di gestione "Nota Trasmissione Bollettini Rate Successive alla Prima"</t>
  </si>
  <si>
    <t>PAR. 2.3.5-033-13</t>
  </si>
  <si>
    <t>Verifica inserimento "Gestione Modalità Pagamento" su procedimento con presenza Modalità Pagamento</t>
  </si>
  <si>
    <t>Verifica: Verificare nel sottosistema SIEP l'utilizzo della funzione "Gestione Modalità Pagamento" su procedimento con presenza Modalità Pagamento</t>
  </si>
  <si>
    <t>Verifica gestione "Rideterminazione della Pena Pecuniaria"</t>
  </si>
  <si>
    <t>Verifica gestione "Avviso Mancato Pagamento"</t>
  </si>
  <si>
    <t>Verifica gestione "Provvedimento Avvenuto Pagamento"</t>
  </si>
  <si>
    <t>Verifica gestione "Trasmissione Atti per la Conversione"</t>
  </si>
  <si>
    <t>PAR. 2.5.1-033-20</t>
  </si>
  <si>
    <t>Verifica presenza elenco provvedimenti in "Verifica Stato Bollettini"</t>
  </si>
  <si>
    <t>PAR. 2.5.2-033-21</t>
  </si>
  <si>
    <t>PAR. 2.6.1.1-033-22</t>
  </si>
  <si>
    <t>PAR. 2.6.1.1.1-033-23</t>
  </si>
  <si>
    <t>PAR. 2.8.1-033-24</t>
  </si>
  <si>
    <t>PAR. 2.8.2.1-033-25</t>
  </si>
  <si>
    <t>PAR. 2.8.2.2-033-26</t>
  </si>
  <si>
    <t>PAR. 2.9.1-033-27</t>
  </si>
  <si>
    <t>PAR. 2.9.2-033-28</t>
  </si>
  <si>
    <t>PAR. 2.10-033-29</t>
  </si>
  <si>
    <t>Verificare che nella combo box Esito siano presenti le seguenti voci:
•	Determina le modalità di esecuzione  
•	Dichiara N.D.P./ N.L.P   
•	Dichiara inammissibilità  
•	Dichiara la propria incompetenza  
•	Dispone restituzione atti al PM</t>
  </si>
  <si>
    <t>Verificare che nella combo box Esito siano presenti le seguenti voci:
applica la Pena sostitutiva breve,
rigetta l’istanza,
dichiara il non luogo a provvedere,  
dichiara il non doversi procedere,
dichiara l’inammissibilità,
dichiara la propria la propria incompetenza</t>
  </si>
  <si>
    <t>Verificare che nella combo box Esito siano presenti le seguenti voci:
applica riduzione pena,
rigetta l’istanza,
dichiara il non luogo a provvedere,
dichiara il non doversi procedere,
dichiara l’inammissibilità,
dichiara la propria la propria incompetenza</t>
  </si>
  <si>
    <t>selezionare la funzione Gestione Altre Sanzioni &gt;&gt; Riscossione Pene Pecuniarie &gt;&gt; Ordine Ingiunzione/Altri Provvedimenti &gt;&gt; Ordine Ingiunzione</t>
  </si>
  <si>
    <t>Il sistema visualizza il template in base a pagamento unica soluzione o rateizzato e posizione giuridica (libero/detenuto) come descritto nei precedenti test TF001.UC01, TF001.UC02, TF001.UC03, TF001.UC04</t>
  </si>
  <si>
    <t>selezionare la funzione Gestione Altre Sanzioni &gt;&gt; Riscossione Pene Pecuniarie &gt;&gt; Gestione Bollettini Pagopa &gt;&gt; Richiesta Bollettini</t>
  </si>
  <si>
    <r>
      <t xml:space="preserve">Visualizzazione pagina </t>
    </r>
    <r>
      <rPr>
        <b/>
        <sz val="11"/>
        <rFont val="Calibri"/>
        <family val="2"/>
        <scheme val="minor"/>
      </rPr>
      <t>Stato Bollettino per pagamento pena pecuniaria</t>
    </r>
    <r>
      <rPr>
        <sz val="11"/>
        <rFont val="Calibri"/>
        <family val="2"/>
        <scheme val="minor"/>
      </rPr>
      <t xml:space="preserve"> con gli estremi del bollettino completo dello IUV e del documento.pdf dell'avviso pagamento PagoPA</t>
    </r>
  </si>
  <si>
    <t>L'utente provvede ad annotare la data di avvenuta notifica dell'OI al condannato, con la funzione Notifiche. RipeteRE le azioni 1 e 2 di questo test</t>
  </si>
  <si>
    <r>
      <t xml:space="preserve">Visualizzazione pagina </t>
    </r>
    <r>
      <rPr>
        <b/>
        <sz val="11"/>
        <rFont val="Calibri"/>
        <family val="2"/>
        <scheme val="minor"/>
      </rPr>
      <t>Stato Bollettini per pagamento pena pecuniaria</t>
    </r>
    <r>
      <rPr>
        <sz val="11"/>
        <rFont val="Calibri"/>
        <family val="2"/>
        <scheme val="minor"/>
      </rPr>
      <t xml:space="preserve"> con gli estremi dei bollettini completi dello IUV e del documento.pdf dell'avviso pagamento PagoPA</t>
    </r>
  </si>
  <si>
    <r>
      <t xml:space="preserve">Visualizzazione pagina </t>
    </r>
    <r>
      <rPr>
        <b/>
        <sz val="11"/>
        <rFont val="Calibri"/>
        <family val="2"/>
        <scheme val="minor"/>
      </rPr>
      <t xml:space="preserve">Dettaglio Modalità Pagamento Pena Pecuniaria </t>
    </r>
    <r>
      <rPr>
        <sz val="11"/>
        <rFont val="Calibri"/>
        <family val="2"/>
        <scheme val="minor"/>
      </rPr>
      <t>con i dati della Modalità già presente</t>
    </r>
    <r>
      <rPr>
        <b/>
        <sz val="11"/>
        <rFont val="Calibri"/>
        <family val="2"/>
        <scheme val="minor"/>
      </rPr>
      <t xml:space="preserve"> </t>
    </r>
    <r>
      <rPr>
        <sz val="11"/>
        <rFont val="Calibri"/>
        <family val="2"/>
        <scheme val="minor"/>
      </rPr>
      <t>e con icona di Inserimento</t>
    </r>
  </si>
  <si>
    <t>Selezionando nella toolbar la voce Modalità Pagamento Pena Pecuniaria, venga visualizzata la pagina di Dettaglio Modalità Pena Complessiva con i dati della Modalità Pagamento, collegata ad un provvedimento</t>
  </si>
  <si>
    <t>selezionare la funzione Gestione Altre Sanzioni &gt;&gt; Riscossione Pene Pecuniarie &gt;&gt; Ordine Ingiunzione/Altri Provvedimenti &gt;&gt; Nota Trasmissione Bollettini Rate Successive alla Prima</t>
  </si>
  <si>
    <t>selezionare la funzione Gestione Altre Sanzioni &gt;&gt; Riscossione Pene Pecuniarie &gt;&gt; Ordine Ingiunzione/Altri Provvedimenti &gt;&gt; Rideterminazione della Pena Pecuniaria</t>
  </si>
  <si>
    <t>selezionare la funzione Gestione Altre Sanzioni &gt;&gt; Riscossione Pene Pecuniarie &gt;&gt; Ordine Ingiunzione/Altri Provvedimenti &gt;&gt; Avviso Mancato Pagamento</t>
  </si>
  <si>
    <t>Digitare Anno e Numero di un procedimento con pagamento unica soluzione o rateizzato, su cui sia stato già emesso un ordine di Ingiunzione o un provvedimento di Rideterminazione Pena, con tutte le rate pagate e Confermare</t>
  </si>
  <si>
    <r>
      <t>Visualizzazione messaggio:</t>
    </r>
    <r>
      <rPr>
        <b/>
        <sz val="11"/>
        <rFont val="Calibri"/>
        <family val="2"/>
        <scheme val="minor"/>
      </rPr>
      <t xml:space="preserve"> Non e' stato trovato alcun mancato pagamento in unica rata. Impossibile procedere! Si reindirizza alla pagina di Gestione Modalita' Pagamento </t>
    </r>
    <r>
      <rPr>
        <sz val="11"/>
        <rFont val="Calibri"/>
        <family val="2"/>
        <scheme val="minor"/>
      </rPr>
      <t xml:space="preserve">        OK</t>
    </r>
  </si>
  <si>
    <r>
      <t>Visualizzazione messaggio:</t>
    </r>
    <r>
      <rPr>
        <b/>
        <sz val="11"/>
        <rFont val="Calibri"/>
        <family val="2"/>
        <scheme val="minor"/>
      </rPr>
      <t xml:space="preserve"> Per l'Ordine Esecuzione di Ingiunzione al Pagamento del 20/07/2023 l'importo pagato 0,00 Euro non corrisponde all'importo da pagare 40.000,00 Euro. Non è possibile procedere con l'emissione del provvedimento </t>
    </r>
    <r>
      <rPr>
        <sz val="11"/>
        <rFont val="Calibri"/>
        <family val="2"/>
        <scheme val="minor"/>
      </rPr>
      <t xml:space="preserve">        OK</t>
    </r>
  </si>
  <si>
    <r>
      <t>Visualizzazione messaggio:</t>
    </r>
    <r>
      <rPr>
        <b/>
        <sz val="11"/>
        <rFont val="Calibri"/>
        <family val="2"/>
        <scheme val="minor"/>
      </rPr>
      <t xml:space="preserve"> Non e' stato inserito un metodo di pagamento rateizzato con rate non pagate. Impossibile procedere! Si reindirizza alla pagina di Verifica Stato Bollettini per Pagamento Pena Pecuniaria</t>
    </r>
    <r>
      <rPr>
        <sz val="11"/>
        <rFont val="Calibri"/>
        <family val="2"/>
        <scheme val="minor"/>
      </rPr>
      <t xml:space="preserve">        OK</t>
    </r>
  </si>
  <si>
    <r>
      <t>Visualizzazione messaggio:</t>
    </r>
    <r>
      <rPr>
        <b/>
        <sz val="11"/>
        <rFont val="Calibri"/>
        <family val="2"/>
        <scheme val="minor"/>
      </rPr>
      <t xml:space="preserve"> Impossibile procedere! Bisogna inserire una nuova Modalità pagamento: unica rata o rateizzazione. Si reindirizza alla pagina di Gestione Modalita' Pagamento </t>
    </r>
    <r>
      <rPr>
        <sz val="11"/>
        <rFont val="Calibri"/>
        <family val="2"/>
        <scheme val="minor"/>
      </rPr>
      <t xml:space="preserve">       OK</t>
    </r>
  </si>
  <si>
    <t>Visualizzazione Messaggio: Non è possibile procedere per la mancata generazione dei Bollettini PagoPA       OK</t>
  </si>
  <si>
    <t>Visualizzazione messaggio: Impossibile emettere una nota di trasmissione, il provvedimento selezionato è relativo a un pagamento in un'unica rata       OK</t>
  </si>
  <si>
    <t>Presa in carico Atti pervenuti &gt;&gt; Ricerca Atti per Date</t>
  </si>
  <si>
    <t>Procedere con le attività di presa in carico e di iscrizione di un procedimento con Contenuto  "Conversione / Rateizzazione Pena Pecuniaria" e per oggetto "Conversione pena pecuniaria"; inserire i dati di Richiesta Conversione Pena Pecuniaria</t>
  </si>
  <si>
    <t>Selezionare la funzione Ordinanza &gt;&gt; Emissione Ordinanza</t>
  </si>
  <si>
    <t>selezionare la funzione Gestione Altre Sanzioni &gt;&gt; Riscossione Pene Pecuniarie &gt;&gt; Ordine Ingiunzione/Altri Provvedimenti &gt;&gt; Definizione Procedimento</t>
  </si>
  <si>
    <t>selezionare la funzione Gestione Altre Sanzioni &gt;&gt; Riscossione Pene Pecuniarie &gt;&gt; Gestione Bollettini PagoPA &gt;&gt; Verifica Stato Pagamenti</t>
  </si>
  <si>
    <t>Verificare la presenza di tutti i Provvedimenti di cui sopra</t>
  </si>
  <si>
    <t>selezionare la funzione Gestione Altre Sanzioni &gt;&gt; Riscossione Pene Pecuniarie &gt;&gt; Scadenzari &gt;&gt; Scadenzario Stato Pagamenti</t>
  </si>
  <si>
    <t>selezionare la funzione Gestione Altre Sanzioni &gt;&gt; Riscossione Pene Pecuniarie &gt;&gt; Scadenzari &gt;&gt; Ricerca Stato Pagamenti</t>
  </si>
  <si>
    <t>selezionare la funzione Gestione Altre Sanzioni &gt;&gt; Esecuzione Pene Detentive Brevi &gt;&gt; Semilibertà/Detenzione Domiciliare &gt;&gt; Trasmissione Atti per Esecuzione</t>
  </si>
  <si>
    <r>
      <t>Visualizzazione pagina "</t>
    </r>
    <r>
      <rPr>
        <b/>
        <sz val="11"/>
        <rFont val="Calibri"/>
        <family val="2"/>
        <scheme val="minor"/>
      </rPr>
      <t>Trasmissione Atti per l'Esecuzione Pena Sostitutiva"</t>
    </r>
  </si>
  <si>
    <t>Visualizzazione messaggio dell'avvenuta validazione e susseguente visualizzazione pagina di  Dettaglio Trasmissione Atti Esecuzione Pena Sostitutiva</t>
  </si>
  <si>
    <r>
      <t xml:space="preserve">Verificare che sulla pagina di Dettaglio sia presente il tasto </t>
    </r>
    <r>
      <rPr>
        <b/>
        <sz val="11"/>
        <rFont val="Calibri"/>
        <family val="2"/>
        <scheme val="minor"/>
      </rPr>
      <t>Conferma trasmissione</t>
    </r>
  </si>
  <si>
    <t>Verificare che sulla pagina di Dettaglio  non sia presente alcuna icona, tasto o link per azionare funzionalità</t>
  </si>
  <si>
    <r>
      <t xml:space="preserve">Verificare che sulla pagina di Dettaglio lo stato procedimento sia </t>
    </r>
    <r>
      <rPr>
        <b/>
        <sz val="11"/>
        <rFont val="Calibri"/>
        <family val="2"/>
        <scheme val="minor"/>
      </rPr>
      <t>Trasmissione atti al MdS per l'esecuzione di Pene Sostitutive</t>
    </r>
  </si>
  <si>
    <r>
      <t xml:space="preserve">Verificare che in fase di Stampa venga prodotto il template </t>
    </r>
    <r>
      <rPr>
        <b/>
        <sz val="11"/>
        <rFont val="Calibri"/>
        <family val="2"/>
        <scheme val="minor"/>
      </rPr>
      <t>NOTA_TRASM_PENSOS3.rtf</t>
    </r>
  </si>
  <si>
    <t>Txxxxx (Tribunale Ordinario)</t>
  </si>
  <si>
    <r>
      <t xml:space="preserve">Verificare che nella sezione </t>
    </r>
    <r>
      <rPr>
        <b/>
        <sz val="11"/>
        <rFont val="Calibri"/>
        <family val="2"/>
        <scheme val="minor"/>
      </rPr>
      <t xml:space="preserve">AVVERTE </t>
    </r>
    <r>
      <rPr>
        <sz val="11"/>
        <rFont val="Calibri"/>
        <family val="2"/>
        <scheme val="minor"/>
      </rPr>
      <t>siano riportate le seguenti frasi:
il condannato detenuto o internato:
- in luogo posto all’interno della circoscrizione del giudice può chiedere di essere sentito personalmente, previa traduzione in udienza, ovvero tramite videocollegamento a distanza. A tal fine si procede mediante collegamento a distanza, quando una particolare disposizione di legge lo prevede o quando l’interessato vi consente;
- in luogo posto fuori dalla circoscrizione del giudice può chiedere di essere sentito personalmente tramite videocollegamento a distanza oppure, qualora l’interessato non vi consenta, può essere sentito prima del giorno dell’udienza dal Magistrato di Sorveglianza del luogo territorialmente competente.</t>
    </r>
  </si>
  <si>
    <r>
      <t xml:space="preserve">Verificare che nelle combo box siano presenti le seguenti voci: </t>
    </r>
    <r>
      <rPr>
        <b/>
        <sz val="11"/>
        <rFont val="Calibri"/>
        <family val="2"/>
        <scheme val="minor"/>
      </rPr>
      <t>Contenuto</t>
    </r>
    <r>
      <rPr>
        <sz val="11"/>
        <rFont val="Calibri"/>
        <family val="2"/>
        <scheme val="minor"/>
      </rPr>
      <t xml:space="preserve"> "applicazione pene sostitutive delle pene detentive brevi art. 95. D.lgs. 150/22"; </t>
    </r>
    <r>
      <rPr>
        <b/>
        <sz val="11"/>
        <rFont val="Calibri"/>
        <family val="2"/>
        <scheme val="minor"/>
      </rPr>
      <t>Oggetto</t>
    </r>
    <r>
      <rPr>
        <sz val="11"/>
        <rFont val="Calibri"/>
        <family val="2"/>
        <scheme val="minor"/>
      </rPr>
      <t xml:space="preserve"> "Applicazione della pena in semilibertà sostitutiva", "Applicazione della pena in detenzione domiciliare sostitutiva","Applicazione della pena il lavoro di pubblica utilità sostitutivo","Applicazione della pena la pena pecuniaria sostitutiva"</t>
    </r>
  </si>
  <si>
    <t>L'utente ricerca un procedimento SIGE in stato di Iscritto, privo di oggetti, con almeno un titolo esecutivo associato e si posiziona sulla pagina Dettaglio Procedimento</t>
  </si>
  <si>
    <r>
      <t xml:space="preserve">Visualizzazione pagina </t>
    </r>
    <r>
      <rPr>
        <b/>
        <sz val="11"/>
        <rFont val="Calibri"/>
        <family val="2"/>
        <scheme val="minor"/>
      </rPr>
      <t>Gestione Oggetti Relativi alla Richiesta/Atto</t>
    </r>
    <r>
      <rPr>
        <sz val="11"/>
        <rFont val="Calibri"/>
        <family val="2"/>
        <scheme val="minor"/>
      </rPr>
      <t xml:space="preserve"> con i dati inseriti</t>
    </r>
  </si>
  <si>
    <t>selezionare la funzione Gestione Altre Sanzioni &gt;&gt; Riscossione Pene Pecuniarie &gt;&gt; Ordine Ingiunzione/Altri Provvedimenti &gt;&gt; Trasmissione Atti per la Conversione</t>
  </si>
  <si>
    <t>selezionare la funzione Gestione Altre Sanzioni &gt;&gt; Riscossione Pene Pecuniarie &gt;&gt; Ordine Ingiunzione/Altri Provvedimenti &gt;&gt; Provvedimento Avvenuto Pagamento</t>
  </si>
  <si>
    <t>Verifica funzione Batch Di Verifica Stato Del Pagamento</t>
  </si>
  <si>
    <t>Verifica: Verificare nel sottosistema SIEP l'utilizzo della funzione Batch Di Verifica Stato Del Pagamento</t>
  </si>
  <si>
    <t>PAR. 2.7-033-30</t>
  </si>
  <si>
    <t>L'utente ha schedulato l'avvio del batch notturno ad un determinato orario</t>
  </si>
  <si>
    <t>Verificare, per il procedimento di cui sopra, il calcolo della data scadenza dei bollettini: viene eliminato il calcolo delle date scadenze dei bollettini relativi alle rimanenti rate al momento della registrazione dell’avvenuto pagamento del primo bollettino</t>
  </si>
  <si>
    <t>Gestione Altre Sanzioni &gt;&gt; Riscossione Pene Pecuniarie &gt;&gt; Gestione Bollettini Pagopa &gt;&gt; Verifica Stato Bollettino su PagoPA</t>
  </si>
  <si>
    <t>prendere nota delle date di scadenza prima dell'esecuzione del batch</t>
  </si>
  <si>
    <t>L'utente clicca nella colonna "Visualizza" sull'icona della lente</t>
  </si>
  <si>
    <t>L'utente effettua il pagamento del primo bollettino del pagamento rateizzato di cui sopra</t>
  </si>
  <si>
    <t>Il batch notturno schedulato è stato avviato ed ha terminato le sue operazioni</t>
  </si>
  <si>
    <t>deve essere presente un procedimento con pena pecuniaria sostitutiva con pagamento rateizzato</t>
  </si>
  <si>
    <t>Verificare che le date di scadenza, dopo l'esecuzione del batch notturno, non siano state modificate</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</si>
</sst>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sz val="10"/>
      <name val="Arial"/>
      <family val="2"/>
    </font>
    <font>
      <sz val="10"/>
      <name val="Arial"/>
      <family val="2"/>
    </font>
    <font>
      <b/>
      <sz val="11"/>
      <name val="Calibri"/>
      <family val="2"/>
      <scheme val="minor"/>
    </font>
    <font>
      <i/>
      <sz val="11"/>
      <name val="Calibri"/>
      <family val="2"/>
      <scheme val="minor"/>
    </font>
    <font>
      <b/>
      <sz val="22"/>
      <name val="Calibri"/>
      <family val="2"/>
      <scheme val="minor"/>
    </font>
    <font>
      <b/>
      <sz val="12"/>
      <name val="Calibri"/>
      <family val="2"/>
      <scheme val="minor"/>
    </font>
    <font>
      <sz val="11"/>
      <name val="Calibri"/>
      <family val="2"/>
      <scheme val="minor"/>
    </font>
    <font>
      <b/>
      <sz val="10"/>
      <name val="Calibri"/>
      <family val="2"/>
      <scheme val="minor"/>
    </font>
    <font>
      <sz val="10"/>
      <name val="Calibri"/>
      <family val="2"/>
      <scheme val="minor"/>
    </font>
    <font>
      <i/>
      <sz val="16"/>
      <name val="Calibri"/>
      <family val="2"/>
      <scheme val="minor"/>
    </font>
    <font>
      <b/>
      <sz val="10"/>
      <color rgb="FFFF0000"/>
      <name val="Calibri"/>
      <family val="2"/>
      <scheme val="minor"/>
    </font>
    <font>
      <b/>
      <sz val="11"/>
      <color rgb="FF000000"/>
      <name val="Calibri"/>
      <family val="2"/>
      <scheme val="minor"/>
    </font>
    <font>
      <b/>
      <i/>
      <sz val="11"/>
      <color rgb="FF000000"/>
      <name val="Calibri"/>
      <family val="2"/>
      <scheme val="minor"/>
    </font>
    <font>
      <b/>
      <i/>
      <sz val="11"/>
      <name val="Calibri"/>
      <family val="2"/>
      <scheme val="minor"/>
    </font>
    <font>
      <b/>
      <sz val="11"/>
      <color rgb="FF92D050"/>
      <name val="Calibri"/>
      <family val="2"/>
      <scheme val="minor"/>
    </font>
    <font>
      <sz val="9"/>
      <color indexed="81"/>
      <name val="Tahoma"/>
      <family val="2"/>
    </font>
    <font>
      <b/>
      <sz val="9"/>
      <color indexed="81"/>
      <name val="Tahoma"/>
      <family val="2"/>
    </font>
    <font>
      <b/>
      <sz val="11"/>
      <color theme="1"/>
      <name val="Calibri"/>
      <family val="2"/>
      <scheme val="minor"/>
    </font>
    <font>
      <sz val="10"/>
      <name val="Arial"/>
      <family val="2"/>
    </font>
    <font>
      <b/>
      <i/>
      <sz val="11"/>
      <color rgb="FF1F497D"/>
      <name val="Calibri"/>
      <family val="2"/>
      <scheme val="minor"/>
    </font>
    <font>
      <sz val="8"/>
      <name val="Calibri"/>
      <family val="2"/>
      <scheme val="minor"/>
    </font>
    <font>
      <b/>
      <sz val="11"/>
      <color rgb="FFFF0000"/>
      <name val="Calibri"/>
      <family val="2"/>
      <scheme val="minor"/>
    </font>
    <font>
      <sz val="11"/>
      <color rgb="FFFF0000"/>
      <name val="Calibri"/>
      <family val="2"/>
      <scheme val="minor"/>
    </font>
  </fonts>
  <fills count="19">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42"/>
        <bgColor indexed="64"/>
      </patternFill>
    </fill>
    <fill>
      <patternFill patternType="solid">
        <fgColor indexed="53"/>
        <bgColor indexed="64"/>
      </patternFill>
    </fill>
    <fill>
      <patternFill patternType="solid">
        <fgColor indexed="43"/>
        <bgColor indexed="64"/>
      </patternFill>
    </fill>
    <fill>
      <patternFill patternType="solid">
        <fgColor rgb="FFFFC000"/>
        <bgColor indexed="64"/>
      </patternFill>
    </fill>
    <fill>
      <patternFill patternType="solid">
        <fgColor rgb="FFD5DCE4"/>
        <bgColor indexed="64"/>
      </patternFill>
    </fill>
    <fill>
      <patternFill patternType="solid">
        <fgColor rgb="FFF2F2F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FF"/>
        <bgColor indexed="64"/>
      </patternFill>
    </fill>
    <fill>
      <patternFill patternType="solid">
        <fgColor rgb="FFFFFF99"/>
        <bgColor indexed="64"/>
      </patternFill>
    </fill>
    <fill>
      <patternFill patternType="solid">
        <fgColor rgb="FFFFCC99"/>
        <bgColor indexed="64"/>
      </patternFill>
    </fill>
    <fill>
      <patternFill patternType="solid">
        <fgColor indexed="47"/>
        <bgColor indexed="64"/>
      </patternFill>
    </fill>
    <fill>
      <patternFill patternType="solid">
        <fgColor indexed="27"/>
        <bgColor indexed="64"/>
      </patternFill>
    </fill>
    <fill>
      <patternFill patternType="solid">
        <fgColor indexed="51"/>
        <bgColor indexed="64"/>
      </patternFill>
    </fill>
    <fill>
      <patternFill patternType="solid">
        <fgColor indexed="40"/>
        <bgColor indexed="64"/>
      </patternFill>
    </fill>
  </fills>
  <borders count="98">
    <border>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medium">
        <color rgb="FF7F7F7F"/>
      </bottom>
      <diagonal/>
    </border>
    <border>
      <left/>
      <right style="medium">
        <color indexed="64"/>
      </right>
      <top/>
      <bottom style="medium">
        <color rgb="FF7F7F7F"/>
      </bottom>
      <diagonal/>
    </border>
    <border>
      <left style="medium">
        <color indexed="64"/>
      </left>
      <right style="medium">
        <color rgb="FF7F7F7F"/>
      </right>
      <top style="medium">
        <color rgb="FF7F7F7F"/>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indexed="64"/>
      </right>
      <top style="medium">
        <color rgb="FF7F7F7F"/>
      </top>
      <bottom style="medium">
        <color rgb="FF7F7F7F"/>
      </bottom>
      <diagonal/>
    </border>
    <border>
      <left style="medium">
        <color indexed="64"/>
      </left>
      <right style="medium">
        <color rgb="FF7F7F7F"/>
      </right>
      <top/>
      <bottom style="medium">
        <color rgb="FF7F7F7F"/>
      </bottom>
      <diagonal/>
    </border>
    <border>
      <left/>
      <right style="medium">
        <color rgb="FF7F7F7F"/>
      </right>
      <top/>
      <bottom style="medium">
        <color rgb="FF7F7F7F"/>
      </bottom>
      <diagonal/>
    </border>
    <border>
      <left style="medium">
        <color indexed="64"/>
      </left>
      <right style="medium">
        <color rgb="FF7F7F7F"/>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rgb="FF7F7F7F"/>
      </right>
      <top/>
      <bottom/>
      <diagonal/>
    </border>
    <border>
      <left style="medium">
        <color rgb="FF7F7F7F"/>
      </left>
      <right/>
      <top/>
      <bottom style="medium">
        <color rgb="FF7F7F7F"/>
      </bottom>
      <diagonal/>
    </border>
    <border>
      <left style="medium">
        <color indexed="64"/>
      </left>
      <right/>
      <top/>
      <bottom style="medium">
        <color rgb="FF7F7F7F"/>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thin">
        <color rgb="FF000000"/>
      </left>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thin">
        <color rgb="FF000000"/>
      </right>
      <top style="medium">
        <color indexed="64"/>
      </top>
      <bottom style="thin">
        <color rgb="FF000000"/>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right style="thin">
        <color rgb="FF000000"/>
      </right>
      <top style="medium">
        <color indexed="64"/>
      </top>
      <bottom style="thin">
        <color rgb="FF000000"/>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right style="thin">
        <color indexed="64"/>
      </right>
      <top/>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bottom/>
      <diagonal/>
    </border>
    <border>
      <left style="medium">
        <color indexed="64"/>
      </left>
      <right style="thin">
        <color rgb="FF000000"/>
      </right>
      <top style="medium">
        <color indexed="64"/>
      </top>
      <bottom style="thin">
        <color rgb="FF000000"/>
      </bottom>
      <diagonal/>
    </border>
    <border>
      <left style="thin">
        <color rgb="FF000000"/>
      </left>
      <right style="medium">
        <color indexed="64"/>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right style="thin">
        <color rgb="FF000000"/>
      </right>
      <top style="thin">
        <color indexed="64"/>
      </top>
      <bottom style="medium">
        <color indexed="64"/>
      </bottom>
      <diagonal/>
    </border>
    <border>
      <left style="thin">
        <color rgb="FF000000"/>
      </left>
      <right/>
      <top style="thin">
        <color indexed="64"/>
      </top>
      <bottom style="medium">
        <color indexed="64"/>
      </bottom>
      <diagonal/>
    </border>
    <border>
      <left style="medium">
        <color indexed="64"/>
      </left>
      <right style="thin">
        <color rgb="FF000000"/>
      </right>
      <top/>
      <bottom style="medium">
        <color indexed="64"/>
      </bottom>
      <diagonal/>
    </border>
    <border>
      <left style="thin">
        <color rgb="FF000000"/>
      </left>
      <right style="thin">
        <color rgb="FF000000"/>
      </right>
      <top style="thin">
        <color indexed="64"/>
      </top>
      <bottom style="thin">
        <color rgb="FF000000"/>
      </bottom>
      <diagonal/>
    </border>
    <border>
      <left style="thin">
        <color indexed="8"/>
      </left>
      <right style="thin">
        <color indexed="8"/>
      </right>
      <top style="thin">
        <color indexed="8"/>
      </top>
      <bottom style="thin">
        <color indexed="8"/>
      </bottom>
      <diagonal/>
    </border>
    <border>
      <left style="medium">
        <color indexed="64"/>
      </left>
      <right style="thin">
        <color rgb="FF000000"/>
      </right>
      <top/>
      <bottom style="thin">
        <color rgb="FF000000"/>
      </bottom>
      <diagonal/>
    </border>
    <border>
      <left style="thin">
        <color rgb="FF000000"/>
      </left>
      <right style="medium">
        <color indexed="64"/>
      </right>
      <top/>
      <bottom/>
      <diagonal/>
    </border>
    <border>
      <left style="medium">
        <color rgb="FF000000"/>
      </left>
      <right style="thin">
        <color rgb="FF000000"/>
      </right>
      <top style="medium">
        <color indexed="64"/>
      </top>
      <bottom style="medium">
        <color indexed="64"/>
      </bottom>
      <diagonal/>
    </border>
    <border>
      <left/>
      <right style="thin">
        <color rgb="FF000000"/>
      </right>
      <top/>
      <bottom style="thin">
        <color rgb="FF000000"/>
      </bottom>
      <diagonal/>
    </border>
    <border>
      <left style="medium">
        <color rgb="FF000000"/>
      </left>
      <right style="thin">
        <color rgb="FF000000"/>
      </right>
      <top style="medium">
        <color indexed="64"/>
      </top>
      <bottom style="medium">
        <color rgb="FF000000"/>
      </bottom>
      <diagonal/>
    </border>
    <border>
      <left style="thin">
        <color rgb="FF000000"/>
      </left>
      <right style="thin">
        <color rgb="FF000000"/>
      </right>
      <top style="medium">
        <color indexed="64"/>
      </top>
      <bottom style="medium">
        <color rgb="FF000000"/>
      </bottom>
      <diagonal/>
    </border>
    <border>
      <left style="thin">
        <color rgb="FF000000"/>
      </left>
      <right style="medium">
        <color indexed="64"/>
      </right>
      <top style="medium">
        <color indexed="64"/>
      </top>
      <bottom style="medium">
        <color rgb="FF000000"/>
      </bottom>
      <diagonal/>
    </border>
    <border>
      <left style="medium">
        <color indexed="64"/>
      </left>
      <right style="thin">
        <color indexed="64"/>
      </right>
      <top style="thin">
        <color indexed="64"/>
      </top>
      <bottom/>
      <diagonal/>
    </border>
    <border>
      <left style="medium">
        <color indexed="64"/>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indexed="64"/>
      </right>
      <top style="medium">
        <color rgb="FF000000"/>
      </top>
      <bottom style="thin">
        <color indexed="64"/>
      </bottom>
      <diagonal/>
    </border>
  </borders>
  <cellStyleXfs count="4">
    <xf numFmtId="0" fontId="0" fillId="0" borderId="0"/>
    <xf numFmtId="0" fontId="2" fillId="0" borderId="0"/>
    <xf numFmtId="0" fontId="1" fillId="0" borderId="0"/>
    <xf numFmtId="0" fontId="19" fillId="0" borderId="0"/>
  </cellStyleXfs>
  <cellXfs count="274">
    <xf numFmtId="0" fontId="0" fillId="0" borderId="0" xfId="0"/>
    <xf numFmtId="0" fontId="9" fillId="0" borderId="0" xfId="1" applyFont="1" applyAlignment="1">
      <alignment wrapText="1"/>
    </xf>
    <xf numFmtId="0" fontId="9" fillId="0" borderId="0" xfId="1" applyFont="1" applyAlignment="1">
      <alignment vertical="center"/>
    </xf>
    <xf numFmtId="0" fontId="10" fillId="0" borderId="0" xfId="1" applyFont="1" applyAlignment="1">
      <alignment vertical="center" wrapText="1"/>
    </xf>
    <xf numFmtId="49" fontId="6" fillId="6" borderId="13" xfId="1" applyNumberFormat="1" applyFont="1" applyFill="1" applyBorder="1" applyAlignment="1">
      <alignment horizontal="center" vertical="center" wrapText="1"/>
    </xf>
    <xf numFmtId="49" fontId="3" fillId="6" borderId="14" xfId="1" applyNumberFormat="1" applyFont="1" applyFill="1" applyBorder="1" applyAlignment="1">
      <alignment horizontal="center" vertical="center" wrapText="1"/>
    </xf>
    <xf numFmtId="49" fontId="3" fillId="6" borderId="15" xfId="1" applyNumberFormat="1" applyFont="1" applyFill="1" applyBorder="1" applyAlignment="1">
      <alignment horizontal="center" vertical="center" wrapText="1"/>
    </xf>
    <xf numFmtId="0" fontId="9" fillId="0" borderId="0" xfId="1" applyFont="1" applyAlignment="1">
      <alignment horizontal="center" vertical="center" wrapText="1"/>
    </xf>
    <xf numFmtId="0" fontId="4" fillId="0" borderId="17" xfId="0" applyFont="1" applyBorder="1" applyAlignment="1">
      <alignment wrapText="1"/>
    </xf>
    <xf numFmtId="0" fontId="4" fillId="0" borderId="0" xfId="0" applyFont="1" applyAlignment="1">
      <alignment wrapText="1"/>
    </xf>
    <xf numFmtId="0" fontId="4" fillId="0" borderId="20" xfId="0" applyFont="1" applyBorder="1" applyAlignment="1">
      <alignment vertical="center" wrapText="1"/>
    </xf>
    <xf numFmtId="0" fontId="4" fillId="0" borderId="0" xfId="0" applyFont="1" applyAlignment="1">
      <alignment vertical="center" wrapText="1"/>
    </xf>
    <xf numFmtId="0" fontId="9" fillId="0" borderId="0" xfId="2" applyFont="1" applyAlignment="1">
      <alignment vertical="center"/>
    </xf>
    <xf numFmtId="0" fontId="9" fillId="0" borderId="0" xfId="2" applyFont="1"/>
    <xf numFmtId="0" fontId="13" fillId="9" borderId="29" xfId="2" applyFont="1" applyFill="1" applyBorder="1" applyAlignment="1">
      <alignment horizontal="center" vertical="center" wrapText="1"/>
    </xf>
    <xf numFmtId="0" fontId="13" fillId="9" borderId="23" xfId="2" applyFont="1" applyFill="1" applyBorder="1" applyAlignment="1">
      <alignment horizontal="center" vertical="center" wrapText="1"/>
    </xf>
    <xf numFmtId="0" fontId="14" fillId="0" borderId="28" xfId="2" applyFont="1" applyBorder="1" applyAlignment="1">
      <alignment horizontal="center" vertical="center" wrapText="1"/>
    </xf>
    <xf numFmtId="0" fontId="15" fillId="0" borderId="29" xfId="2" applyFont="1" applyBorder="1" applyAlignment="1">
      <alignment horizontal="center" vertical="center" wrapText="1"/>
    </xf>
    <xf numFmtId="0" fontId="13" fillId="9" borderId="28" xfId="2" applyFont="1" applyFill="1" applyBorder="1" applyAlignment="1">
      <alignment horizontal="center" vertical="center" wrapText="1"/>
    </xf>
    <xf numFmtId="0" fontId="14" fillId="0" borderId="30" xfId="2" applyFont="1" applyBorder="1" applyAlignment="1">
      <alignment horizontal="center" vertical="center" wrapText="1"/>
    </xf>
    <xf numFmtId="0" fontId="9" fillId="0" borderId="0" xfId="2" applyFont="1" applyAlignment="1">
      <alignment vertical="center" wrapText="1"/>
    </xf>
    <xf numFmtId="0" fontId="13" fillId="11" borderId="29" xfId="2" applyFont="1" applyFill="1" applyBorder="1" applyAlignment="1">
      <alignment horizontal="center" vertical="center" wrapText="1"/>
    </xf>
    <xf numFmtId="0" fontId="13" fillId="11" borderId="23" xfId="2" applyFont="1" applyFill="1" applyBorder="1" applyAlignment="1">
      <alignment horizontal="center" vertical="center" wrapText="1"/>
    </xf>
    <xf numFmtId="0" fontId="14" fillId="11" borderId="28" xfId="2" applyFont="1" applyFill="1" applyBorder="1" applyAlignment="1">
      <alignment horizontal="center" vertical="center" wrapText="1"/>
    </xf>
    <xf numFmtId="1" fontId="0" fillId="0" borderId="29" xfId="2" applyNumberFormat="1" applyFont="1" applyBorder="1" applyAlignment="1" applyProtection="1">
      <alignment horizontal="center" vertical="center" wrapText="1"/>
      <protection hidden="1"/>
    </xf>
    <xf numFmtId="0" fontId="13" fillId="11" borderId="28" xfId="2" applyFont="1" applyFill="1" applyBorder="1" applyAlignment="1">
      <alignment horizontal="center" vertical="center" wrapText="1"/>
    </xf>
    <xf numFmtId="0" fontId="14" fillId="11" borderId="30" xfId="2" applyFont="1" applyFill="1" applyBorder="1" applyAlignment="1">
      <alignment horizontal="center" vertical="center" wrapText="1"/>
    </xf>
    <xf numFmtId="49" fontId="0" fillId="0" borderId="37" xfId="0" applyNumberFormat="1" applyBorder="1" applyAlignment="1">
      <alignment horizontal="center" vertical="center" wrapText="1"/>
    </xf>
    <xf numFmtId="49" fontId="0" fillId="0" borderId="36" xfId="0" applyNumberFormat="1" applyBorder="1" applyAlignment="1">
      <alignment horizontal="center" vertical="center" wrapText="1"/>
    </xf>
    <xf numFmtId="0" fontId="18" fillId="14" borderId="44" xfId="0" applyFont="1" applyFill="1" applyBorder="1" applyAlignment="1">
      <alignment horizontal="center" vertical="center" wrapText="1"/>
    </xf>
    <xf numFmtId="0" fontId="18" fillId="14" borderId="45" xfId="0" applyFont="1" applyFill="1" applyBorder="1" applyAlignment="1">
      <alignment horizontal="center" vertical="center" wrapText="1"/>
    </xf>
    <xf numFmtId="0" fontId="0" fillId="0" borderId="0" xfId="0" applyAlignment="1">
      <alignment horizontal="center" vertical="center"/>
    </xf>
    <xf numFmtId="0" fontId="18" fillId="14" borderId="50" xfId="0" applyFont="1" applyFill="1" applyBorder="1" applyAlignment="1">
      <alignment horizontal="center" vertical="center" wrapText="1"/>
    </xf>
    <xf numFmtId="0" fontId="18" fillId="14" borderId="12" xfId="0" applyFont="1" applyFill="1" applyBorder="1" applyAlignment="1">
      <alignment horizontal="center" vertical="center" wrapText="1"/>
    </xf>
    <xf numFmtId="0" fontId="18" fillId="14" borderId="39" xfId="0" applyFont="1" applyFill="1" applyBorder="1" applyAlignment="1">
      <alignment horizontal="center" vertical="center" wrapText="1"/>
    </xf>
    <xf numFmtId="0" fontId="18" fillId="14" borderId="53" xfId="0" applyFont="1" applyFill="1" applyBorder="1" applyAlignment="1">
      <alignment horizontal="center" vertical="center" wrapText="1"/>
    </xf>
    <xf numFmtId="0" fontId="18" fillId="14" borderId="56" xfId="0" applyFont="1" applyFill="1" applyBorder="1" applyAlignment="1">
      <alignment horizontal="center" vertical="center" wrapText="1"/>
    </xf>
    <xf numFmtId="0" fontId="18" fillId="0" borderId="0" xfId="0" applyFont="1" applyAlignment="1">
      <alignment horizontal="center" vertical="center"/>
    </xf>
    <xf numFmtId="0" fontId="9" fillId="0" borderId="0" xfId="1" applyFont="1" applyAlignment="1">
      <alignment horizontal="center" vertical="center"/>
    </xf>
    <xf numFmtId="0" fontId="10" fillId="0" borderId="0" xfId="1" applyFont="1" applyAlignment="1">
      <alignment horizontal="center" vertical="center" wrapText="1"/>
    </xf>
    <xf numFmtId="49" fontId="9" fillId="0" borderId="36" xfId="0" applyNumberFormat="1" applyFont="1" applyBorder="1" applyAlignment="1">
      <alignment horizontal="center" vertical="center" wrapText="1"/>
    </xf>
    <xf numFmtId="0" fontId="3" fillId="0" borderId="0" xfId="0" applyFont="1" applyAlignment="1">
      <alignment horizontal="center" vertical="center"/>
    </xf>
    <xf numFmtId="0" fontId="7" fillId="0" borderId="0" xfId="0" applyFont="1" applyAlignment="1">
      <alignment horizontal="center" vertical="center"/>
    </xf>
    <xf numFmtId="14" fontId="7" fillId="0" borderId="0" xfId="0" applyNumberFormat="1" applyFont="1" applyAlignment="1">
      <alignment horizontal="center" vertical="center"/>
    </xf>
    <xf numFmtId="0" fontId="3" fillId="15" borderId="12" xfId="0" applyFont="1" applyFill="1" applyBorder="1" applyAlignment="1">
      <alignment horizontal="center" vertical="center" wrapText="1"/>
    </xf>
    <xf numFmtId="0" fontId="3" fillId="16" borderId="4" xfId="0" applyFont="1" applyFill="1" applyBorder="1" applyAlignment="1">
      <alignment horizontal="center" vertical="center" wrapText="1"/>
    </xf>
    <xf numFmtId="0" fontId="7" fillId="0" borderId="4" xfId="0" applyFont="1" applyBorder="1" applyAlignment="1">
      <alignment horizontal="center" vertical="center" wrapText="1"/>
    </xf>
    <xf numFmtId="0" fontId="18" fillId="12" borderId="41"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22" fillId="0" borderId="4" xfId="0" applyFont="1" applyBorder="1" applyAlignment="1">
      <alignment horizontal="center" vertical="center" wrapText="1"/>
    </xf>
    <xf numFmtId="0" fontId="3" fillId="18" borderId="4" xfId="0" applyFont="1" applyFill="1" applyBorder="1" applyAlignment="1">
      <alignment horizontal="center" vertical="center" wrapText="1"/>
    </xf>
    <xf numFmtId="0" fontId="3" fillId="17" borderId="4" xfId="0" applyFont="1" applyFill="1" applyBorder="1" applyAlignment="1">
      <alignment horizontal="center" vertical="center" wrapText="1"/>
    </xf>
    <xf numFmtId="0" fontId="18" fillId="12" borderId="52" xfId="0" applyFont="1" applyFill="1" applyBorder="1" applyAlignment="1">
      <alignment horizontal="center" vertical="center" wrapText="1"/>
    </xf>
    <xf numFmtId="0" fontId="3" fillId="18" borderId="55" xfId="0" applyFont="1" applyFill="1" applyBorder="1" applyAlignment="1">
      <alignment horizontal="center" vertical="center" wrapText="1"/>
    </xf>
    <xf numFmtId="0" fontId="3" fillId="18" borderId="14" xfId="0" applyFont="1" applyFill="1" applyBorder="1" applyAlignment="1">
      <alignment horizontal="center" vertical="center" wrapText="1"/>
    </xf>
    <xf numFmtId="49" fontId="3" fillId="16" borderId="35" xfId="0" applyNumberFormat="1" applyFont="1" applyFill="1" applyBorder="1" applyAlignment="1">
      <alignment horizontal="center" vertical="center" wrapText="1"/>
    </xf>
    <xf numFmtId="0" fontId="3" fillId="4" borderId="35" xfId="0" applyFont="1" applyFill="1" applyBorder="1" applyAlignment="1">
      <alignment horizontal="center" vertical="center" wrapText="1"/>
    </xf>
    <xf numFmtId="0" fontId="18" fillId="12" borderId="15" xfId="0" applyFont="1" applyFill="1" applyBorder="1" applyAlignment="1">
      <alignment horizontal="center" vertical="center" wrapText="1"/>
    </xf>
    <xf numFmtId="0" fontId="3" fillId="17" borderId="35" xfId="0" applyFont="1" applyFill="1" applyBorder="1" applyAlignment="1">
      <alignment horizontal="center" vertical="center" wrapText="1"/>
    </xf>
    <xf numFmtId="0" fontId="7" fillId="0" borderId="42" xfId="0" applyFont="1" applyBorder="1" applyAlignment="1">
      <alignment horizontal="center" vertical="center" wrapText="1"/>
    </xf>
    <xf numFmtId="0" fontId="7" fillId="0" borderId="14" xfId="0" applyFont="1" applyBorder="1" applyAlignment="1">
      <alignment horizontal="center" vertical="center" wrapText="1"/>
    </xf>
    <xf numFmtId="0" fontId="3" fillId="7" borderId="35" xfId="0" applyFont="1" applyFill="1" applyBorder="1" applyAlignment="1">
      <alignment horizontal="center" vertical="center" wrapText="1"/>
    </xf>
    <xf numFmtId="0" fontId="7" fillId="0" borderId="14" xfId="0" applyFont="1" applyBorder="1" applyAlignment="1">
      <alignment horizontal="center" vertical="center" wrapText="1"/>
    </xf>
    <xf numFmtId="0" fontId="18" fillId="0" borderId="0" xfId="0" applyFont="1" applyFill="1" applyAlignment="1">
      <alignment horizontal="center" vertical="center"/>
    </xf>
    <xf numFmtId="0" fontId="0" fillId="0" borderId="0" xfId="0" applyFill="1" applyAlignment="1">
      <alignment horizontal="center" vertical="center"/>
    </xf>
    <xf numFmtId="0" fontId="0" fillId="0" borderId="0" xfId="0" applyFont="1" applyAlignment="1">
      <alignment horizontal="center" vertical="center"/>
    </xf>
    <xf numFmtId="0" fontId="0" fillId="0" borderId="4" xfId="0" applyFont="1" applyBorder="1" applyAlignment="1">
      <alignment horizontal="center" vertical="center" wrapText="1"/>
    </xf>
    <xf numFmtId="0" fontId="0" fillId="0" borderId="14" xfId="0" applyFont="1" applyBorder="1" applyAlignment="1">
      <alignment horizontal="center" vertical="center" wrapText="1"/>
    </xf>
    <xf numFmtId="0" fontId="0" fillId="0" borderId="42" xfId="0" applyFont="1" applyBorder="1" applyAlignment="1">
      <alignment horizontal="center" vertical="center" wrapText="1"/>
    </xf>
    <xf numFmtId="0" fontId="3" fillId="18" borderId="42" xfId="0" applyFont="1" applyFill="1" applyBorder="1" applyAlignment="1">
      <alignment horizontal="center" vertical="center" wrapText="1"/>
    </xf>
    <xf numFmtId="0" fontId="0" fillId="13" borderId="58" xfId="0" applyFont="1" applyFill="1" applyBorder="1" applyAlignment="1">
      <alignment horizontal="center" vertical="center" wrapText="1"/>
    </xf>
    <xf numFmtId="0" fontId="0" fillId="13" borderId="58" xfId="0" applyFont="1" applyFill="1" applyBorder="1" applyAlignment="1">
      <alignment horizontal="center" vertical="center" wrapText="1"/>
    </xf>
    <xf numFmtId="0" fontId="3" fillId="18" borderId="60" xfId="0" applyFont="1" applyFill="1" applyBorder="1" applyAlignment="1">
      <alignment horizontal="center" vertical="center" wrapText="1"/>
    </xf>
    <xf numFmtId="49" fontId="3" fillId="15" borderId="56" xfId="0" applyNumberFormat="1" applyFont="1" applyFill="1" applyBorder="1" applyAlignment="1">
      <alignment horizontal="center" vertical="center" wrapText="1"/>
    </xf>
    <xf numFmtId="0" fontId="3" fillId="6" borderId="58" xfId="0" applyFont="1" applyFill="1" applyBorder="1" applyAlignment="1">
      <alignment horizontal="center" vertical="center" wrapText="1"/>
    </xf>
    <xf numFmtId="0" fontId="0" fillId="0" borderId="0" xfId="0" applyFont="1" applyBorder="1" applyAlignment="1">
      <alignment horizontal="center" vertical="center"/>
    </xf>
    <xf numFmtId="49" fontId="3" fillId="3" borderId="59" xfId="0" applyNumberFormat="1" applyFont="1" applyFill="1" applyBorder="1" applyAlignment="1">
      <alignment horizontal="center" vertical="center" wrapText="1"/>
    </xf>
    <xf numFmtId="49" fontId="3" fillId="3" borderId="64" xfId="0" applyNumberFormat="1" applyFont="1" applyFill="1" applyBorder="1" applyAlignment="1">
      <alignment horizontal="center" vertical="center" wrapText="1"/>
    </xf>
    <xf numFmtId="49" fontId="3" fillId="4" borderId="64" xfId="0" applyNumberFormat="1" applyFont="1" applyFill="1" applyBorder="1" applyAlignment="1">
      <alignment horizontal="center" vertical="center" wrapText="1"/>
    </xf>
    <xf numFmtId="0" fontId="3" fillId="6" borderId="64" xfId="0" applyFont="1" applyFill="1" applyBorder="1" applyAlignment="1">
      <alignment horizontal="center" vertical="center" wrapText="1"/>
    </xf>
    <xf numFmtId="49" fontId="3" fillId="6" borderId="64" xfId="0" applyNumberFormat="1" applyFont="1" applyFill="1" applyBorder="1" applyAlignment="1">
      <alignment horizontal="center" vertical="center" wrapText="1"/>
    </xf>
    <xf numFmtId="49" fontId="3" fillId="5" borderId="64" xfId="0" applyNumberFormat="1" applyFont="1" applyFill="1" applyBorder="1" applyAlignment="1">
      <alignment horizontal="center" vertical="center" wrapText="1"/>
    </xf>
    <xf numFmtId="0" fontId="3" fillId="5" borderId="64" xfId="0" applyFont="1" applyFill="1" applyBorder="1" applyAlignment="1">
      <alignment horizontal="center" vertical="center" wrapText="1"/>
    </xf>
    <xf numFmtId="0" fontId="3" fillId="6" borderId="65" xfId="0" applyFont="1" applyFill="1" applyBorder="1" applyAlignment="1">
      <alignment horizontal="center" vertical="center" wrapText="1"/>
    </xf>
    <xf numFmtId="0" fontId="0" fillId="0" borderId="66" xfId="0" applyFill="1" applyBorder="1" applyAlignment="1">
      <alignment horizontal="center" vertical="center" wrapText="1"/>
    </xf>
    <xf numFmtId="1" fontId="0" fillId="0" borderId="67" xfId="0" applyNumberFormat="1" applyFill="1" applyBorder="1" applyAlignment="1">
      <alignment horizontal="center" vertical="center"/>
    </xf>
    <xf numFmtId="0" fontId="0" fillId="0" borderId="67" xfId="0" applyFill="1" applyBorder="1" applyAlignment="1">
      <alignment horizontal="center" vertical="center" wrapText="1"/>
    </xf>
    <xf numFmtId="0" fontId="7" fillId="0" borderId="67" xfId="0" applyFont="1" applyFill="1" applyBorder="1" applyAlignment="1">
      <alignment horizontal="center" vertical="center" wrapText="1"/>
    </xf>
    <xf numFmtId="0" fontId="0" fillId="0" borderId="68" xfId="0" applyFill="1" applyBorder="1" applyAlignment="1">
      <alignment horizontal="center" vertical="center" wrapText="1"/>
    </xf>
    <xf numFmtId="0" fontId="0" fillId="0" borderId="69" xfId="0" applyFill="1" applyBorder="1" applyAlignment="1">
      <alignment horizontal="center" vertical="center" wrapText="1"/>
    </xf>
    <xf numFmtId="1" fontId="0" fillId="0" borderId="36" xfId="0" applyNumberFormat="1" applyFill="1" applyBorder="1" applyAlignment="1">
      <alignment horizontal="center" vertical="center"/>
    </xf>
    <xf numFmtId="0" fontId="0" fillId="0" borderId="36" xfId="0" applyFill="1" applyBorder="1" applyAlignment="1">
      <alignment horizontal="center" vertical="center" wrapText="1"/>
    </xf>
    <xf numFmtId="0" fontId="7" fillId="0" borderId="36" xfId="0" applyFont="1" applyFill="1" applyBorder="1" applyAlignment="1">
      <alignment horizontal="center" vertical="center" wrapText="1"/>
    </xf>
    <xf numFmtId="0" fontId="0" fillId="0" borderId="70" xfId="0" applyFill="1" applyBorder="1" applyAlignment="1">
      <alignment horizontal="center" vertical="center" wrapText="1"/>
    </xf>
    <xf numFmtId="0" fontId="0" fillId="13" borderId="58" xfId="0" applyFont="1" applyFill="1" applyBorder="1" applyAlignment="1">
      <alignment horizontal="center" vertical="center" wrapText="1"/>
    </xf>
    <xf numFmtId="0" fontId="7" fillId="0" borderId="14" xfId="0" applyFont="1" applyBorder="1" applyAlignment="1">
      <alignment horizontal="center" vertical="center" wrapText="1"/>
    </xf>
    <xf numFmtId="0" fontId="3" fillId="17" borderId="35" xfId="0" applyNumberFormat="1" applyFont="1" applyFill="1" applyBorder="1" applyAlignment="1">
      <alignment horizontal="center" vertical="center" wrapText="1"/>
    </xf>
    <xf numFmtId="0" fontId="3" fillId="17" borderId="60" xfId="0" applyNumberFormat="1" applyFont="1" applyFill="1" applyBorder="1" applyAlignment="1">
      <alignment horizontal="center" vertical="center" wrapText="1"/>
    </xf>
    <xf numFmtId="0" fontId="3" fillId="17" borderId="42" xfId="0" applyFont="1" applyFill="1" applyBorder="1" applyAlignment="1">
      <alignment horizontal="center" vertical="center" wrapText="1"/>
    </xf>
    <xf numFmtId="0" fontId="22" fillId="0" borderId="42"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4" xfId="0" applyFont="1" applyBorder="1" applyAlignment="1">
      <alignment horizontal="center" vertical="center" wrapText="1"/>
    </xf>
    <xf numFmtId="0" fontId="0" fillId="13" borderId="58" xfId="0" applyFont="1" applyFill="1" applyBorder="1" applyAlignment="1">
      <alignment horizontal="center" vertical="center" wrapText="1"/>
    </xf>
    <xf numFmtId="0" fontId="7" fillId="0" borderId="14" xfId="0" applyFont="1" applyBorder="1" applyAlignment="1">
      <alignment horizontal="center" vertical="center" wrapText="1"/>
    </xf>
    <xf numFmtId="0" fontId="3" fillId="17" borderId="54" xfId="0" applyNumberFormat="1" applyFont="1" applyFill="1" applyBorder="1" applyAlignment="1">
      <alignment horizontal="center" vertical="center" wrapText="1"/>
    </xf>
    <xf numFmtId="0" fontId="3" fillId="17" borderId="7" xfId="0" applyFont="1" applyFill="1" applyBorder="1" applyAlignment="1">
      <alignment horizontal="center" vertical="center" wrapText="1"/>
    </xf>
    <xf numFmtId="0" fontId="3" fillId="18" borderId="75" xfId="0" applyFont="1" applyFill="1" applyBorder="1" applyAlignment="1">
      <alignment horizontal="center" vertical="center" wrapText="1"/>
    </xf>
    <xf numFmtId="0" fontId="3" fillId="17" borderId="76" xfId="0" applyNumberFormat="1" applyFont="1" applyFill="1" applyBorder="1" applyAlignment="1">
      <alignment horizontal="center" vertical="center" wrapText="1"/>
    </xf>
    <xf numFmtId="0" fontId="3" fillId="17" borderId="57" xfId="0" applyFont="1" applyFill="1" applyBorder="1" applyAlignment="1">
      <alignment horizontal="center" vertical="center" wrapText="1"/>
    </xf>
    <xf numFmtId="0" fontId="23" fillId="0" borderId="42" xfId="0" applyFont="1" applyBorder="1" applyAlignment="1">
      <alignment horizontal="center" vertical="center" wrapText="1"/>
    </xf>
    <xf numFmtId="0" fontId="3" fillId="17" borderId="75" xfId="0" applyNumberFormat="1" applyFont="1" applyFill="1" applyBorder="1" applyAlignment="1">
      <alignment horizontal="center" vertical="center" wrapText="1"/>
    </xf>
    <xf numFmtId="0" fontId="0" fillId="13" borderId="58" xfId="0" applyFont="1" applyFill="1" applyBorder="1" applyAlignment="1">
      <alignment horizontal="center" vertical="center" wrapText="1"/>
    </xf>
    <xf numFmtId="0" fontId="7" fillId="0" borderId="14" xfId="0" applyFont="1" applyBorder="1" applyAlignment="1">
      <alignment horizontal="center" vertical="center" wrapText="1"/>
    </xf>
    <xf numFmtId="0" fontId="7" fillId="17" borderId="75" xfId="0" applyNumberFormat="1" applyFont="1" applyFill="1" applyBorder="1" applyAlignment="1">
      <alignment horizontal="center" vertical="center" wrapText="1"/>
    </xf>
    <xf numFmtId="0" fontId="7" fillId="17" borderId="4" xfId="0" applyFont="1" applyFill="1" applyBorder="1" applyAlignment="1">
      <alignment horizontal="center" vertical="center" wrapText="1"/>
    </xf>
    <xf numFmtId="0" fontId="0" fillId="12" borderId="52" xfId="0" applyFont="1" applyFill="1" applyBorder="1" applyAlignment="1">
      <alignment horizontal="center" vertical="center" wrapText="1"/>
    </xf>
    <xf numFmtId="49" fontId="3" fillId="16" borderId="75" xfId="0" applyNumberFormat="1"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0" borderId="14" xfId="0" applyFont="1" applyBorder="1" applyAlignment="1">
      <alignment horizontal="center" vertical="center" wrapText="1"/>
    </xf>
    <xf numFmtId="0" fontId="3" fillId="18" borderId="13" xfId="0" applyFont="1" applyFill="1" applyBorder="1" applyAlignment="1">
      <alignment horizontal="center" vertical="center" wrapText="1"/>
    </xf>
    <xf numFmtId="0" fontId="0" fillId="0" borderId="0" xfId="0" applyAlignment="1">
      <alignment horizontal="center" vertical="center"/>
    </xf>
    <xf numFmtId="0" fontId="7" fillId="0" borderId="14" xfId="0" applyFont="1" applyBorder="1" applyAlignment="1">
      <alignment horizontal="center" vertical="center" wrapText="1"/>
    </xf>
    <xf numFmtId="0" fontId="0" fillId="0" borderId="0" xfId="0" applyAlignment="1">
      <alignment horizontal="center" vertical="center"/>
    </xf>
    <xf numFmtId="0" fontId="7" fillId="0" borderId="14" xfId="0" applyFont="1" applyBorder="1" applyAlignment="1">
      <alignment horizontal="center" vertical="center" wrapText="1"/>
    </xf>
    <xf numFmtId="0" fontId="0" fillId="0" borderId="14" xfId="0" applyBorder="1" applyAlignment="1">
      <alignment horizontal="center" vertical="center" wrapText="1"/>
    </xf>
    <xf numFmtId="0" fontId="0" fillId="0" borderId="4" xfId="0" applyBorder="1" applyAlignment="1">
      <alignment horizontal="center" vertical="center" wrapText="1"/>
    </xf>
    <xf numFmtId="0" fontId="0" fillId="13" borderId="77" xfId="0" applyFill="1" applyBorder="1" applyAlignment="1">
      <alignment horizontal="center" vertical="center" wrapText="1"/>
    </xf>
    <xf numFmtId="0" fontId="0" fillId="0" borderId="42" xfId="0" applyBorder="1" applyAlignment="1">
      <alignment horizontal="center" vertical="center" wrapText="1"/>
    </xf>
    <xf numFmtId="0" fontId="3" fillId="15" borderId="4" xfId="0" applyFont="1" applyFill="1" applyBorder="1" applyAlignment="1">
      <alignment horizontal="center" vertical="center" wrapText="1"/>
    </xf>
    <xf numFmtId="0" fontId="3" fillId="4" borderId="75" xfId="0" applyFont="1" applyFill="1" applyBorder="1" applyAlignment="1">
      <alignment horizontal="center" vertical="center" wrapText="1"/>
    </xf>
    <xf numFmtId="0" fontId="18" fillId="14" borderId="78" xfId="0" applyFont="1" applyFill="1" applyBorder="1" applyAlignment="1">
      <alignment horizontal="center" vertical="center" wrapText="1"/>
    </xf>
    <xf numFmtId="0" fontId="18" fillId="14" borderId="79" xfId="0" applyFont="1" applyFill="1" applyBorder="1" applyAlignment="1">
      <alignment horizontal="center" vertical="center" wrapText="1"/>
    </xf>
    <xf numFmtId="49" fontId="3" fillId="15" borderId="11" xfId="0" applyNumberFormat="1" applyFont="1" applyFill="1" applyBorder="1" applyAlignment="1">
      <alignment horizontal="center" vertical="center" wrapText="1"/>
    </xf>
    <xf numFmtId="0" fontId="0" fillId="0" borderId="0" xfId="0" applyAlignment="1">
      <alignment horizontal="center" vertical="center"/>
    </xf>
    <xf numFmtId="0" fontId="7" fillId="0" borderId="14" xfId="0" applyFont="1" applyBorder="1" applyAlignment="1">
      <alignment horizontal="center" vertical="center" wrapText="1"/>
    </xf>
    <xf numFmtId="0" fontId="0" fillId="0" borderId="85" xfId="0" applyFill="1" applyBorder="1" applyAlignment="1">
      <alignment horizontal="center" vertical="center" wrapText="1"/>
    </xf>
    <xf numFmtId="1" fontId="0" fillId="0" borderId="4" xfId="0" applyNumberFormat="1" applyFill="1" applyBorder="1" applyAlignment="1">
      <alignment horizontal="center" vertical="center"/>
    </xf>
    <xf numFmtId="0" fontId="7" fillId="0" borderId="86" xfId="0" applyFont="1" applyFill="1" applyBorder="1" applyAlignment="1">
      <alignment horizontal="center" vertical="center" wrapText="1"/>
    </xf>
    <xf numFmtId="1" fontId="0" fillId="13" borderId="84" xfId="0" applyNumberFormat="1" applyFill="1" applyBorder="1" applyAlignment="1">
      <alignment horizontal="center" vertical="center" wrapText="1"/>
    </xf>
    <xf numFmtId="0" fontId="18" fillId="14" borderId="87" xfId="0" applyFont="1" applyFill="1" applyBorder="1" applyAlignment="1">
      <alignment horizontal="center" vertical="center" wrapText="1"/>
    </xf>
    <xf numFmtId="0" fontId="18" fillId="14" borderId="37" xfId="0" applyFont="1" applyFill="1" applyBorder="1" applyAlignment="1">
      <alignment horizontal="center" vertical="center" wrapText="1"/>
    </xf>
    <xf numFmtId="0" fontId="18" fillId="14" borderId="88" xfId="0" applyFont="1" applyFill="1" applyBorder="1" applyAlignment="1">
      <alignment horizontal="center" vertical="center" wrapText="1"/>
    </xf>
    <xf numFmtId="0" fontId="0" fillId="13" borderId="74" xfId="0" applyFill="1" applyBorder="1" applyAlignment="1">
      <alignment horizontal="center" vertical="center" wrapText="1"/>
    </xf>
    <xf numFmtId="0" fontId="18" fillId="14" borderId="90" xfId="0" applyFont="1" applyFill="1" applyBorder="1" applyAlignment="1">
      <alignment horizontal="center" vertical="center" wrapText="1"/>
    </xf>
    <xf numFmtId="49" fontId="3" fillId="16" borderId="11" xfId="0" applyNumberFormat="1" applyFont="1" applyFill="1" applyBorder="1" applyAlignment="1">
      <alignment horizontal="center" vertical="center" wrapText="1"/>
    </xf>
    <xf numFmtId="0" fontId="3" fillId="16" borderId="12" xfId="0" applyFont="1" applyFill="1" applyBorder="1" applyAlignment="1">
      <alignment horizontal="center" vertical="center" wrapText="1"/>
    </xf>
    <xf numFmtId="0" fontId="7" fillId="0" borderId="12" xfId="0" applyFont="1" applyBorder="1" applyAlignment="1">
      <alignment horizontal="center" vertical="center" wrapText="1"/>
    </xf>
    <xf numFmtId="0" fontId="22" fillId="0" borderId="12" xfId="0" applyFont="1" applyBorder="1" applyAlignment="1">
      <alignment horizontal="center" vertical="center" wrapText="1"/>
    </xf>
    <xf numFmtId="0" fontId="18" fillId="12" borderId="39" xfId="0" applyFont="1" applyFill="1" applyBorder="1" applyAlignment="1">
      <alignment horizontal="center" vertical="center" wrapText="1"/>
    </xf>
    <xf numFmtId="0" fontId="3" fillId="17" borderId="75" xfId="0" applyFont="1" applyFill="1" applyBorder="1" applyAlignment="1">
      <alignment horizontal="center" vertical="center" wrapText="1"/>
    </xf>
    <xf numFmtId="0" fontId="3" fillId="7" borderId="75" xfId="0" applyFont="1" applyFill="1" applyBorder="1" applyAlignment="1">
      <alignment horizontal="center" vertical="center" wrapText="1"/>
    </xf>
    <xf numFmtId="0" fontId="3" fillId="15" borderId="75" xfId="0" applyFont="1" applyFill="1" applyBorder="1" applyAlignment="1">
      <alignment horizontal="center" vertical="center" wrapText="1"/>
    </xf>
    <xf numFmtId="0" fontId="0" fillId="13" borderId="58" xfId="0" applyFill="1" applyBorder="1" applyAlignment="1">
      <alignment horizontal="center" vertical="center" wrapText="1"/>
    </xf>
    <xf numFmtId="0" fontId="0" fillId="13" borderId="8" xfId="0" applyFill="1" applyBorder="1" applyAlignment="1">
      <alignment horizontal="center" vertical="center" wrapText="1"/>
    </xf>
    <xf numFmtId="0" fontId="3" fillId="18" borderId="94" xfId="0" applyFont="1" applyFill="1" applyBorder="1" applyAlignment="1">
      <alignment horizontal="center" vertical="center" wrapText="1"/>
    </xf>
    <xf numFmtId="0" fontId="18" fillId="14" borderId="95" xfId="0" applyFont="1" applyFill="1" applyBorder="1" applyAlignment="1">
      <alignment horizontal="center" vertical="center" wrapText="1"/>
    </xf>
    <xf numFmtId="0" fontId="18" fillId="14" borderId="96" xfId="0" applyFont="1" applyFill="1" applyBorder="1" applyAlignment="1">
      <alignment horizontal="center" vertical="center" wrapText="1"/>
    </xf>
    <xf numFmtId="0" fontId="18" fillId="14" borderId="97" xfId="0" applyFont="1" applyFill="1" applyBorder="1" applyAlignment="1">
      <alignment horizontal="center" vertical="center" wrapText="1"/>
    </xf>
    <xf numFmtId="0" fontId="7" fillId="0" borderId="14" xfId="0" applyFont="1" applyBorder="1" applyAlignment="1">
      <alignment horizontal="center" vertical="center" wrapText="1"/>
    </xf>
    <xf numFmtId="0" fontId="7" fillId="0" borderId="14" xfId="0" applyFont="1" applyBorder="1" applyAlignment="1">
      <alignment horizontal="center" vertical="center" wrapText="1"/>
    </xf>
    <xf numFmtId="0" fontId="0" fillId="0" borderId="71" xfId="0" applyFont="1" applyBorder="1" applyAlignment="1">
      <alignment horizontal="center" vertical="center" wrapText="1"/>
    </xf>
    <xf numFmtId="1" fontId="0" fillId="0" borderId="72" xfId="0" applyNumberFormat="1" applyFont="1" applyFill="1" applyBorder="1" applyAlignment="1">
      <alignment horizontal="center" vertical="center"/>
    </xf>
    <xf numFmtId="0" fontId="0" fillId="0" borderId="72" xfId="0" applyFont="1" applyFill="1" applyBorder="1" applyAlignment="1">
      <alignment horizontal="center" vertical="center" wrapText="1"/>
    </xf>
    <xf numFmtId="0" fontId="7" fillId="0" borderId="72" xfId="0" applyFont="1" applyBorder="1" applyAlignment="1">
      <alignment horizontal="center" vertical="center" wrapText="1"/>
    </xf>
    <xf numFmtId="0" fontId="0" fillId="0" borderId="72" xfId="0" applyFont="1" applyBorder="1" applyAlignment="1">
      <alignment horizontal="center" vertical="center" wrapText="1"/>
    </xf>
    <xf numFmtId="0" fontId="0" fillId="12" borderId="72" xfId="0" applyFont="1" applyFill="1" applyBorder="1" applyAlignment="1">
      <alignment horizontal="center" vertical="center" wrapText="1"/>
    </xf>
    <xf numFmtId="0" fontId="0" fillId="0" borderId="73" xfId="0" applyFont="1" applyBorder="1" applyAlignment="1">
      <alignment horizontal="center" vertical="center" wrapText="1"/>
    </xf>
    <xf numFmtId="0" fontId="0" fillId="13" borderId="77" xfId="0" applyFont="1" applyFill="1" applyBorder="1" applyAlignment="1">
      <alignment horizontal="center" vertical="center" wrapText="1"/>
    </xf>
    <xf numFmtId="0" fontId="20" fillId="0" borderId="0" xfId="3" applyFont="1" applyAlignment="1">
      <alignment horizontal="center" vertical="center" wrapText="1"/>
    </xf>
    <xf numFmtId="0" fontId="7" fillId="0" borderId="0" xfId="3" applyFont="1" applyAlignment="1">
      <alignment horizontal="center" vertical="center" wrapText="1"/>
    </xf>
    <xf numFmtId="0" fontId="0" fillId="0" borderId="0" xfId="0" applyAlignment="1">
      <alignment horizontal="center" vertical="center"/>
    </xf>
    <xf numFmtId="0" fontId="5" fillId="0" borderId="0" xfId="0" applyFont="1" applyAlignment="1">
      <alignment horizontal="center" vertical="center" wrapText="1"/>
    </xf>
    <xf numFmtId="0" fontId="4" fillId="0" borderId="58" xfId="0" applyFont="1" applyBorder="1" applyAlignment="1">
      <alignment horizontal="center" vertical="center" wrapText="1"/>
    </xf>
    <xf numFmtId="0" fontId="3" fillId="2" borderId="58" xfId="0" applyFont="1" applyFill="1" applyBorder="1" applyAlignment="1" applyProtection="1">
      <alignment horizontal="center" vertical="center" wrapText="1"/>
      <protection locked="0"/>
    </xf>
    <xf numFmtId="1" fontId="0" fillId="13" borderId="46" xfId="0" applyNumberFormat="1" applyFont="1" applyFill="1" applyBorder="1" applyAlignment="1">
      <alignment horizontal="center" vertical="center" wrapText="1"/>
    </xf>
    <xf numFmtId="1" fontId="0" fillId="13" borderId="47" xfId="0" applyNumberFormat="1" applyFont="1" applyFill="1" applyBorder="1" applyAlignment="1">
      <alignment horizontal="center" vertical="center" wrapText="1"/>
    </xf>
    <xf numFmtId="0" fontId="0" fillId="13" borderId="46" xfId="0" applyFont="1" applyFill="1" applyBorder="1" applyAlignment="1">
      <alignment horizontal="center" vertical="center" wrapText="1"/>
    </xf>
    <xf numFmtId="0" fontId="0" fillId="13" borderId="47" xfId="0" applyFont="1" applyFill="1" applyBorder="1" applyAlignment="1">
      <alignment horizontal="center" vertical="center" wrapText="1"/>
    </xf>
    <xf numFmtId="0" fontId="0" fillId="13" borderId="51" xfId="0" applyFont="1" applyFill="1" applyBorder="1" applyAlignment="1">
      <alignment horizontal="center" vertical="center" wrapText="1"/>
    </xf>
    <xf numFmtId="0" fontId="0" fillId="13" borderId="38" xfId="0" applyFont="1" applyFill="1" applyBorder="1" applyAlignment="1">
      <alignment horizontal="center" vertical="center" wrapText="1"/>
    </xf>
    <xf numFmtId="0" fontId="0" fillId="13" borderId="40" xfId="0" applyFont="1" applyFill="1" applyBorder="1" applyAlignment="1">
      <alignment horizontal="center" vertical="center" wrapText="1"/>
    </xf>
    <xf numFmtId="0" fontId="0" fillId="13" borderId="43" xfId="0" applyFont="1" applyFill="1" applyBorder="1" applyAlignment="1">
      <alignment horizontal="center" vertical="center" wrapText="1"/>
    </xf>
    <xf numFmtId="1" fontId="0" fillId="13" borderId="61" xfId="0" applyNumberFormat="1" applyFont="1" applyFill="1" applyBorder="1" applyAlignment="1">
      <alignment horizontal="center" vertical="center" wrapText="1"/>
    </xf>
    <xf numFmtId="0" fontId="0" fillId="13" borderId="62" xfId="0" applyFont="1" applyFill="1" applyBorder="1" applyAlignment="1">
      <alignment horizontal="center" vertical="center" wrapText="1"/>
    </xf>
    <xf numFmtId="0" fontId="0" fillId="0" borderId="62" xfId="0" applyFont="1" applyBorder="1" applyAlignment="1">
      <alignment horizontal="center" vertical="center" wrapText="1"/>
    </xf>
    <xf numFmtId="0" fontId="0" fillId="13" borderId="47" xfId="0" applyNumberFormat="1" applyFont="1" applyFill="1" applyBorder="1" applyAlignment="1">
      <alignment horizontal="center" vertical="center" wrapText="1"/>
    </xf>
    <xf numFmtId="0" fontId="0" fillId="13" borderId="48" xfId="0" applyFont="1" applyFill="1" applyBorder="1" applyAlignment="1">
      <alignment horizontal="center" vertical="center" wrapText="1"/>
    </xf>
    <xf numFmtId="0" fontId="0" fillId="0" borderId="48" xfId="0" applyFont="1" applyBorder="1" applyAlignment="1">
      <alignment horizontal="center" vertical="center" wrapText="1"/>
    </xf>
    <xf numFmtId="0" fontId="0" fillId="0" borderId="49" xfId="0" applyFont="1" applyBorder="1" applyAlignment="1">
      <alignment horizontal="center" vertical="center" wrapText="1"/>
    </xf>
    <xf numFmtId="0" fontId="18" fillId="12" borderId="58" xfId="0" applyFont="1" applyFill="1" applyBorder="1" applyAlignment="1">
      <alignment horizontal="center" vertical="center" wrapText="1"/>
    </xf>
    <xf numFmtId="1" fontId="0" fillId="13" borderId="74" xfId="0" applyNumberFormat="1" applyFont="1" applyFill="1" applyBorder="1" applyAlignment="1">
      <alignment horizontal="center" vertical="center" wrapText="1"/>
    </xf>
    <xf numFmtId="0" fontId="0" fillId="13" borderId="61" xfId="0" applyFont="1" applyFill="1" applyBorder="1" applyAlignment="1">
      <alignment horizontal="center" vertical="center" wrapText="1"/>
    </xf>
    <xf numFmtId="1" fontId="0" fillId="13" borderId="58" xfId="0" applyNumberFormat="1" applyFont="1" applyFill="1" applyBorder="1" applyAlignment="1">
      <alignment horizontal="center" vertical="center" wrapText="1"/>
    </xf>
    <xf numFmtId="0" fontId="0" fillId="13" borderId="58" xfId="0" applyFont="1" applyFill="1" applyBorder="1" applyAlignment="1">
      <alignment horizontal="center" vertical="center" wrapText="1"/>
    </xf>
    <xf numFmtId="0" fontId="0" fillId="0" borderId="58" xfId="0" applyFont="1" applyBorder="1" applyAlignment="1">
      <alignment horizontal="center" vertical="center" wrapText="1"/>
    </xf>
    <xf numFmtId="0" fontId="18" fillId="12" borderId="38" xfId="0" applyFont="1" applyFill="1" applyBorder="1" applyAlignment="1">
      <alignment horizontal="center" vertical="center" wrapText="1"/>
    </xf>
    <xf numFmtId="0" fontId="18" fillId="12" borderId="40" xfId="0" applyFont="1" applyFill="1" applyBorder="1" applyAlignment="1">
      <alignment horizontal="center" vertical="center" wrapText="1"/>
    </xf>
    <xf numFmtId="0" fontId="18" fillId="12" borderId="43" xfId="0" applyFont="1" applyFill="1" applyBorder="1" applyAlignment="1">
      <alignment horizontal="center" vertical="center" wrapText="1"/>
    </xf>
    <xf numFmtId="49" fontId="0" fillId="0" borderId="58" xfId="0" applyNumberFormat="1" applyFont="1" applyBorder="1" applyAlignment="1">
      <alignment horizontal="center" vertical="center" wrapText="1"/>
    </xf>
    <xf numFmtId="49" fontId="7" fillId="0" borderId="58" xfId="0" applyNumberFormat="1" applyFont="1" applyBorder="1" applyAlignment="1">
      <alignment horizontal="center" vertical="center" wrapText="1"/>
    </xf>
    <xf numFmtId="0" fontId="7" fillId="0" borderId="58" xfId="0" applyFont="1" applyBorder="1" applyAlignment="1">
      <alignment horizontal="center" vertical="center" wrapText="1"/>
    </xf>
    <xf numFmtId="0" fontId="3" fillId="15" borderId="61" xfId="0" applyFont="1" applyFill="1" applyBorder="1" applyAlignment="1">
      <alignment horizontal="center" vertical="center" wrapText="1"/>
    </xf>
    <xf numFmtId="0" fontId="3" fillId="15" borderId="62" xfId="0" applyFont="1" applyFill="1" applyBorder="1" applyAlignment="1">
      <alignment horizontal="center" vertical="center" wrapText="1"/>
    </xf>
    <xf numFmtId="0" fontId="3" fillId="15" borderId="63" xfId="0" applyFont="1" applyFill="1" applyBorder="1" applyAlignment="1">
      <alignment horizontal="center" vertical="center" wrapText="1"/>
    </xf>
    <xf numFmtId="0" fontId="0" fillId="0" borderId="63" xfId="0" applyFont="1" applyBorder="1" applyAlignment="1">
      <alignment horizontal="center" vertical="center" wrapText="1"/>
    </xf>
    <xf numFmtId="1" fontId="0" fillId="13" borderId="46" xfId="0" applyNumberFormat="1" applyFill="1" applyBorder="1" applyAlignment="1">
      <alignment horizontal="center" vertical="center" wrapText="1"/>
    </xf>
    <xf numFmtId="1" fontId="0" fillId="13" borderId="47" xfId="0" applyNumberFormat="1" applyFill="1" applyBorder="1" applyAlignment="1">
      <alignment horizontal="center" vertical="center" wrapText="1"/>
    </xf>
    <xf numFmtId="0" fontId="0" fillId="13" borderId="46" xfId="0" applyFill="1" applyBorder="1" applyAlignment="1">
      <alignment horizontal="center" vertical="center" wrapText="1"/>
    </xf>
    <xf numFmtId="0" fontId="0" fillId="13" borderId="47" xfId="0" applyFill="1" applyBorder="1" applyAlignment="1">
      <alignment horizontal="center" vertical="center" wrapText="1"/>
    </xf>
    <xf numFmtId="1" fontId="0" fillId="13" borderId="89" xfId="0" applyNumberFormat="1" applyFill="1" applyBorder="1" applyAlignment="1">
      <alignment horizontal="center" vertical="center" wrapText="1"/>
    </xf>
    <xf numFmtId="0" fontId="0" fillId="13" borderId="48" xfId="0" applyFill="1" applyBorder="1" applyAlignment="1">
      <alignment horizontal="center" vertical="center" wrapText="1"/>
    </xf>
    <xf numFmtId="0" fontId="0" fillId="0" borderId="48" xfId="0" applyBorder="1" applyAlignment="1">
      <alignment horizontal="center" vertical="center" wrapText="1"/>
    </xf>
    <xf numFmtId="0" fontId="0" fillId="13" borderId="51" xfId="0" applyFill="1" applyBorder="1" applyAlignment="1">
      <alignment horizontal="center" vertical="center" wrapText="1"/>
    </xf>
    <xf numFmtId="1" fontId="0" fillId="13" borderId="61" xfId="0" applyNumberFormat="1" applyFill="1" applyBorder="1" applyAlignment="1">
      <alignment horizontal="center" vertical="center" wrapText="1"/>
    </xf>
    <xf numFmtId="0" fontId="0" fillId="13" borderId="62" xfId="0" applyFill="1"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1" fontId="0" fillId="13" borderId="91" xfId="0" applyNumberFormat="1" applyFill="1" applyBorder="1" applyAlignment="1">
      <alignment horizontal="center" vertical="center" wrapText="1"/>
    </xf>
    <xf numFmtId="0" fontId="0" fillId="13" borderId="92" xfId="0" applyFill="1" applyBorder="1" applyAlignment="1">
      <alignment horizontal="center" vertical="center" wrapText="1"/>
    </xf>
    <xf numFmtId="0" fontId="0" fillId="0" borderId="92" xfId="0" applyBorder="1" applyAlignment="1">
      <alignment horizontal="center" vertical="center" wrapText="1"/>
    </xf>
    <xf numFmtId="0" fontId="0" fillId="0" borderId="93" xfId="0" applyBorder="1" applyAlignment="1">
      <alignment horizontal="center" vertical="center" wrapText="1"/>
    </xf>
    <xf numFmtId="1" fontId="0" fillId="13" borderId="48" xfId="0" applyNumberFormat="1" applyFill="1" applyBorder="1" applyAlignment="1">
      <alignment horizontal="center" vertical="center" wrapText="1"/>
    </xf>
    <xf numFmtId="0" fontId="0" fillId="13" borderId="49" xfId="0" applyFill="1" applyBorder="1" applyAlignment="1">
      <alignment horizontal="center" vertical="center" wrapText="1"/>
    </xf>
    <xf numFmtId="0" fontId="0" fillId="0" borderId="49" xfId="0" applyBorder="1" applyAlignment="1">
      <alignment horizontal="center" vertical="center" wrapText="1"/>
    </xf>
    <xf numFmtId="1" fontId="0" fillId="13" borderId="83" xfId="0" applyNumberFormat="1" applyFill="1" applyBorder="1" applyAlignment="1">
      <alignment horizontal="center" vertical="center" wrapText="1"/>
    </xf>
    <xf numFmtId="0" fontId="0" fillId="13" borderId="82" xfId="0" applyFill="1" applyBorder="1" applyAlignment="1">
      <alignment horizontal="center" vertical="center" wrapText="1"/>
    </xf>
    <xf numFmtId="0" fontId="0" fillId="13" borderId="81" xfId="0" applyFill="1" applyBorder="1" applyAlignment="1">
      <alignment horizontal="center" vertical="center" wrapText="1"/>
    </xf>
    <xf numFmtId="0" fontId="0" fillId="0" borderId="81" xfId="0" applyBorder="1" applyAlignment="1">
      <alignment horizontal="center" vertical="center" wrapText="1"/>
    </xf>
    <xf numFmtId="0" fontId="0" fillId="0" borderId="80" xfId="0" applyBorder="1" applyAlignment="1">
      <alignment horizontal="center" vertical="center" wrapText="1"/>
    </xf>
    <xf numFmtId="0" fontId="0" fillId="0" borderId="38" xfId="0" applyFill="1" applyBorder="1" applyAlignment="1">
      <alignment horizontal="center" vertical="center" wrapText="1"/>
    </xf>
    <xf numFmtId="0" fontId="0" fillId="0" borderId="40" xfId="0" applyFill="1" applyBorder="1" applyAlignment="1">
      <alignment horizontal="center" vertical="center" wrapText="1"/>
    </xf>
    <xf numFmtId="0" fontId="0" fillId="0" borderId="43" xfId="0" applyFill="1" applyBorder="1" applyAlignment="1">
      <alignment horizontal="center" vertical="center" wrapText="1"/>
    </xf>
    <xf numFmtId="0" fontId="3" fillId="2" borderId="11" xfId="0" applyFont="1" applyFill="1" applyBorder="1" applyAlignment="1" applyProtection="1">
      <alignment horizontal="center" vertical="center" wrapText="1"/>
      <protection locked="0"/>
    </xf>
    <xf numFmtId="49" fontId="0" fillId="0" borderId="12" xfId="0" applyNumberFormat="1" applyBorder="1" applyAlignment="1">
      <alignment horizontal="center" vertical="center" wrapText="1"/>
    </xf>
    <xf numFmtId="0" fontId="0" fillId="0" borderId="12" xfId="0" applyBorder="1" applyAlignment="1">
      <alignment horizontal="center" vertical="center" wrapText="1"/>
    </xf>
    <xf numFmtId="0" fontId="3" fillId="2" borderId="13" xfId="0" applyFont="1" applyFill="1" applyBorder="1" applyAlignment="1" applyProtection="1">
      <alignment horizontal="center" vertical="center" wrapText="1"/>
      <protection locked="0"/>
    </xf>
    <xf numFmtId="49" fontId="7" fillId="0" borderId="14" xfId="0" applyNumberFormat="1" applyFont="1" applyBorder="1" applyAlignment="1">
      <alignment horizontal="center" vertical="center" wrapText="1"/>
    </xf>
    <xf numFmtId="0" fontId="7" fillId="0" borderId="14"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3" fillId="2" borderId="4" xfId="0" applyFont="1" applyFill="1" applyBorder="1" applyAlignment="1" applyProtection="1">
      <alignment horizontal="center" wrapText="1"/>
      <protection locked="0"/>
    </xf>
    <xf numFmtId="0" fontId="3" fillId="2" borderId="4" xfId="0" applyFont="1" applyFill="1" applyBorder="1" applyAlignment="1" applyProtection="1">
      <alignment horizontal="center" vertical="center" wrapText="1"/>
      <protection locked="0"/>
    </xf>
    <xf numFmtId="0" fontId="4" fillId="0" borderId="4" xfId="0" applyFont="1" applyBorder="1" applyAlignment="1">
      <alignment horizontal="center" wrapText="1"/>
    </xf>
    <xf numFmtId="0" fontId="4" fillId="0" borderId="4" xfId="0" applyFont="1" applyBorder="1" applyAlignment="1">
      <alignment horizontal="center" vertical="center" wrapText="1"/>
    </xf>
    <xf numFmtId="0" fontId="8" fillId="10" borderId="31" xfId="2" applyFont="1" applyFill="1" applyBorder="1" applyAlignment="1">
      <alignment horizontal="center" vertical="center"/>
    </xf>
    <xf numFmtId="0" fontId="8" fillId="10" borderId="17" xfId="2" applyFont="1" applyFill="1" applyBorder="1" applyAlignment="1">
      <alignment horizontal="center" vertical="center"/>
    </xf>
    <xf numFmtId="0" fontId="8" fillId="10" borderId="18" xfId="2" applyFont="1" applyFill="1" applyBorder="1" applyAlignment="1">
      <alignment horizontal="center" vertical="center"/>
    </xf>
    <xf numFmtId="0" fontId="3" fillId="8" borderId="32" xfId="2" applyFont="1" applyFill="1" applyBorder="1" applyAlignment="1">
      <alignment horizontal="left" vertical="center" wrapText="1"/>
    </xf>
    <xf numFmtId="0" fontId="3" fillId="8" borderId="28" xfId="2" applyFont="1" applyFill="1" applyBorder="1" applyAlignment="1">
      <alignment horizontal="left" vertical="center" wrapText="1"/>
    </xf>
    <xf numFmtId="0" fontId="12" fillId="8" borderId="33" xfId="2" applyFont="1" applyFill="1" applyBorder="1" applyAlignment="1">
      <alignment horizontal="center" vertical="center" wrapText="1"/>
    </xf>
    <xf numFmtId="0" fontId="12" fillId="8" borderId="22" xfId="2" applyFont="1" applyFill="1" applyBorder="1" applyAlignment="1">
      <alignment horizontal="center" vertical="center" wrapText="1"/>
    </xf>
    <xf numFmtId="0" fontId="12" fillId="8" borderId="23" xfId="2" applyFont="1" applyFill="1" applyBorder="1" applyAlignment="1">
      <alignment horizontal="center" vertical="center" wrapText="1"/>
    </xf>
    <xf numFmtId="0" fontId="8" fillId="7" borderId="34" xfId="2" applyFont="1" applyFill="1" applyBorder="1" applyAlignment="1">
      <alignment horizontal="center" vertical="center"/>
    </xf>
    <xf numFmtId="0" fontId="8" fillId="7" borderId="22" xfId="2" applyFont="1" applyFill="1" applyBorder="1" applyAlignment="1">
      <alignment horizontal="center" vertical="center"/>
    </xf>
    <xf numFmtId="0" fontId="8" fillId="7" borderId="23" xfId="2" applyFont="1" applyFill="1" applyBorder="1" applyAlignment="1">
      <alignment horizontal="center" vertical="center"/>
    </xf>
    <xf numFmtId="0" fontId="11" fillId="0" borderId="2" xfId="2" applyFont="1" applyBorder="1" applyAlignment="1">
      <alignment horizontal="center" vertical="center" wrapText="1"/>
    </xf>
    <xf numFmtId="0" fontId="11" fillId="0" borderId="1" xfId="2" applyFont="1" applyBorder="1" applyAlignment="1">
      <alignment horizontal="center" vertical="center" wrapText="1"/>
    </xf>
    <xf numFmtId="0" fontId="11" fillId="0" borderId="3" xfId="2" applyFont="1" applyBorder="1" applyAlignment="1">
      <alignment horizontal="center" vertical="center" wrapText="1"/>
    </xf>
    <xf numFmtId="0" fontId="11" fillId="0" borderId="5" xfId="2" applyFont="1" applyBorder="1" applyAlignment="1">
      <alignment horizontal="center" vertical="center" wrapText="1"/>
    </xf>
    <xf numFmtId="0" fontId="11" fillId="0" borderId="0" xfId="2" applyFont="1" applyAlignment="1">
      <alignment horizontal="center" vertical="center" wrapText="1"/>
    </xf>
    <xf numFmtId="0" fontId="11" fillId="0" borderId="6" xfId="2" applyFont="1" applyBorder="1" applyAlignment="1">
      <alignment horizontal="center" vertical="center" wrapText="1"/>
    </xf>
    <xf numFmtId="0" fontId="11" fillId="0" borderId="8" xfId="2" applyFont="1" applyBorder="1" applyAlignment="1">
      <alignment horizontal="center" vertical="center" wrapText="1"/>
    </xf>
    <xf numFmtId="0" fontId="11" fillId="0" borderId="9" xfId="2" applyFont="1" applyBorder="1" applyAlignment="1">
      <alignment horizontal="center" vertical="center" wrapText="1"/>
    </xf>
    <xf numFmtId="0" fontId="11" fillId="0" borderId="10" xfId="2" applyFont="1" applyBorder="1" applyAlignment="1">
      <alignment horizontal="center" vertical="center" wrapText="1"/>
    </xf>
    <xf numFmtId="0" fontId="3" fillId="8" borderId="24" xfId="2" applyFont="1" applyFill="1" applyBorder="1" applyAlignment="1">
      <alignment horizontal="left" vertical="center" wrapText="1"/>
    </xf>
    <xf numFmtId="0" fontId="12" fillId="8" borderId="25" xfId="2" applyFont="1" applyFill="1" applyBorder="1" applyAlignment="1">
      <alignment horizontal="center" vertical="center" wrapText="1"/>
    </xf>
    <xf numFmtId="0" fontId="12" fillId="8" borderId="26" xfId="2" applyFont="1" applyFill="1" applyBorder="1" applyAlignment="1">
      <alignment horizontal="center" vertical="center" wrapText="1"/>
    </xf>
    <xf numFmtId="0" fontId="12" fillId="8" borderId="27" xfId="2" applyFont="1" applyFill="1" applyBorder="1" applyAlignment="1">
      <alignment horizontal="center" vertical="center" wrapText="1"/>
    </xf>
  </cellXfs>
  <cellStyles count="4">
    <cellStyle name="Normale" xfId="0" builtinId="0"/>
    <cellStyle name="Normale 2" xfId="1"/>
    <cellStyle name="Normale 3" xfId="2"/>
    <cellStyle name="Normale 4" xfId="3"/>
  </cellStyles>
  <dxfs count="4">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3962400</xdr:colOff>
      <xdr:row>0</xdr:row>
      <xdr:rowOff>123825</xdr:rowOff>
    </xdr:from>
    <xdr:to>
      <xdr:col>2</xdr:col>
      <xdr:colOff>3448050</xdr:colOff>
      <xdr:row>0</xdr:row>
      <xdr:rowOff>419100</xdr:rowOff>
    </xdr:to>
    <xdr:pic>
      <xdr:nvPicPr>
        <xdr:cNvPr id="2" name="Picture 5">
          <a:extLst>
            <a:ext uri="{FF2B5EF4-FFF2-40B4-BE49-F238E27FC236}">
              <a16:creationId xmlns:a16="http://schemas.microsoft.com/office/drawing/2014/main" xmlns="" id="{BE6E059E-EBBA-4582-A85D-A320D8B736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11201400" y="123825"/>
          <a:ext cx="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3962400</xdr:colOff>
      <xdr:row>0</xdr:row>
      <xdr:rowOff>123825</xdr:rowOff>
    </xdr:from>
    <xdr:to>
      <xdr:col>2</xdr:col>
      <xdr:colOff>3448050</xdr:colOff>
      <xdr:row>0</xdr:row>
      <xdr:rowOff>419100</xdr:rowOff>
    </xdr:to>
    <xdr:pic>
      <xdr:nvPicPr>
        <xdr:cNvPr id="3" name="Picture 6">
          <a:extLst>
            <a:ext uri="{FF2B5EF4-FFF2-40B4-BE49-F238E27FC236}">
              <a16:creationId xmlns:a16="http://schemas.microsoft.com/office/drawing/2014/main" xmlns="" id="{A433206B-F0DA-431B-8027-14A3EAB8CD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11201400" y="123825"/>
          <a:ext cx="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3962400</xdr:colOff>
      <xdr:row>0</xdr:row>
      <xdr:rowOff>123825</xdr:rowOff>
    </xdr:from>
    <xdr:to>
      <xdr:col>2</xdr:col>
      <xdr:colOff>3448050</xdr:colOff>
      <xdr:row>0</xdr:row>
      <xdr:rowOff>419100</xdr:rowOff>
    </xdr:to>
    <xdr:pic>
      <xdr:nvPicPr>
        <xdr:cNvPr id="4" name="Picture 7">
          <a:extLst>
            <a:ext uri="{FF2B5EF4-FFF2-40B4-BE49-F238E27FC236}">
              <a16:creationId xmlns:a16="http://schemas.microsoft.com/office/drawing/2014/main" xmlns="" id="{5A98800D-9369-472C-98BF-839009E35F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11201400" y="123825"/>
          <a:ext cx="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1362076</xdr:colOff>
      <xdr:row>0</xdr:row>
      <xdr:rowOff>19050</xdr:rowOff>
    </xdr:from>
    <xdr:to>
      <xdr:col>1</xdr:col>
      <xdr:colOff>5105400</xdr:colOff>
      <xdr:row>1</xdr:row>
      <xdr:rowOff>1193</xdr:rowOff>
    </xdr:to>
    <xdr:pic>
      <xdr:nvPicPr>
        <xdr:cNvPr id="5" name="Immagine 6" descr="Logo DGSIA">
          <a:extLst>
            <a:ext uri="{FF2B5EF4-FFF2-40B4-BE49-F238E27FC236}">
              <a16:creationId xmlns:a16="http://schemas.microsoft.com/office/drawing/2014/main" xmlns="" id="{620FBF59-E5D2-4CC4-8F69-B632909F9A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57326" y="19050"/>
          <a:ext cx="5829299" cy="16490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wit-c0147\%25%25%20Guida%20Strumenti\Program%20Files\Compuware\QACenter%20Portal\qacenterportal\Planning\Templates\AQW%20Workbench_TDT_8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wit-c0147\%25%25%20Guida%20Strumenti\&amp;&amp;%20Progetti%20in%20corso\CONSIP\Documento%20Standard%20metodologia%20di%20test\CONSIP%20Allegato%201%20Tabella%20dei%20Test%20-%20Codice%20di%20Test%20070315_02%20con%20mac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Weighting and Counts"/>
      <sheetName val="Test Decision"/>
      <sheetName val="Test Conditions"/>
      <sheetName val="Internal Transfer Lookup"/>
      <sheetName val="SyncData"/>
    </sheetNames>
    <sheetDataSet>
      <sheetData sheetId="0" refreshError="1"/>
      <sheetData sheetId="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Planning List View"/>
      <sheetName val="Test Plan (copy)"/>
      <sheetName val="Test Plan (tree)"/>
      <sheetName val="Copertina"/>
      <sheetName val="Istruzioni"/>
      <sheetName val="Tabella dei test"/>
      <sheetName val="Codice di test"/>
      <sheetName val="Standard Layout"/>
      <sheetName val="Test Planning Setup"/>
      <sheetName val="Users"/>
      <sheetName val="Raw_Data_In"/>
      <sheetName val="Raw Data Out"/>
      <sheetName val="DeletedReqs"/>
      <sheetName val="QACP_Project_Setup"/>
      <sheetName val="QACPRiskFactorWeights"/>
      <sheetName val="Error Log"/>
      <sheetName val="Calc_WS"/>
      <sheetName val="temp_users"/>
      <sheetName val="temp ws"/>
      <sheetName val="Business Rules"/>
      <sheetName val="ClipBoard"/>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ow r="2">
          <cell r="A2" t="str">
            <v>Admin</v>
          </cell>
        </row>
        <row r="3">
          <cell r="A3" t="str">
            <v>Unassigned</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1"/>
  <sheetViews>
    <sheetView tabSelected="1" workbookViewId="0">
      <selection sqref="A1:XFD1048576"/>
    </sheetView>
  </sheetViews>
  <sheetFormatPr defaultRowHeight="120.75" customHeight="1" x14ac:dyDescent="0.25"/>
  <cols>
    <col min="1" max="1" width="31.28515625" style="31" customWidth="1"/>
    <col min="2" max="2" width="94.7109375" style="31" customWidth="1"/>
    <col min="3" max="3" width="51.7109375" style="31" customWidth="1"/>
    <col min="4" max="255" width="9.140625" style="31"/>
    <col min="256" max="256" width="1.42578125" style="31" customWidth="1"/>
    <col min="257" max="257" width="31.28515625" style="31" customWidth="1"/>
    <col min="258" max="258" width="83.5703125" style="31" bestFit="1" customWidth="1"/>
    <col min="259" max="259" width="51.7109375" style="31" customWidth="1"/>
    <col min="260" max="511" width="9.140625" style="31"/>
    <col min="512" max="512" width="1.42578125" style="31" customWidth="1"/>
    <col min="513" max="513" width="31.28515625" style="31" customWidth="1"/>
    <col min="514" max="514" width="83.5703125" style="31" bestFit="1" customWidth="1"/>
    <col min="515" max="515" width="51.7109375" style="31" customWidth="1"/>
    <col min="516" max="767" width="9.140625" style="31"/>
    <col min="768" max="768" width="1.42578125" style="31" customWidth="1"/>
    <col min="769" max="769" width="31.28515625" style="31" customWidth="1"/>
    <col min="770" max="770" width="83.5703125" style="31" bestFit="1" customWidth="1"/>
    <col min="771" max="771" width="51.7109375" style="31" customWidth="1"/>
    <col min="772" max="1023" width="9.140625" style="31"/>
    <col min="1024" max="1024" width="1.42578125" style="31" customWidth="1"/>
    <col min="1025" max="1025" width="31.28515625" style="31" customWidth="1"/>
    <col min="1026" max="1026" width="83.5703125" style="31" bestFit="1" customWidth="1"/>
    <col min="1027" max="1027" width="51.7109375" style="31" customWidth="1"/>
    <col min="1028" max="1279" width="9.140625" style="31"/>
    <col min="1280" max="1280" width="1.42578125" style="31" customWidth="1"/>
    <col min="1281" max="1281" width="31.28515625" style="31" customWidth="1"/>
    <col min="1282" max="1282" width="83.5703125" style="31" bestFit="1" customWidth="1"/>
    <col min="1283" max="1283" width="51.7109375" style="31" customWidth="1"/>
    <col min="1284" max="1535" width="9.140625" style="31"/>
    <col min="1536" max="1536" width="1.42578125" style="31" customWidth="1"/>
    <col min="1537" max="1537" width="31.28515625" style="31" customWidth="1"/>
    <col min="1538" max="1538" width="83.5703125" style="31" bestFit="1" customWidth="1"/>
    <col min="1539" max="1539" width="51.7109375" style="31" customWidth="1"/>
    <col min="1540" max="1791" width="9.140625" style="31"/>
    <col min="1792" max="1792" width="1.42578125" style="31" customWidth="1"/>
    <col min="1793" max="1793" width="31.28515625" style="31" customWidth="1"/>
    <col min="1794" max="1794" width="83.5703125" style="31" bestFit="1" customWidth="1"/>
    <col min="1795" max="1795" width="51.7109375" style="31" customWidth="1"/>
    <col min="1796" max="2047" width="9.140625" style="31"/>
    <col min="2048" max="2048" width="1.42578125" style="31" customWidth="1"/>
    <col min="2049" max="2049" width="31.28515625" style="31" customWidth="1"/>
    <col min="2050" max="2050" width="83.5703125" style="31" bestFit="1" customWidth="1"/>
    <col min="2051" max="2051" width="51.7109375" style="31" customWidth="1"/>
    <col min="2052" max="2303" width="9.140625" style="31"/>
    <col min="2304" max="2304" width="1.42578125" style="31" customWidth="1"/>
    <col min="2305" max="2305" width="31.28515625" style="31" customWidth="1"/>
    <col min="2306" max="2306" width="83.5703125" style="31" bestFit="1" customWidth="1"/>
    <col min="2307" max="2307" width="51.7109375" style="31" customWidth="1"/>
    <col min="2308" max="2559" width="9.140625" style="31"/>
    <col min="2560" max="2560" width="1.42578125" style="31" customWidth="1"/>
    <col min="2561" max="2561" width="31.28515625" style="31" customWidth="1"/>
    <col min="2562" max="2562" width="83.5703125" style="31" bestFit="1" customWidth="1"/>
    <col min="2563" max="2563" width="51.7109375" style="31" customWidth="1"/>
    <col min="2564" max="2815" width="9.140625" style="31"/>
    <col min="2816" max="2816" width="1.42578125" style="31" customWidth="1"/>
    <col min="2817" max="2817" width="31.28515625" style="31" customWidth="1"/>
    <col min="2818" max="2818" width="83.5703125" style="31" bestFit="1" customWidth="1"/>
    <col min="2819" max="2819" width="51.7109375" style="31" customWidth="1"/>
    <col min="2820" max="3071" width="9.140625" style="31"/>
    <col min="3072" max="3072" width="1.42578125" style="31" customWidth="1"/>
    <col min="3073" max="3073" width="31.28515625" style="31" customWidth="1"/>
    <col min="3074" max="3074" width="83.5703125" style="31" bestFit="1" customWidth="1"/>
    <col min="3075" max="3075" width="51.7109375" style="31" customWidth="1"/>
    <col min="3076" max="3327" width="9.140625" style="31"/>
    <col min="3328" max="3328" width="1.42578125" style="31" customWidth="1"/>
    <col min="3329" max="3329" width="31.28515625" style="31" customWidth="1"/>
    <col min="3330" max="3330" width="83.5703125" style="31" bestFit="1" customWidth="1"/>
    <col min="3331" max="3331" width="51.7109375" style="31" customWidth="1"/>
    <col min="3332" max="3583" width="9.140625" style="31"/>
    <col min="3584" max="3584" width="1.42578125" style="31" customWidth="1"/>
    <col min="3585" max="3585" width="31.28515625" style="31" customWidth="1"/>
    <col min="3586" max="3586" width="83.5703125" style="31" bestFit="1" customWidth="1"/>
    <col min="3587" max="3587" width="51.7109375" style="31" customWidth="1"/>
    <col min="3588" max="3839" width="9.140625" style="31"/>
    <col min="3840" max="3840" width="1.42578125" style="31" customWidth="1"/>
    <col min="3841" max="3841" width="31.28515625" style="31" customWidth="1"/>
    <col min="3842" max="3842" width="83.5703125" style="31" bestFit="1" customWidth="1"/>
    <col min="3843" max="3843" width="51.7109375" style="31" customWidth="1"/>
    <col min="3844" max="4095" width="9.140625" style="31"/>
    <col min="4096" max="4096" width="1.42578125" style="31" customWidth="1"/>
    <col min="4097" max="4097" width="31.28515625" style="31" customWidth="1"/>
    <col min="4098" max="4098" width="83.5703125" style="31" bestFit="1" customWidth="1"/>
    <col min="4099" max="4099" width="51.7109375" style="31" customWidth="1"/>
    <col min="4100" max="4351" width="9.140625" style="31"/>
    <col min="4352" max="4352" width="1.42578125" style="31" customWidth="1"/>
    <col min="4353" max="4353" width="31.28515625" style="31" customWidth="1"/>
    <col min="4354" max="4354" width="83.5703125" style="31" bestFit="1" customWidth="1"/>
    <col min="4355" max="4355" width="51.7109375" style="31" customWidth="1"/>
    <col min="4356" max="4607" width="9.140625" style="31"/>
    <col min="4608" max="4608" width="1.42578125" style="31" customWidth="1"/>
    <col min="4609" max="4609" width="31.28515625" style="31" customWidth="1"/>
    <col min="4610" max="4610" width="83.5703125" style="31" bestFit="1" customWidth="1"/>
    <col min="4611" max="4611" width="51.7109375" style="31" customWidth="1"/>
    <col min="4612" max="4863" width="9.140625" style="31"/>
    <col min="4864" max="4864" width="1.42578125" style="31" customWidth="1"/>
    <col min="4865" max="4865" width="31.28515625" style="31" customWidth="1"/>
    <col min="4866" max="4866" width="83.5703125" style="31" bestFit="1" customWidth="1"/>
    <col min="4867" max="4867" width="51.7109375" style="31" customWidth="1"/>
    <col min="4868" max="5119" width="9.140625" style="31"/>
    <col min="5120" max="5120" width="1.42578125" style="31" customWidth="1"/>
    <col min="5121" max="5121" width="31.28515625" style="31" customWidth="1"/>
    <col min="5122" max="5122" width="83.5703125" style="31" bestFit="1" customWidth="1"/>
    <col min="5123" max="5123" width="51.7109375" style="31" customWidth="1"/>
    <col min="5124" max="5375" width="9.140625" style="31"/>
    <col min="5376" max="5376" width="1.42578125" style="31" customWidth="1"/>
    <col min="5377" max="5377" width="31.28515625" style="31" customWidth="1"/>
    <col min="5378" max="5378" width="83.5703125" style="31" bestFit="1" customWidth="1"/>
    <col min="5379" max="5379" width="51.7109375" style="31" customWidth="1"/>
    <col min="5380" max="5631" width="9.140625" style="31"/>
    <col min="5632" max="5632" width="1.42578125" style="31" customWidth="1"/>
    <col min="5633" max="5633" width="31.28515625" style="31" customWidth="1"/>
    <col min="5634" max="5634" width="83.5703125" style="31" bestFit="1" customWidth="1"/>
    <col min="5635" max="5635" width="51.7109375" style="31" customWidth="1"/>
    <col min="5636" max="5887" width="9.140625" style="31"/>
    <col min="5888" max="5888" width="1.42578125" style="31" customWidth="1"/>
    <col min="5889" max="5889" width="31.28515625" style="31" customWidth="1"/>
    <col min="5890" max="5890" width="83.5703125" style="31" bestFit="1" customWidth="1"/>
    <col min="5891" max="5891" width="51.7109375" style="31" customWidth="1"/>
    <col min="5892" max="6143" width="9.140625" style="31"/>
    <col min="6144" max="6144" width="1.42578125" style="31" customWidth="1"/>
    <col min="6145" max="6145" width="31.28515625" style="31" customWidth="1"/>
    <col min="6146" max="6146" width="83.5703125" style="31" bestFit="1" customWidth="1"/>
    <col min="6147" max="6147" width="51.7109375" style="31" customWidth="1"/>
    <col min="6148" max="6399" width="9.140625" style="31"/>
    <col min="6400" max="6400" width="1.42578125" style="31" customWidth="1"/>
    <col min="6401" max="6401" width="31.28515625" style="31" customWidth="1"/>
    <col min="6402" max="6402" width="83.5703125" style="31" bestFit="1" customWidth="1"/>
    <col min="6403" max="6403" width="51.7109375" style="31" customWidth="1"/>
    <col min="6404" max="6655" width="9.140625" style="31"/>
    <col min="6656" max="6656" width="1.42578125" style="31" customWidth="1"/>
    <col min="6657" max="6657" width="31.28515625" style="31" customWidth="1"/>
    <col min="6658" max="6658" width="83.5703125" style="31" bestFit="1" customWidth="1"/>
    <col min="6659" max="6659" width="51.7109375" style="31" customWidth="1"/>
    <col min="6660" max="6911" width="9.140625" style="31"/>
    <col min="6912" max="6912" width="1.42578125" style="31" customWidth="1"/>
    <col min="6913" max="6913" width="31.28515625" style="31" customWidth="1"/>
    <col min="6914" max="6914" width="83.5703125" style="31" bestFit="1" customWidth="1"/>
    <col min="6915" max="6915" width="51.7109375" style="31" customWidth="1"/>
    <col min="6916" max="7167" width="9.140625" style="31"/>
    <col min="7168" max="7168" width="1.42578125" style="31" customWidth="1"/>
    <col min="7169" max="7169" width="31.28515625" style="31" customWidth="1"/>
    <col min="7170" max="7170" width="83.5703125" style="31" bestFit="1" customWidth="1"/>
    <col min="7171" max="7171" width="51.7109375" style="31" customWidth="1"/>
    <col min="7172" max="7423" width="9.140625" style="31"/>
    <col min="7424" max="7424" width="1.42578125" style="31" customWidth="1"/>
    <col min="7425" max="7425" width="31.28515625" style="31" customWidth="1"/>
    <col min="7426" max="7426" width="83.5703125" style="31" bestFit="1" customWidth="1"/>
    <col min="7427" max="7427" width="51.7109375" style="31" customWidth="1"/>
    <col min="7428" max="7679" width="9.140625" style="31"/>
    <col min="7680" max="7680" width="1.42578125" style="31" customWidth="1"/>
    <col min="7681" max="7681" width="31.28515625" style="31" customWidth="1"/>
    <col min="7682" max="7682" width="83.5703125" style="31" bestFit="1" customWidth="1"/>
    <col min="7683" max="7683" width="51.7109375" style="31" customWidth="1"/>
    <col min="7684" max="7935" width="9.140625" style="31"/>
    <col min="7936" max="7936" width="1.42578125" style="31" customWidth="1"/>
    <col min="7937" max="7937" width="31.28515625" style="31" customWidth="1"/>
    <col min="7938" max="7938" width="83.5703125" style="31" bestFit="1" customWidth="1"/>
    <col min="7939" max="7939" width="51.7109375" style="31" customWidth="1"/>
    <col min="7940" max="8191" width="9.140625" style="31"/>
    <col min="8192" max="8192" width="1.42578125" style="31" customWidth="1"/>
    <col min="8193" max="8193" width="31.28515625" style="31" customWidth="1"/>
    <col min="8194" max="8194" width="83.5703125" style="31" bestFit="1" customWidth="1"/>
    <col min="8195" max="8195" width="51.7109375" style="31" customWidth="1"/>
    <col min="8196" max="8447" width="9.140625" style="31"/>
    <col min="8448" max="8448" width="1.42578125" style="31" customWidth="1"/>
    <col min="8449" max="8449" width="31.28515625" style="31" customWidth="1"/>
    <col min="8450" max="8450" width="83.5703125" style="31" bestFit="1" customWidth="1"/>
    <col min="8451" max="8451" width="51.7109375" style="31" customWidth="1"/>
    <col min="8452" max="8703" width="9.140625" style="31"/>
    <col min="8704" max="8704" width="1.42578125" style="31" customWidth="1"/>
    <col min="8705" max="8705" width="31.28515625" style="31" customWidth="1"/>
    <col min="8706" max="8706" width="83.5703125" style="31" bestFit="1" customWidth="1"/>
    <col min="8707" max="8707" width="51.7109375" style="31" customWidth="1"/>
    <col min="8708" max="8959" width="9.140625" style="31"/>
    <col min="8960" max="8960" width="1.42578125" style="31" customWidth="1"/>
    <col min="8961" max="8961" width="31.28515625" style="31" customWidth="1"/>
    <col min="8962" max="8962" width="83.5703125" style="31" bestFit="1" customWidth="1"/>
    <col min="8963" max="8963" width="51.7109375" style="31" customWidth="1"/>
    <col min="8964" max="9215" width="9.140625" style="31"/>
    <col min="9216" max="9216" width="1.42578125" style="31" customWidth="1"/>
    <col min="9217" max="9217" width="31.28515625" style="31" customWidth="1"/>
    <col min="9218" max="9218" width="83.5703125" style="31" bestFit="1" customWidth="1"/>
    <col min="9219" max="9219" width="51.7109375" style="31" customWidth="1"/>
    <col min="9220" max="9471" width="9.140625" style="31"/>
    <col min="9472" max="9472" width="1.42578125" style="31" customWidth="1"/>
    <col min="9473" max="9473" width="31.28515625" style="31" customWidth="1"/>
    <col min="9474" max="9474" width="83.5703125" style="31" bestFit="1" customWidth="1"/>
    <col min="9475" max="9475" width="51.7109375" style="31" customWidth="1"/>
    <col min="9476" max="9727" width="9.140625" style="31"/>
    <col min="9728" max="9728" width="1.42578125" style="31" customWidth="1"/>
    <col min="9729" max="9729" width="31.28515625" style="31" customWidth="1"/>
    <col min="9730" max="9730" width="83.5703125" style="31" bestFit="1" customWidth="1"/>
    <col min="9731" max="9731" width="51.7109375" style="31" customWidth="1"/>
    <col min="9732" max="9983" width="9.140625" style="31"/>
    <col min="9984" max="9984" width="1.42578125" style="31" customWidth="1"/>
    <col min="9985" max="9985" width="31.28515625" style="31" customWidth="1"/>
    <col min="9986" max="9986" width="83.5703125" style="31" bestFit="1" customWidth="1"/>
    <col min="9987" max="9987" width="51.7109375" style="31" customWidth="1"/>
    <col min="9988" max="10239" width="9.140625" style="31"/>
    <col min="10240" max="10240" width="1.42578125" style="31" customWidth="1"/>
    <col min="10241" max="10241" width="31.28515625" style="31" customWidth="1"/>
    <col min="10242" max="10242" width="83.5703125" style="31" bestFit="1" customWidth="1"/>
    <col min="10243" max="10243" width="51.7109375" style="31" customWidth="1"/>
    <col min="10244" max="10495" width="9.140625" style="31"/>
    <col min="10496" max="10496" width="1.42578125" style="31" customWidth="1"/>
    <col min="10497" max="10497" width="31.28515625" style="31" customWidth="1"/>
    <col min="10498" max="10498" width="83.5703125" style="31" bestFit="1" customWidth="1"/>
    <col min="10499" max="10499" width="51.7109375" style="31" customWidth="1"/>
    <col min="10500" max="10751" width="9.140625" style="31"/>
    <col min="10752" max="10752" width="1.42578125" style="31" customWidth="1"/>
    <col min="10753" max="10753" width="31.28515625" style="31" customWidth="1"/>
    <col min="10754" max="10754" width="83.5703125" style="31" bestFit="1" customWidth="1"/>
    <col min="10755" max="10755" width="51.7109375" style="31" customWidth="1"/>
    <col min="10756" max="11007" width="9.140625" style="31"/>
    <col min="11008" max="11008" width="1.42578125" style="31" customWidth="1"/>
    <col min="11009" max="11009" width="31.28515625" style="31" customWidth="1"/>
    <col min="11010" max="11010" width="83.5703125" style="31" bestFit="1" customWidth="1"/>
    <col min="11011" max="11011" width="51.7109375" style="31" customWidth="1"/>
    <col min="11012" max="11263" width="9.140625" style="31"/>
    <col min="11264" max="11264" width="1.42578125" style="31" customWidth="1"/>
    <col min="11265" max="11265" width="31.28515625" style="31" customWidth="1"/>
    <col min="11266" max="11266" width="83.5703125" style="31" bestFit="1" customWidth="1"/>
    <col min="11267" max="11267" width="51.7109375" style="31" customWidth="1"/>
    <col min="11268" max="11519" width="9.140625" style="31"/>
    <col min="11520" max="11520" width="1.42578125" style="31" customWidth="1"/>
    <col min="11521" max="11521" width="31.28515625" style="31" customWidth="1"/>
    <col min="11522" max="11522" width="83.5703125" style="31" bestFit="1" customWidth="1"/>
    <col min="11523" max="11523" width="51.7109375" style="31" customWidth="1"/>
    <col min="11524" max="11775" width="9.140625" style="31"/>
    <col min="11776" max="11776" width="1.42578125" style="31" customWidth="1"/>
    <col min="11777" max="11777" width="31.28515625" style="31" customWidth="1"/>
    <col min="11778" max="11778" width="83.5703125" style="31" bestFit="1" customWidth="1"/>
    <col min="11779" max="11779" width="51.7109375" style="31" customWidth="1"/>
    <col min="11780" max="12031" width="9.140625" style="31"/>
    <col min="12032" max="12032" width="1.42578125" style="31" customWidth="1"/>
    <col min="12033" max="12033" width="31.28515625" style="31" customWidth="1"/>
    <col min="12034" max="12034" width="83.5703125" style="31" bestFit="1" customWidth="1"/>
    <col min="12035" max="12035" width="51.7109375" style="31" customWidth="1"/>
    <col min="12036" max="12287" width="9.140625" style="31"/>
    <col min="12288" max="12288" width="1.42578125" style="31" customWidth="1"/>
    <col min="12289" max="12289" width="31.28515625" style="31" customWidth="1"/>
    <col min="12290" max="12290" width="83.5703125" style="31" bestFit="1" customWidth="1"/>
    <col min="12291" max="12291" width="51.7109375" style="31" customWidth="1"/>
    <col min="12292" max="12543" width="9.140625" style="31"/>
    <col min="12544" max="12544" width="1.42578125" style="31" customWidth="1"/>
    <col min="12545" max="12545" width="31.28515625" style="31" customWidth="1"/>
    <col min="12546" max="12546" width="83.5703125" style="31" bestFit="1" customWidth="1"/>
    <col min="12547" max="12547" width="51.7109375" style="31" customWidth="1"/>
    <col min="12548" max="12799" width="9.140625" style="31"/>
    <col min="12800" max="12800" width="1.42578125" style="31" customWidth="1"/>
    <col min="12801" max="12801" width="31.28515625" style="31" customWidth="1"/>
    <col min="12802" max="12802" width="83.5703125" style="31" bestFit="1" customWidth="1"/>
    <col min="12803" max="12803" width="51.7109375" style="31" customWidth="1"/>
    <col min="12804" max="13055" width="9.140625" style="31"/>
    <col min="13056" max="13056" width="1.42578125" style="31" customWidth="1"/>
    <col min="13057" max="13057" width="31.28515625" style="31" customWidth="1"/>
    <col min="13058" max="13058" width="83.5703125" style="31" bestFit="1" customWidth="1"/>
    <col min="13059" max="13059" width="51.7109375" style="31" customWidth="1"/>
    <col min="13060" max="13311" width="9.140625" style="31"/>
    <col min="13312" max="13312" width="1.42578125" style="31" customWidth="1"/>
    <col min="13313" max="13313" width="31.28515625" style="31" customWidth="1"/>
    <col min="13314" max="13314" width="83.5703125" style="31" bestFit="1" customWidth="1"/>
    <col min="13315" max="13315" width="51.7109375" style="31" customWidth="1"/>
    <col min="13316" max="13567" width="9.140625" style="31"/>
    <col min="13568" max="13568" width="1.42578125" style="31" customWidth="1"/>
    <col min="13569" max="13569" width="31.28515625" style="31" customWidth="1"/>
    <col min="13570" max="13570" width="83.5703125" style="31" bestFit="1" customWidth="1"/>
    <col min="13571" max="13571" width="51.7109375" style="31" customWidth="1"/>
    <col min="13572" max="13823" width="9.140625" style="31"/>
    <col min="13824" max="13824" width="1.42578125" style="31" customWidth="1"/>
    <col min="13825" max="13825" width="31.28515625" style="31" customWidth="1"/>
    <col min="13826" max="13826" width="83.5703125" style="31" bestFit="1" customWidth="1"/>
    <col min="13827" max="13827" width="51.7109375" style="31" customWidth="1"/>
    <col min="13828" max="14079" width="9.140625" style="31"/>
    <col min="14080" max="14080" width="1.42578125" style="31" customWidth="1"/>
    <col min="14081" max="14081" width="31.28515625" style="31" customWidth="1"/>
    <col min="14082" max="14082" width="83.5703125" style="31" bestFit="1" customWidth="1"/>
    <col min="14083" max="14083" width="51.7109375" style="31" customWidth="1"/>
    <col min="14084" max="14335" width="9.140625" style="31"/>
    <col min="14336" max="14336" width="1.42578125" style="31" customWidth="1"/>
    <col min="14337" max="14337" width="31.28515625" style="31" customWidth="1"/>
    <col min="14338" max="14338" width="83.5703125" style="31" bestFit="1" customWidth="1"/>
    <col min="14339" max="14339" width="51.7109375" style="31" customWidth="1"/>
    <col min="14340" max="14591" width="9.140625" style="31"/>
    <col min="14592" max="14592" width="1.42578125" style="31" customWidth="1"/>
    <col min="14593" max="14593" width="31.28515625" style="31" customWidth="1"/>
    <col min="14594" max="14594" width="83.5703125" style="31" bestFit="1" customWidth="1"/>
    <col min="14595" max="14595" width="51.7109375" style="31" customWidth="1"/>
    <col min="14596" max="14847" width="9.140625" style="31"/>
    <col min="14848" max="14848" width="1.42578125" style="31" customWidth="1"/>
    <col min="14849" max="14849" width="31.28515625" style="31" customWidth="1"/>
    <col min="14850" max="14850" width="83.5703125" style="31" bestFit="1" customWidth="1"/>
    <col min="14851" max="14851" width="51.7109375" style="31" customWidth="1"/>
    <col min="14852" max="15103" width="9.140625" style="31"/>
    <col min="15104" max="15104" width="1.42578125" style="31" customWidth="1"/>
    <col min="15105" max="15105" width="31.28515625" style="31" customWidth="1"/>
    <col min="15106" max="15106" width="83.5703125" style="31" bestFit="1" customWidth="1"/>
    <col min="15107" max="15107" width="51.7109375" style="31" customWidth="1"/>
    <col min="15108" max="15359" width="9.140625" style="31"/>
    <col min="15360" max="15360" width="1.42578125" style="31" customWidth="1"/>
    <col min="15361" max="15361" width="31.28515625" style="31" customWidth="1"/>
    <col min="15362" max="15362" width="83.5703125" style="31" bestFit="1" customWidth="1"/>
    <col min="15363" max="15363" width="51.7109375" style="31" customWidth="1"/>
    <col min="15364" max="15615" width="9.140625" style="31"/>
    <col min="15616" max="15616" width="1.42578125" style="31" customWidth="1"/>
    <col min="15617" max="15617" width="31.28515625" style="31" customWidth="1"/>
    <col min="15618" max="15618" width="83.5703125" style="31" bestFit="1" customWidth="1"/>
    <col min="15619" max="15619" width="51.7109375" style="31" customWidth="1"/>
    <col min="15620" max="15871" width="9.140625" style="31"/>
    <col min="15872" max="15872" width="1.42578125" style="31" customWidth="1"/>
    <col min="15873" max="15873" width="31.28515625" style="31" customWidth="1"/>
    <col min="15874" max="15874" width="83.5703125" style="31" bestFit="1" customWidth="1"/>
    <col min="15875" max="15875" width="51.7109375" style="31" customWidth="1"/>
    <col min="15876" max="16127" width="9.140625" style="31"/>
    <col min="16128" max="16128" width="1.42578125" style="31" customWidth="1"/>
    <col min="16129" max="16129" width="31.28515625" style="31" customWidth="1"/>
    <col min="16130" max="16130" width="83.5703125" style="31" bestFit="1" customWidth="1"/>
    <col min="16131" max="16131" width="51.7109375" style="31" customWidth="1"/>
    <col min="16132" max="16384" width="9.140625" style="31"/>
  </cols>
  <sheetData>
    <row r="1" spans="1:5" ht="135" customHeight="1" x14ac:dyDescent="0.25">
      <c r="C1" s="172"/>
      <c r="D1" s="172"/>
      <c r="E1" s="172"/>
    </row>
    <row r="2" spans="1:5" ht="60" customHeight="1" x14ac:dyDescent="0.25">
      <c r="A2" s="170" t="s">
        <v>41</v>
      </c>
      <c r="B2" s="171"/>
      <c r="C2" s="172"/>
      <c r="D2" s="172"/>
      <c r="E2" s="172"/>
    </row>
    <row r="3" spans="1:5" ht="15" customHeight="1" x14ac:dyDescent="0.25">
      <c r="A3" s="41" t="s">
        <v>0</v>
      </c>
      <c r="B3" s="42" t="s">
        <v>183</v>
      </c>
      <c r="C3" s="172"/>
      <c r="D3" s="172"/>
      <c r="E3" s="172"/>
    </row>
    <row r="4" spans="1:5" ht="15" customHeight="1" x14ac:dyDescent="0.25">
      <c r="A4" s="41" t="s">
        <v>1</v>
      </c>
      <c r="B4" s="42" t="s">
        <v>184</v>
      </c>
      <c r="C4" s="172"/>
      <c r="D4" s="172"/>
      <c r="E4" s="172"/>
    </row>
    <row r="5" spans="1:5" ht="15" customHeight="1" x14ac:dyDescent="0.25">
      <c r="A5" s="41" t="s">
        <v>2</v>
      </c>
      <c r="B5" s="42" t="s">
        <v>83</v>
      </c>
      <c r="C5" s="172"/>
      <c r="D5" s="172"/>
      <c r="E5" s="172"/>
    </row>
    <row r="6" spans="1:5" ht="15" customHeight="1" x14ac:dyDescent="0.25">
      <c r="A6" s="41" t="s">
        <v>3</v>
      </c>
      <c r="B6" s="43">
        <v>45321</v>
      </c>
      <c r="C6" s="172"/>
      <c r="D6" s="172"/>
      <c r="E6" s="172"/>
    </row>
    <row r="7" spans="1:5" ht="15" customHeight="1" x14ac:dyDescent="0.25">
      <c r="A7" s="41" t="s">
        <v>4</v>
      </c>
      <c r="B7" s="42" t="s">
        <v>88</v>
      </c>
      <c r="C7" s="172"/>
      <c r="D7" s="172"/>
      <c r="E7" s="172"/>
    </row>
    <row r="8" spans="1:5" ht="15" customHeight="1" x14ac:dyDescent="0.25">
      <c r="A8" s="41" t="s">
        <v>5</v>
      </c>
      <c r="B8" s="42" t="s">
        <v>79</v>
      </c>
      <c r="C8" s="172"/>
      <c r="D8" s="172"/>
      <c r="E8" s="172"/>
    </row>
    <row r="9" spans="1:5" ht="150" customHeight="1" x14ac:dyDescent="0.25">
      <c r="A9" s="173" t="s">
        <v>6</v>
      </c>
      <c r="B9" s="173"/>
      <c r="C9" s="172"/>
      <c r="D9" s="172"/>
      <c r="E9" s="172"/>
    </row>
    <row r="10" spans="1:5" ht="15" customHeight="1" x14ac:dyDescent="0.25">
      <c r="A10" s="173"/>
      <c r="B10" s="173"/>
      <c r="C10" s="172"/>
      <c r="D10" s="172"/>
      <c r="E10" s="172"/>
    </row>
    <row r="61" ht="15" x14ac:dyDescent="0.25"/>
  </sheetData>
  <mergeCells count="3">
    <mergeCell ref="A2:B2"/>
    <mergeCell ref="C1:E10"/>
    <mergeCell ref="A9:B10"/>
  </mergeCell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47"/>
  <sheetViews>
    <sheetView zoomScaleNormal="100" workbookViewId="0">
      <selection sqref="A1:XFD1048576"/>
    </sheetView>
  </sheetViews>
  <sheetFormatPr defaultColWidth="9.140625" defaultRowHeight="15" x14ac:dyDescent="0.25"/>
  <cols>
    <col min="1" max="1" width="12.7109375" style="31" customWidth="1"/>
    <col min="2" max="3" width="20.7109375" style="31" customWidth="1"/>
    <col min="4" max="4" width="10.7109375" style="31" customWidth="1"/>
    <col min="5" max="5" width="30.7109375" style="31" customWidth="1"/>
    <col min="6" max="6" width="10.7109375" style="31" customWidth="1"/>
    <col min="7" max="7" width="45.7109375" style="31" customWidth="1"/>
    <col min="8" max="8" width="11.7109375" style="31" customWidth="1"/>
    <col min="9" max="9" width="16.7109375" style="31" customWidth="1"/>
    <col min="10" max="10" width="5.7109375" style="31" customWidth="1"/>
    <col min="11" max="11" width="11.28515625" style="31" bestFit="1" customWidth="1"/>
    <col min="12" max="12" width="9.7109375" style="31" bestFit="1" customWidth="1"/>
    <col min="13" max="16384" width="9.140625" style="31"/>
  </cols>
  <sheetData>
    <row r="1" spans="1:11" ht="30" customHeight="1" thickBot="1" x14ac:dyDescent="0.3">
      <c r="A1" s="175" t="s">
        <v>4</v>
      </c>
      <c r="B1" s="175"/>
      <c r="C1" s="174" t="str">
        <f>Copertina!B7</f>
        <v>MEV 2023_33_PST_PagoPA_Step-1</v>
      </c>
      <c r="D1" s="174"/>
      <c r="E1" s="174"/>
      <c r="F1" s="174"/>
      <c r="G1" s="174"/>
      <c r="H1" s="174"/>
      <c r="I1" s="174"/>
      <c r="J1" s="174"/>
    </row>
    <row r="2" spans="1:11" ht="30" customHeight="1" thickBot="1" x14ac:dyDescent="0.3">
      <c r="A2" s="175" t="s">
        <v>11</v>
      </c>
      <c r="B2" s="175"/>
      <c r="C2" s="174" t="str">
        <f>Copertina!B3</f>
        <v>SIUT-SIES-CT-1.0-20240130-Allegato_al_piano_Test_2023_33_PST_PagoPA_Step-1</v>
      </c>
      <c r="D2" s="174"/>
      <c r="E2" s="174"/>
      <c r="F2" s="174"/>
      <c r="G2" s="174"/>
      <c r="H2" s="174"/>
      <c r="I2" s="174"/>
      <c r="J2" s="174"/>
    </row>
    <row r="3" spans="1:11" ht="30" customHeight="1" thickBot="1" x14ac:dyDescent="0.3">
      <c r="A3" s="77" t="s">
        <v>7</v>
      </c>
      <c r="B3" s="78" t="s">
        <v>90</v>
      </c>
      <c r="C3" s="79" t="s">
        <v>30</v>
      </c>
      <c r="D3" s="79" t="s">
        <v>91</v>
      </c>
      <c r="E3" s="79" t="s">
        <v>92</v>
      </c>
      <c r="F3" s="80" t="s">
        <v>8</v>
      </c>
      <c r="G3" s="81" t="s">
        <v>28</v>
      </c>
      <c r="H3" s="82" t="s">
        <v>9</v>
      </c>
      <c r="I3" s="83" t="s">
        <v>89</v>
      </c>
      <c r="J3" s="84" t="s">
        <v>10</v>
      </c>
    </row>
    <row r="4" spans="1:11" ht="45" customHeight="1" x14ac:dyDescent="0.25">
      <c r="A4" s="85" t="s">
        <v>80</v>
      </c>
      <c r="B4" s="86" t="s">
        <v>145</v>
      </c>
      <c r="C4" s="86" t="str">
        <f t="shared" ref="C4:C47" si="0">B4</f>
        <v>PAR. 2.1-033-01</v>
      </c>
      <c r="D4" s="87" t="s">
        <v>76</v>
      </c>
      <c r="E4" s="88" t="s">
        <v>146</v>
      </c>
      <c r="F4" s="87" t="str">
        <f t="shared" ref="F4:F47" si="1">CONCATENATE("TF0",MID(B4,LEN(B4)-1,2),".",D4)</f>
        <v>TF001.UC01</v>
      </c>
      <c r="G4" s="88" t="s">
        <v>147</v>
      </c>
      <c r="H4" s="87">
        <v>3</v>
      </c>
      <c r="I4" s="87" t="s">
        <v>25</v>
      </c>
      <c r="J4" s="89"/>
      <c r="K4" s="37"/>
    </row>
    <row r="5" spans="1:11" ht="60" x14ac:dyDescent="0.25">
      <c r="A5" s="90" t="s">
        <v>80</v>
      </c>
      <c r="B5" s="91" t="s">
        <v>145</v>
      </c>
      <c r="C5" s="91" t="str">
        <f t="shared" si="0"/>
        <v>PAR. 2.1-033-01</v>
      </c>
      <c r="D5" s="92" t="s">
        <v>77</v>
      </c>
      <c r="E5" s="93" t="s">
        <v>148</v>
      </c>
      <c r="F5" s="92" t="str">
        <f t="shared" si="1"/>
        <v>TF001.UC02</v>
      </c>
      <c r="G5" s="93" t="s">
        <v>149</v>
      </c>
      <c r="H5" s="92">
        <v>3</v>
      </c>
      <c r="I5" s="92" t="s">
        <v>25</v>
      </c>
      <c r="J5" s="94"/>
      <c r="K5" s="37"/>
    </row>
    <row r="6" spans="1:11" ht="60" x14ac:dyDescent="0.25">
      <c r="A6" s="90" t="s">
        <v>80</v>
      </c>
      <c r="B6" s="91" t="s">
        <v>145</v>
      </c>
      <c r="C6" s="91" t="str">
        <f t="shared" si="0"/>
        <v>PAR. 2.1-033-01</v>
      </c>
      <c r="D6" s="92" t="s">
        <v>78</v>
      </c>
      <c r="E6" s="93" t="s">
        <v>150</v>
      </c>
      <c r="F6" s="92" t="str">
        <f t="shared" si="1"/>
        <v>TF001.UC03</v>
      </c>
      <c r="G6" s="93" t="s">
        <v>152</v>
      </c>
      <c r="H6" s="92">
        <v>3</v>
      </c>
      <c r="I6" s="92" t="s">
        <v>25</v>
      </c>
      <c r="J6" s="94"/>
      <c r="K6" s="37"/>
    </row>
    <row r="7" spans="1:11" ht="60" x14ac:dyDescent="0.25">
      <c r="A7" s="90" t="s">
        <v>80</v>
      </c>
      <c r="B7" s="91" t="s">
        <v>145</v>
      </c>
      <c r="C7" s="91" t="str">
        <f t="shared" si="0"/>
        <v>PAR. 2.1-033-01</v>
      </c>
      <c r="D7" s="92" t="s">
        <v>84</v>
      </c>
      <c r="E7" s="93" t="s">
        <v>151</v>
      </c>
      <c r="F7" s="92" t="str">
        <f t="shared" si="1"/>
        <v>TF001.UC04</v>
      </c>
      <c r="G7" s="93" t="s">
        <v>153</v>
      </c>
      <c r="H7" s="92">
        <v>3</v>
      </c>
      <c r="I7" s="92" t="s">
        <v>25</v>
      </c>
      <c r="J7" s="94"/>
      <c r="K7" s="37"/>
    </row>
    <row r="8" spans="1:11" s="65" customFormat="1" ht="45" customHeight="1" x14ac:dyDescent="0.25">
      <c r="A8" s="90" t="s">
        <v>80</v>
      </c>
      <c r="B8" s="91" t="s">
        <v>156</v>
      </c>
      <c r="C8" s="91" t="str">
        <f t="shared" si="0"/>
        <v>PAR. 2.2-033-02</v>
      </c>
      <c r="D8" s="92" t="s">
        <v>76</v>
      </c>
      <c r="E8" s="93" t="s">
        <v>93</v>
      </c>
      <c r="F8" s="92" t="str">
        <f t="shared" si="1"/>
        <v>TF002.UC01</v>
      </c>
      <c r="G8" s="93" t="s">
        <v>94</v>
      </c>
      <c r="H8" s="92">
        <v>3</v>
      </c>
      <c r="I8" s="92" t="s">
        <v>25</v>
      </c>
      <c r="J8" s="94"/>
      <c r="K8" s="64"/>
    </row>
    <row r="9" spans="1:11" s="65" customFormat="1" ht="60" customHeight="1" x14ac:dyDescent="0.25">
      <c r="A9" s="90" t="s">
        <v>80</v>
      </c>
      <c r="B9" s="91" t="s">
        <v>156</v>
      </c>
      <c r="C9" s="91" t="str">
        <f t="shared" si="0"/>
        <v>PAR. 2.2-033-02</v>
      </c>
      <c r="D9" s="92" t="s">
        <v>77</v>
      </c>
      <c r="E9" s="93" t="s">
        <v>95</v>
      </c>
      <c r="F9" s="92" t="str">
        <f t="shared" si="1"/>
        <v>TF002.UC02</v>
      </c>
      <c r="G9" s="93" t="s">
        <v>96</v>
      </c>
      <c r="H9" s="92">
        <v>3</v>
      </c>
      <c r="I9" s="92" t="s">
        <v>25</v>
      </c>
      <c r="J9" s="94"/>
      <c r="K9" s="64"/>
    </row>
    <row r="10" spans="1:11" s="65" customFormat="1" ht="45" customHeight="1" x14ac:dyDescent="0.25">
      <c r="A10" s="90" t="s">
        <v>80</v>
      </c>
      <c r="B10" s="91" t="s">
        <v>156</v>
      </c>
      <c r="C10" s="91" t="str">
        <f t="shared" si="0"/>
        <v>PAR. 2.2-033-02</v>
      </c>
      <c r="D10" s="92" t="s">
        <v>78</v>
      </c>
      <c r="E10" s="93" t="s">
        <v>105</v>
      </c>
      <c r="F10" s="92" t="str">
        <f t="shared" si="1"/>
        <v>TF002.UC03</v>
      </c>
      <c r="G10" s="93" t="s">
        <v>97</v>
      </c>
      <c r="H10" s="92">
        <v>3</v>
      </c>
      <c r="I10" s="92" t="s">
        <v>25</v>
      </c>
      <c r="J10" s="94"/>
      <c r="K10" s="64"/>
    </row>
    <row r="11" spans="1:11" s="65" customFormat="1" ht="45" customHeight="1" x14ac:dyDescent="0.25">
      <c r="A11" s="90" t="s">
        <v>80</v>
      </c>
      <c r="B11" s="91" t="s">
        <v>98</v>
      </c>
      <c r="C11" s="91" t="str">
        <f t="shared" si="0"/>
        <v>PAR. 2.2.2-033-03</v>
      </c>
      <c r="D11" s="92" t="s">
        <v>76</v>
      </c>
      <c r="E11" s="93" t="s">
        <v>155</v>
      </c>
      <c r="F11" s="92" t="str">
        <f t="shared" si="1"/>
        <v>TF003.UC01</v>
      </c>
      <c r="G11" s="93" t="s">
        <v>154</v>
      </c>
      <c r="H11" s="92">
        <v>2</v>
      </c>
      <c r="I11" s="92" t="s">
        <v>24</v>
      </c>
      <c r="J11" s="94"/>
      <c r="K11" s="64"/>
    </row>
    <row r="12" spans="1:11" s="65" customFormat="1" ht="45" customHeight="1" x14ac:dyDescent="0.25">
      <c r="A12" s="90" t="s">
        <v>80</v>
      </c>
      <c r="B12" s="91" t="s">
        <v>98</v>
      </c>
      <c r="C12" s="91" t="str">
        <f t="shared" si="0"/>
        <v>PAR. 2.2.2-033-03</v>
      </c>
      <c r="D12" s="92" t="s">
        <v>77</v>
      </c>
      <c r="E12" s="93" t="s">
        <v>99</v>
      </c>
      <c r="F12" s="92" t="str">
        <f t="shared" si="1"/>
        <v>TF003.UC02</v>
      </c>
      <c r="G12" s="93" t="s">
        <v>100</v>
      </c>
      <c r="H12" s="92">
        <v>3</v>
      </c>
      <c r="I12" s="92" t="s">
        <v>25</v>
      </c>
      <c r="J12" s="94"/>
      <c r="K12" s="64"/>
    </row>
    <row r="13" spans="1:11" s="65" customFormat="1" ht="45" customHeight="1" x14ac:dyDescent="0.25">
      <c r="A13" s="90" t="s">
        <v>80</v>
      </c>
      <c r="B13" s="91" t="s">
        <v>98</v>
      </c>
      <c r="C13" s="91" t="str">
        <f t="shared" si="0"/>
        <v>PAR. 2.2.2-033-03</v>
      </c>
      <c r="D13" s="92" t="s">
        <v>78</v>
      </c>
      <c r="E13" s="93" t="s">
        <v>101</v>
      </c>
      <c r="F13" s="92" t="str">
        <f t="shared" si="1"/>
        <v>TF003.UC03</v>
      </c>
      <c r="G13" s="93" t="s">
        <v>102</v>
      </c>
      <c r="H13" s="92">
        <v>3</v>
      </c>
      <c r="I13" s="92" t="s">
        <v>25</v>
      </c>
      <c r="J13" s="94"/>
      <c r="K13" s="64"/>
    </row>
    <row r="14" spans="1:11" s="65" customFormat="1" ht="60" customHeight="1" x14ac:dyDescent="0.25">
      <c r="A14" s="90" t="s">
        <v>80</v>
      </c>
      <c r="B14" s="91" t="s">
        <v>98</v>
      </c>
      <c r="C14" s="91" t="str">
        <f t="shared" si="0"/>
        <v>PAR. 2.2.2-033-03</v>
      </c>
      <c r="D14" s="92" t="s">
        <v>84</v>
      </c>
      <c r="E14" s="93" t="s">
        <v>103</v>
      </c>
      <c r="F14" s="92" t="str">
        <f t="shared" si="1"/>
        <v>TF003.UC04</v>
      </c>
      <c r="G14" s="93" t="s">
        <v>109</v>
      </c>
      <c r="H14" s="92">
        <v>3</v>
      </c>
      <c r="I14" s="92" t="s">
        <v>25</v>
      </c>
      <c r="J14" s="94"/>
      <c r="K14" s="64"/>
    </row>
    <row r="15" spans="1:11" s="65" customFormat="1" ht="60" customHeight="1" x14ac:dyDescent="0.25">
      <c r="A15" s="90" t="s">
        <v>80</v>
      </c>
      <c r="B15" s="91" t="s">
        <v>98</v>
      </c>
      <c r="C15" s="91" t="str">
        <f t="shared" si="0"/>
        <v>PAR. 2.2.2-033-03</v>
      </c>
      <c r="D15" s="92" t="s">
        <v>107</v>
      </c>
      <c r="E15" s="93" t="s">
        <v>104</v>
      </c>
      <c r="F15" s="92" t="str">
        <f t="shared" si="1"/>
        <v>TF003.UC05</v>
      </c>
      <c r="G15" s="93" t="s">
        <v>110</v>
      </c>
      <c r="H15" s="92">
        <v>3</v>
      </c>
      <c r="I15" s="92" t="s">
        <v>25</v>
      </c>
      <c r="J15" s="94"/>
    </row>
    <row r="16" spans="1:11" s="65" customFormat="1" ht="45" customHeight="1" x14ac:dyDescent="0.25">
      <c r="A16" s="90" t="s">
        <v>80</v>
      </c>
      <c r="B16" s="91" t="s">
        <v>98</v>
      </c>
      <c r="C16" s="91" t="str">
        <f t="shared" si="0"/>
        <v>PAR. 2.2.2-033-03</v>
      </c>
      <c r="D16" s="92" t="s">
        <v>185</v>
      </c>
      <c r="E16" s="93" t="s">
        <v>106</v>
      </c>
      <c r="F16" s="92" t="str">
        <f t="shared" si="1"/>
        <v>TF003.UC06</v>
      </c>
      <c r="G16" s="93" t="s">
        <v>108</v>
      </c>
      <c r="H16" s="92">
        <v>3</v>
      </c>
      <c r="I16" s="92" t="s">
        <v>25</v>
      </c>
      <c r="J16" s="94"/>
    </row>
    <row r="17" spans="1:11" s="65" customFormat="1" ht="45" customHeight="1" x14ac:dyDescent="0.25">
      <c r="A17" s="90" t="s">
        <v>80</v>
      </c>
      <c r="B17" s="91" t="s">
        <v>111</v>
      </c>
      <c r="C17" s="91" t="str">
        <f t="shared" si="0"/>
        <v>PAR. 2.2.3-033-04</v>
      </c>
      <c r="D17" s="92" t="s">
        <v>76</v>
      </c>
      <c r="E17" s="93" t="s">
        <v>158</v>
      </c>
      <c r="F17" s="92" t="str">
        <f t="shared" si="1"/>
        <v>TF004.UC01</v>
      </c>
      <c r="G17" s="93" t="s">
        <v>159</v>
      </c>
      <c r="H17" s="92">
        <v>2</v>
      </c>
      <c r="I17" s="92" t="s">
        <v>24</v>
      </c>
      <c r="J17" s="94"/>
      <c r="K17" s="64"/>
    </row>
    <row r="18" spans="1:11" s="65" customFormat="1" ht="30" customHeight="1" x14ac:dyDescent="0.25">
      <c r="A18" s="90" t="s">
        <v>80</v>
      </c>
      <c r="B18" s="91" t="s">
        <v>112</v>
      </c>
      <c r="C18" s="91" t="str">
        <f t="shared" si="0"/>
        <v>PAR. 2.2.4-033-05</v>
      </c>
      <c r="D18" s="92" t="s">
        <v>76</v>
      </c>
      <c r="E18" s="93" t="s">
        <v>157</v>
      </c>
      <c r="F18" s="92" t="str">
        <f t="shared" si="1"/>
        <v>TF005.UC01</v>
      </c>
      <c r="G18" s="93" t="s">
        <v>160</v>
      </c>
      <c r="H18" s="92">
        <v>2</v>
      </c>
      <c r="I18" s="92" t="s">
        <v>24</v>
      </c>
      <c r="J18" s="94"/>
      <c r="K18" s="64"/>
    </row>
    <row r="19" spans="1:11" s="65" customFormat="1" ht="45" customHeight="1" x14ac:dyDescent="0.25">
      <c r="A19" s="90" t="s">
        <v>80</v>
      </c>
      <c r="B19" s="91" t="s">
        <v>113</v>
      </c>
      <c r="C19" s="91" t="str">
        <f t="shared" si="0"/>
        <v>PAR. 2.2.5-033-06</v>
      </c>
      <c r="D19" s="92" t="s">
        <v>76</v>
      </c>
      <c r="E19" s="93" t="s">
        <v>161</v>
      </c>
      <c r="F19" s="92" t="str">
        <f t="shared" si="1"/>
        <v>TF006.UC01</v>
      </c>
      <c r="G19" s="93" t="s">
        <v>162</v>
      </c>
      <c r="H19" s="92">
        <v>2</v>
      </c>
      <c r="I19" s="92" t="s">
        <v>24</v>
      </c>
      <c r="J19" s="94"/>
      <c r="K19" s="64"/>
    </row>
    <row r="20" spans="1:11" s="65" customFormat="1" ht="30" customHeight="1" x14ac:dyDescent="0.25">
      <c r="A20" s="90" t="s">
        <v>80</v>
      </c>
      <c r="B20" s="91" t="s">
        <v>114</v>
      </c>
      <c r="C20" s="91" t="str">
        <f t="shared" si="0"/>
        <v>PAR. 2.2.6-033-07</v>
      </c>
      <c r="D20" s="92" t="s">
        <v>76</v>
      </c>
      <c r="E20" s="93" t="s">
        <v>163</v>
      </c>
      <c r="F20" s="92" t="str">
        <f t="shared" si="1"/>
        <v>TF007.UC01</v>
      </c>
      <c r="G20" s="93" t="s">
        <v>164</v>
      </c>
      <c r="H20" s="92">
        <v>2</v>
      </c>
      <c r="I20" s="92" t="s">
        <v>24</v>
      </c>
      <c r="J20" s="94"/>
      <c r="K20" s="64"/>
    </row>
    <row r="21" spans="1:11" s="65" customFormat="1" ht="120" customHeight="1" x14ac:dyDescent="0.25">
      <c r="A21" s="90" t="s">
        <v>80</v>
      </c>
      <c r="B21" s="91" t="s">
        <v>186</v>
      </c>
      <c r="C21" s="91" t="str">
        <f t="shared" si="0"/>
        <v>PAR. 2.3-033-08</v>
      </c>
      <c r="D21" s="92" t="s">
        <v>76</v>
      </c>
      <c r="E21" s="93" t="s">
        <v>165</v>
      </c>
      <c r="F21" s="92" t="str">
        <f t="shared" si="1"/>
        <v>TF008.UC01</v>
      </c>
      <c r="G21" s="93" t="s">
        <v>117</v>
      </c>
      <c r="H21" s="92">
        <v>2</v>
      </c>
      <c r="I21" s="92" t="s">
        <v>24</v>
      </c>
      <c r="J21" s="94"/>
    </row>
    <row r="22" spans="1:11" s="65" customFormat="1" ht="30" customHeight="1" x14ac:dyDescent="0.25">
      <c r="A22" s="90" t="s">
        <v>80</v>
      </c>
      <c r="B22" s="91" t="s">
        <v>187</v>
      </c>
      <c r="C22" s="91" t="str">
        <f t="shared" si="0"/>
        <v>PAR. 2.3.1-033-09</v>
      </c>
      <c r="D22" s="92" t="s">
        <v>76</v>
      </c>
      <c r="E22" s="93" t="s">
        <v>582</v>
      </c>
      <c r="F22" s="92" t="str">
        <f t="shared" si="1"/>
        <v>TF009.UC01</v>
      </c>
      <c r="G22" s="93" t="s">
        <v>583</v>
      </c>
      <c r="H22" s="92">
        <v>2</v>
      </c>
      <c r="I22" s="92" t="s">
        <v>24</v>
      </c>
      <c r="J22" s="94"/>
    </row>
    <row r="23" spans="1:11" s="124" customFormat="1" ht="45" customHeight="1" x14ac:dyDescent="0.25">
      <c r="A23" s="137" t="s">
        <v>80</v>
      </c>
      <c r="B23" s="138" t="s">
        <v>188</v>
      </c>
      <c r="C23" s="138" t="str">
        <f>B23</f>
        <v>PAR. 2.3.2-033-10</v>
      </c>
      <c r="D23" s="137" t="s">
        <v>76</v>
      </c>
      <c r="E23" s="139" t="s">
        <v>588</v>
      </c>
      <c r="F23" s="137" t="str">
        <f>CONCATENATE("TF0",MID(B23,LEN(B23)-1,2),".",D23)</f>
        <v>TF010.UC01</v>
      </c>
      <c r="G23" s="139" t="s">
        <v>589</v>
      </c>
      <c r="H23" s="137">
        <v>2</v>
      </c>
      <c r="I23" s="137" t="s">
        <v>24</v>
      </c>
      <c r="J23" s="137"/>
    </row>
    <row r="24" spans="1:11" s="65" customFormat="1" ht="45" customHeight="1" x14ac:dyDescent="0.25">
      <c r="A24" s="90" t="s">
        <v>80</v>
      </c>
      <c r="B24" s="91" t="s">
        <v>189</v>
      </c>
      <c r="C24" s="91" t="str">
        <f t="shared" si="0"/>
        <v>PAR. 2.3.4-033-11</v>
      </c>
      <c r="D24" s="92" t="s">
        <v>76</v>
      </c>
      <c r="E24" s="93" t="s">
        <v>584</v>
      </c>
      <c r="F24" s="92" t="str">
        <f t="shared" si="1"/>
        <v>TF011.UC01</v>
      </c>
      <c r="G24" s="93" t="s">
        <v>586</v>
      </c>
      <c r="H24" s="92">
        <v>2</v>
      </c>
      <c r="I24" s="92" t="s">
        <v>24</v>
      </c>
      <c r="J24" s="94"/>
    </row>
    <row r="25" spans="1:11" s="65" customFormat="1" ht="60" customHeight="1" x14ac:dyDescent="0.25">
      <c r="A25" s="90" t="s">
        <v>80</v>
      </c>
      <c r="B25" s="91" t="s">
        <v>189</v>
      </c>
      <c r="C25" s="91" t="str">
        <f t="shared" si="0"/>
        <v>PAR. 2.3.4-033-11</v>
      </c>
      <c r="D25" s="92" t="s">
        <v>77</v>
      </c>
      <c r="E25" s="93" t="s">
        <v>585</v>
      </c>
      <c r="F25" s="92" t="str">
        <f t="shared" si="1"/>
        <v>TF011.UC02</v>
      </c>
      <c r="G25" s="93" t="s">
        <v>587</v>
      </c>
      <c r="H25" s="92">
        <v>3</v>
      </c>
      <c r="I25" s="92" t="s">
        <v>25</v>
      </c>
      <c r="J25" s="94"/>
    </row>
    <row r="26" spans="1:11" s="65" customFormat="1" ht="30" customHeight="1" x14ac:dyDescent="0.25">
      <c r="A26" s="90" t="s">
        <v>80</v>
      </c>
      <c r="B26" s="91" t="s">
        <v>190</v>
      </c>
      <c r="C26" s="91" t="str">
        <f t="shared" si="0"/>
        <v>PAR. 2.3.5-033-12</v>
      </c>
      <c r="D26" s="92" t="s">
        <v>76</v>
      </c>
      <c r="E26" s="93" t="s">
        <v>122</v>
      </c>
      <c r="F26" s="92" t="str">
        <f t="shared" si="1"/>
        <v>TF012.UC01</v>
      </c>
      <c r="G26" s="93" t="s">
        <v>123</v>
      </c>
      <c r="H26" s="92">
        <v>2</v>
      </c>
      <c r="I26" s="92" t="s">
        <v>24</v>
      </c>
      <c r="J26" s="94"/>
    </row>
    <row r="27" spans="1:11" s="65" customFormat="1" ht="30" customHeight="1" x14ac:dyDescent="0.25">
      <c r="A27" s="90" t="s">
        <v>80</v>
      </c>
      <c r="B27" s="91" t="s">
        <v>190</v>
      </c>
      <c r="C27" s="91" t="s">
        <v>590</v>
      </c>
      <c r="D27" s="92" t="s">
        <v>77</v>
      </c>
      <c r="E27" s="93" t="s">
        <v>591</v>
      </c>
      <c r="F27" s="92" t="str">
        <f t="shared" si="1"/>
        <v>TF012.UC02</v>
      </c>
      <c r="G27" s="93" t="s">
        <v>592</v>
      </c>
      <c r="H27" s="92">
        <v>2</v>
      </c>
      <c r="I27" s="92" t="s">
        <v>24</v>
      </c>
      <c r="J27" s="94"/>
    </row>
    <row r="28" spans="1:11" s="65" customFormat="1" ht="45" customHeight="1" x14ac:dyDescent="0.25">
      <c r="A28" s="90" t="s">
        <v>80</v>
      </c>
      <c r="B28" s="91" t="s">
        <v>191</v>
      </c>
      <c r="C28" s="91" t="str">
        <f t="shared" si="0"/>
        <v>PAR. 2.3.5.1-033-13</v>
      </c>
      <c r="D28" s="92" t="s">
        <v>76</v>
      </c>
      <c r="E28" s="93" t="s">
        <v>593</v>
      </c>
      <c r="F28" s="92" t="str">
        <f t="shared" si="1"/>
        <v>TF013.UC01</v>
      </c>
      <c r="G28" s="93" t="s">
        <v>115</v>
      </c>
      <c r="H28" s="92">
        <v>2</v>
      </c>
      <c r="I28" s="92" t="s">
        <v>24</v>
      </c>
      <c r="J28" s="94"/>
    </row>
    <row r="29" spans="1:11" s="65" customFormat="1" ht="30" customHeight="1" x14ac:dyDescent="0.25">
      <c r="A29" s="90" t="s">
        <v>80</v>
      </c>
      <c r="B29" s="91" t="s">
        <v>192</v>
      </c>
      <c r="C29" s="91" t="str">
        <f t="shared" si="0"/>
        <v>PAR. 2.3.5.2-033-14</v>
      </c>
      <c r="D29" s="92" t="s">
        <v>76</v>
      </c>
      <c r="E29" s="93" t="s">
        <v>594</v>
      </c>
      <c r="F29" s="92" t="str">
        <f t="shared" si="1"/>
        <v>TF014.UC01</v>
      </c>
      <c r="G29" s="93" t="s">
        <v>116</v>
      </c>
      <c r="H29" s="92">
        <v>2</v>
      </c>
      <c r="I29" s="92" t="s">
        <v>24</v>
      </c>
      <c r="J29" s="94"/>
    </row>
    <row r="30" spans="1:11" s="65" customFormat="1" ht="45" customHeight="1" x14ac:dyDescent="0.25">
      <c r="A30" s="90" t="s">
        <v>80</v>
      </c>
      <c r="B30" s="91" t="s">
        <v>193</v>
      </c>
      <c r="C30" s="91" t="str">
        <f t="shared" si="0"/>
        <v>PAR. 2.3.5.3-033-15</v>
      </c>
      <c r="D30" s="92" t="s">
        <v>76</v>
      </c>
      <c r="E30" s="93" t="s">
        <v>595</v>
      </c>
      <c r="F30" s="92" t="str">
        <f t="shared" si="1"/>
        <v>TF015.UC01</v>
      </c>
      <c r="G30" s="93" t="s">
        <v>121</v>
      </c>
      <c r="H30" s="92">
        <v>2</v>
      </c>
      <c r="I30" s="92" t="s">
        <v>24</v>
      </c>
      <c r="J30" s="94"/>
    </row>
    <row r="31" spans="1:11" s="65" customFormat="1" ht="45" customHeight="1" x14ac:dyDescent="0.25">
      <c r="A31" s="90" t="s">
        <v>80</v>
      </c>
      <c r="B31" s="91" t="s">
        <v>194</v>
      </c>
      <c r="C31" s="91" t="str">
        <f t="shared" si="0"/>
        <v>PAR. 2.3.5.4-033-16</v>
      </c>
      <c r="D31" s="92" t="s">
        <v>76</v>
      </c>
      <c r="E31" s="93" t="s">
        <v>596</v>
      </c>
      <c r="F31" s="92" t="str">
        <f t="shared" si="1"/>
        <v>TF016.UC01</v>
      </c>
      <c r="G31" s="93" t="s">
        <v>120</v>
      </c>
      <c r="H31" s="92">
        <v>2</v>
      </c>
      <c r="I31" s="92" t="s">
        <v>24</v>
      </c>
      <c r="J31" s="94"/>
    </row>
    <row r="32" spans="1:11" s="65" customFormat="1" ht="135" customHeight="1" x14ac:dyDescent="0.25">
      <c r="A32" s="90" t="s">
        <v>80</v>
      </c>
      <c r="B32" s="91" t="s">
        <v>195</v>
      </c>
      <c r="C32" s="91" t="str">
        <f t="shared" si="0"/>
        <v>PAR. 2.3.5.4.1-033-17</v>
      </c>
      <c r="D32" s="92" t="s">
        <v>76</v>
      </c>
      <c r="E32" s="93" t="s">
        <v>136</v>
      </c>
      <c r="F32" s="92" t="str">
        <f t="shared" si="1"/>
        <v>TF017.UC01</v>
      </c>
      <c r="G32" s="93" t="s">
        <v>166</v>
      </c>
      <c r="H32" s="92">
        <v>2</v>
      </c>
      <c r="I32" s="92" t="s">
        <v>24</v>
      </c>
      <c r="J32" s="94"/>
    </row>
    <row r="33" spans="1:10" s="65" customFormat="1" ht="30" customHeight="1" x14ac:dyDescent="0.25">
      <c r="A33" s="90" t="s">
        <v>80</v>
      </c>
      <c r="B33" s="91" t="s">
        <v>196</v>
      </c>
      <c r="C33" s="91" t="str">
        <f t="shared" si="0"/>
        <v>PAR. 2.3.5.5-033-18</v>
      </c>
      <c r="D33" s="92" t="s">
        <v>76</v>
      </c>
      <c r="E33" s="93" t="s">
        <v>118</v>
      </c>
      <c r="F33" s="92" t="str">
        <f t="shared" si="1"/>
        <v>TF018.UC01</v>
      </c>
      <c r="G33" s="93" t="s">
        <v>119</v>
      </c>
      <c r="H33" s="92">
        <v>2</v>
      </c>
      <c r="I33" s="92" t="s">
        <v>24</v>
      </c>
      <c r="J33" s="94"/>
    </row>
    <row r="34" spans="1:10" s="65" customFormat="1" ht="45" customHeight="1" x14ac:dyDescent="0.25">
      <c r="A34" s="90" t="s">
        <v>80</v>
      </c>
      <c r="B34" s="91" t="s">
        <v>197</v>
      </c>
      <c r="C34" s="91" t="str">
        <f t="shared" si="0"/>
        <v>PAR. 2.4-033-19</v>
      </c>
      <c r="D34" s="92" t="s">
        <v>76</v>
      </c>
      <c r="E34" s="93" t="s">
        <v>598</v>
      </c>
      <c r="F34" s="92" t="str">
        <f t="shared" si="1"/>
        <v>TF019.UC01</v>
      </c>
      <c r="G34" s="93" t="s">
        <v>124</v>
      </c>
      <c r="H34" s="92">
        <v>2</v>
      </c>
      <c r="I34" s="92" t="s">
        <v>24</v>
      </c>
      <c r="J34" s="94"/>
    </row>
    <row r="35" spans="1:10" s="65" customFormat="1" ht="45" customHeight="1" x14ac:dyDescent="0.25">
      <c r="A35" s="90" t="s">
        <v>80</v>
      </c>
      <c r="B35" s="91" t="s">
        <v>597</v>
      </c>
      <c r="C35" s="91" t="str">
        <f t="shared" si="0"/>
        <v>PAR. 2.5.1-033-20</v>
      </c>
      <c r="D35" s="92" t="s">
        <v>76</v>
      </c>
      <c r="E35" s="93" t="s">
        <v>125</v>
      </c>
      <c r="F35" s="92" t="str">
        <f t="shared" si="1"/>
        <v>TF020.UC01</v>
      </c>
      <c r="G35" s="93" t="s">
        <v>126</v>
      </c>
      <c r="H35" s="92">
        <v>2</v>
      </c>
      <c r="I35" s="92" t="s">
        <v>24</v>
      </c>
      <c r="J35" s="94"/>
    </row>
    <row r="36" spans="1:10" s="65" customFormat="1" ht="60" customHeight="1" x14ac:dyDescent="0.25">
      <c r="A36" s="90" t="s">
        <v>80</v>
      </c>
      <c r="B36" s="91" t="s">
        <v>599</v>
      </c>
      <c r="C36" s="91" t="str">
        <f t="shared" si="0"/>
        <v>PAR. 2.5.2-033-21</v>
      </c>
      <c r="D36" s="92" t="s">
        <v>76</v>
      </c>
      <c r="E36" s="93" t="s">
        <v>127</v>
      </c>
      <c r="F36" s="92" t="str">
        <f t="shared" si="1"/>
        <v>TF021.UC01</v>
      </c>
      <c r="G36" s="93" t="s">
        <v>130</v>
      </c>
      <c r="H36" s="92">
        <v>2</v>
      </c>
      <c r="I36" s="92" t="s">
        <v>24</v>
      </c>
      <c r="J36" s="94"/>
    </row>
    <row r="37" spans="1:10" s="65" customFormat="1" ht="60" customHeight="1" x14ac:dyDescent="0.25">
      <c r="A37" s="90" t="s">
        <v>80</v>
      </c>
      <c r="B37" s="91" t="s">
        <v>599</v>
      </c>
      <c r="C37" s="91" t="str">
        <f t="shared" si="0"/>
        <v>PAR. 2.5.2-033-21</v>
      </c>
      <c r="D37" s="92" t="s">
        <v>77</v>
      </c>
      <c r="E37" s="93" t="s">
        <v>128</v>
      </c>
      <c r="F37" s="92" t="str">
        <f t="shared" si="1"/>
        <v>TF021.UC02</v>
      </c>
      <c r="G37" s="93" t="s">
        <v>131</v>
      </c>
      <c r="H37" s="92">
        <v>2</v>
      </c>
      <c r="I37" s="92" t="s">
        <v>24</v>
      </c>
      <c r="J37" s="94"/>
    </row>
    <row r="38" spans="1:10" s="65" customFormat="1" ht="60" customHeight="1" x14ac:dyDescent="0.25">
      <c r="A38" s="90" t="s">
        <v>80</v>
      </c>
      <c r="B38" s="91" t="s">
        <v>599</v>
      </c>
      <c r="C38" s="91" t="str">
        <f t="shared" si="0"/>
        <v>PAR. 2.5.2-033-21</v>
      </c>
      <c r="D38" s="92" t="s">
        <v>78</v>
      </c>
      <c r="E38" s="93" t="s">
        <v>129</v>
      </c>
      <c r="F38" s="92" t="str">
        <f t="shared" si="1"/>
        <v>TF021.UC03</v>
      </c>
      <c r="G38" s="93" t="s">
        <v>132</v>
      </c>
      <c r="H38" s="92">
        <v>2</v>
      </c>
      <c r="I38" s="92" t="s">
        <v>24</v>
      </c>
      <c r="J38" s="94"/>
    </row>
    <row r="39" spans="1:10" s="65" customFormat="1" ht="45" customHeight="1" x14ac:dyDescent="0.25">
      <c r="A39" s="90" t="s">
        <v>80</v>
      </c>
      <c r="B39" s="91" t="s">
        <v>600</v>
      </c>
      <c r="C39" s="91" t="str">
        <f t="shared" si="0"/>
        <v>PAR. 2.6.1.1-033-22</v>
      </c>
      <c r="D39" s="92" t="s">
        <v>76</v>
      </c>
      <c r="E39" s="93" t="s">
        <v>133</v>
      </c>
      <c r="F39" s="92" t="str">
        <f t="shared" si="1"/>
        <v>TF022.UC01</v>
      </c>
      <c r="G39" s="93" t="s">
        <v>134</v>
      </c>
      <c r="H39" s="92">
        <v>2</v>
      </c>
      <c r="I39" s="92" t="s">
        <v>24</v>
      </c>
      <c r="J39" s="94"/>
    </row>
    <row r="40" spans="1:10" s="65" customFormat="1" ht="135" customHeight="1" x14ac:dyDescent="0.25">
      <c r="A40" s="90" t="s">
        <v>80</v>
      </c>
      <c r="B40" s="91" t="s">
        <v>601</v>
      </c>
      <c r="C40" s="91" t="str">
        <f t="shared" si="0"/>
        <v>PAR. 2.6.1.1.1-033-23</v>
      </c>
      <c r="D40" s="92" t="s">
        <v>76</v>
      </c>
      <c r="E40" s="93" t="s">
        <v>135</v>
      </c>
      <c r="F40" s="92" t="str">
        <f t="shared" si="1"/>
        <v>TF023.UC01</v>
      </c>
      <c r="G40" s="93" t="s">
        <v>167</v>
      </c>
      <c r="H40" s="92">
        <v>2</v>
      </c>
      <c r="I40" s="92" t="s">
        <v>24</v>
      </c>
      <c r="J40" s="94"/>
    </row>
    <row r="41" spans="1:10" s="65" customFormat="1" ht="30" customHeight="1" x14ac:dyDescent="0.25">
      <c r="A41" s="90" t="s">
        <v>80</v>
      </c>
      <c r="B41" s="91" t="s">
        <v>602</v>
      </c>
      <c r="C41" s="91" t="str">
        <f t="shared" si="0"/>
        <v>PAR. 2.8.1-033-24</v>
      </c>
      <c r="D41" s="92" t="s">
        <v>76</v>
      </c>
      <c r="E41" s="93" t="s">
        <v>137</v>
      </c>
      <c r="F41" s="92" t="str">
        <f t="shared" si="1"/>
        <v>TF024.UC01</v>
      </c>
      <c r="G41" s="93" t="s">
        <v>138</v>
      </c>
      <c r="H41" s="92">
        <v>2</v>
      </c>
      <c r="I41" s="92" t="s">
        <v>24</v>
      </c>
      <c r="J41" s="94"/>
    </row>
    <row r="42" spans="1:10" s="65" customFormat="1" ht="210" customHeight="1" x14ac:dyDescent="0.25">
      <c r="A42" s="90" t="s">
        <v>80</v>
      </c>
      <c r="B42" s="91" t="s">
        <v>603</v>
      </c>
      <c r="C42" s="91" t="str">
        <f t="shared" si="0"/>
        <v>PAR. 2.8.2.1-033-25</v>
      </c>
      <c r="D42" s="92" t="s">
        <v>76</v>
      </c>
      <c r="E42" s="93" t="s">
        <v>135</v>
      </c>
      <c r="F42" s="92" t="str">
        <f t="shared" si="1"/>
        <v>TF025.UC01</v>
      </c>
      <c r="G42" s="93" t="s">
        <v>168</v>
      </c>
      <c r="H42" s="92">
        <v>2</v>
      </c>
      <c r="I42" s="92" t="s">
        <v>24</v>
      </c>
      <c r="J42" s="94"/>
    </row>
    <row r="43" spans="1:10" s="65" customFormat="1" ht="135" customHeight="1" x14ac:dyDescent="0.25">
      <c r="A43" s="90" t="s">
        <v>80</v>
      </c>
      <c r="B43" s="91" t="s">
        <v>604</v>
      </c>
      <c r="C43" s="91" t="str">
        <f t="shared" si="0"/>
        <v>PAR. 2.8.2.2-033-26</v>
      </c>
      <c r="D43" s="92" t="s">
        <v>76</v>
      </c>
      <c r="E43" s="93" t="s">
        <v>135</v>
      </c>
      <c r="F43" s="92" t="str">
        <f t="shared" si="1"/>
        <v>TF026.UC01</v>
      </c>
      <c r="G43" s="93" t="s">
        <v>169</v>
      </c>
      <c r="H43" s="92">
        <v>2</v>
      </c>
      <c r="I43" s="92" t="s">
        <v>24</v>
      </c>
      <c r="J43" s="94"/>
    </row>
    <row r="44" spans="1:10" s="65" customFormat="1" ht="30" customHeight="1" x14ac:dyDescent="0.25">
      <c r="A44" s="90" t="s">
        <v>80</v>
      </c>
      <c r="B44" s="91" t="s">
        <v>605</v>
      </c>
      <c r="C44" s="91" t="str">
        <f t="shared" si="0"/>
        <v>PAR. 2.9.1-033-27</v>
      </c>
      <c r="D44" s="92" t="s">
        <v>76</v>
      </c>
      <c r="E44" s="93" t="s">
        <v>139</v>
      </c>
      <c r="F44" s="92" t="str">
        <f t="shared" si="1"/>
        <v>TF027.UC01</v>
      </c>
      <c r="G44" s="93" t="s">
        <v>140</v>
      </c>
      <c r="H44" s="92">
        <v>3</v>
      </c>
      <c r="I44" s="92" t="s">
        <v>25</v>
      </c>
      <c r="J44" s="94"/>
    </row>
    <row r="45" spans="1:10" s="65" customFormat="1" ht="30" customHeight="1" x14ac:dyDescent="0.25">
      <c r="A45" s="90" t="s">
        <v>80</v>
      </c>
      <c r="B45" s="91" t="s">
        <v>606</v>
      </c>
      <c r="C45" s="91" t="str">
        <f t="shared" si="0"/>
        <v>PAR. 2.9.2-033-28</v>
      </c>
      <c r="D45" s="92" t="s">
        <v>76</v>
      </c>
      <c r="E45" s="93" t="s">
        <v>141</v>
      </c>
      <c r="F45" s="92" t="str">
        <f t="shared" si="1"/>
        <v>TF028.UC01</v>
      </c>
      <c r="G45" s="93" t="s">
        <v>142</v>
      </c>
      <c r="H45" s="92">
        <v>3</v>
      </c>
      <c r="I45" s="92" t="s">
        <v>25</v>
      </c>
      <c r="J45" s="94"/>
    </row>
    <row r="46" spans="1:10" s="65" customFormat="1" ht="45" x14ac:dyDescent="0.25">
      <c r="A46" s="90" t="s">
        <v>80</v>
      </c>
      <c r="B46" s="91" t="s">
        <v>607</v>
      </c>
      <c r="C46" s="91" t="str">
        <f t="shared" si="0"/>
        <v>PAR. 2.10-033-29</v>
      </c>
      <c r="D46" s="92" t="s">
        <v>76</v>
      </c>
      <c r="E46" s="93" t="s">
        <v>143</v>
      </c>
      <c r="F46" s="92" t="str">
        <f t="shared" si="1"/>
        <v>TF029.UC01</v>
      </c>
      <c r="G46" s="93" t="s">
        <v>144</v>
      </c>
      <c r="H46" s="92">
        <v>3</v>
      </c>
      <c r="I46" s="92" t="s">
        <v>25</v>
      </c>
      <c r="J46" s="94"/>
    </row>
    <row r="47" spans="1:10" s="66" customFormat="1" ht="45" customHeight="1" thickBot="1" x14ac:dyDescent="0.3">
      <c r="A47" s="162" t="s">
        <v>80</v>
      </c>
      <c r="B47" s="163" t="s">
        <v>653</v>
      </c>
      <c r="C47" s="163" t="str">
        <f t="shared" si="0"/>
        <v>PAR. 2.7-033-30</v>
      </c>
      <c r="D47" s="164" t="s">
        <v>76</v>
      </c>
      <c r="E47" s="165" t="s">
        <v>651</v>
      </c>
      <c r="F47" s="166" t="str">
        <f t="shared" si="1"/>
        <v>TF030.UC01</v>
      </c>
      <c r="G47" s="165" t="s">
        <v>652</v>
      </c>
      <c r="H47" s="167">
        <v>2</v>
      </c>
      <c r="I47" s="167" t="s">
        <v>24</v>
      </c>
      <c r="J47" s="168"/>
    </row>
  </sheetData>
  <mergeCells count="4">
    <mergeCell ref="C1:J1"/>
    <mergeCell ref="C2:J2"/>
    <mergeCell ref="A1:B1"/>
    <mergeCell ref="A2:B2"/>
  </mergeCells>
  <phoneticPr fontId="21" type="noConversion"/>
  <pageMargins left="0.7" right="0.7" top="0.75" bottom="0.75" header="0.3" footer="0.3"/>
  <pageSetup paperSize="9" scale="76" fitToHeight="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60"/>
  <sheetViews>
    <sheetView zoomScaleNormal="100" workbookViewId="0">
      <selection sqref="A1:XFD1048576"/>
    </sheetView>
  </sheetViews>
  <sheetFormatPr defaultColWidth="5.7109375" defaultRowHeight="15" x14ac:dyDescent="0.25"/>
  <cols>
    <col min="1" max="1" width="20.7109375" style="76" customWidth="1"/>
    <col min="2" max="2" width="10.7109375" style="66" customWidth="1"/>
    <col min="3" max="3" width="20.7109375" style="66" customWidth="1"/>
    <col min="4" max="4" width="50.7109375" style="66" customWidth="1"/>
    <col min="5" max="5" width="30.7109375" style="66" customWidth="1"/>
    <col min="6" max="6" width="45.7109375" style="66" customWidth="1"/>
    <col min="7" max="7" width="5.7109375" style="66" customWidth="1"/>
    <col min="8" max="16384" width="5.7109375" style="66"/>
  </cols>
  <sheetData>
    <row r="1" spans="1:7" ht="30" customHeight="1" thickBot="1" x14ac:dyDescent="0.3">
      <c r="A1" s="175" t="s">
        <v>4</v>
      </c>
      <c r="B1" s="200"/>
      <c r="C1" s="196"/>
      <c r="D1" s="174" t="str">
        <f>Copertina!B7</f>
        <v>MEV 2023_33_PST_PagoPA_Step-1</v>
      </c>
      <c r="E1" s="174"/>
      <c r="F1" s="174"/>
      <c r="G1" s="174"/>
    </row>
    <row r="2" spans="1:7" ht="30" customHeight="1" thickBot="1" x14ac:dyDescent="0.3">
      <c r="A2" s="175" t="s">
        <v>11</v>
      </c>
      <c r="B2" s="201"/>
      <c r="C2" s="202"/>
      <c r="D2" s="174" t="str">
        <f>Copertina!B3</f>
        <v>SIUT-SIES-CT-1.0-20240130-Allegato_al_piano_Test_2023_33_PST_PagoPA_Step-1</v>
      </c>
      <c r="E2" s="174"/>
      <c r="F2" s="174"/>
      <c r="G2" s="174"/>
    </row>
    <row r="3" spans="1:7" ht="30" customHeight="1" thickBot="1" x14ac:dyDescent="0.3">
      <c r="A3" s="75" t="s">
        <v>12</v>
      </c>
      <c r="B3" s="203" t="s">
        <v>27</v>
      </c>
      <c r="C3" s="204"/>
      <c r="D3" s="204" t="s">
        <v>29</v>
      </c>
      <c r="E3" s="204"/>
      <c r="F3" s="204" t="s">
        <v>28</v>
      </c>
      <c r="G3" s="205"/>
    </row>
    <row r="4" spans="1:7" ht="45" customHeight="1" thickBot="1" x14ac:dyDescent="0.3">
      <c r="A4" s="71" t="str">
        <f>TabellaTest!F4</f>
        <v>TF001.UC01</v>
      </c>
      <c r="B4" s="184" t="str">
        <f>TabellaTest!C8</f>
        <v>PAR. 2.2-033-02</v>
      </c>
      <c r="C4" s="185"/>
      <c r="D4" s="185" t="str">
        <f>TabellaTest!E4</f>
        <v>Verifica stampa template SIEP_PP_OI_PAGAMENTO_UN.rtf</v>
      </c>
      <c r="E4" s="186"/>
      <c r="F4" s="185" t="str">
        <f>TabellaTest!G4</f>
        <v>Verifica: Verificare che nel sottosistema SIEP a seguito inserimento Ordine Ingiunzione pagamento sia generato template SIEP_PP_OI_PAGAMENTO_UN.rtf</v>
      </c>
      <c r="G4" s="206"/>
    </row>
    <row r="5" spans="1:7" ht="30" customHeight="1" thickBot="1" x14ac:dyDescent="0.3">
      <c r="A5" s="191"/>
      <c r="B5" s="74" t="s">
        <v>31</v>
      </c>
      <c r="C5" s="44" t="s">
        <v>32</v>
      </c>
      <c r="D5" s="29" t="s">
        <v>33</v>
      </c>
      <c r="E5" s="29" t="s">
        <v>34</v>
      </c>
      <c r="F5" s="29" t="s">
        <v>35</v>
      </c>
      <c r="G5" s="30" t="s">
        <v>10</v>
      </c>
    </row>
    <row r="6" spans="1:7" ht="30" customHeight="1" thickBot="1" x14ac:dyDescent="0.3">
      <c r="A6" s="191"/>
      <c r="B6" s="56" t="s">
        <v>36</v>
      </c>
      <c r="C6" s="45" t="s">
        <v>37</v>
      </c>
      <c r="D6" s="46" t="s">
        <v>85</v>
      </c>
      <c r="E6" s="46" t="s">
        <v>86</v>
      </c>
      <c r="F6" s="46"/>
      <c r="G6" s="47"/>
    </row>
    <row r="7" spans="1:7" ht="45" customHeight="1" thickBot="1" x14ac:dyDescent="0.3">
      <c r="A7" s="191"/>
      <c r="B7" s="56" t="s">
        <v>36</v>
      </c>
      <c r="C7" s="45" t="s">
        <v>38</v>
      </c>
      <c r="D7" s="46" t="s">
        <v>178</v>
      </c>
      <c r="E7" s="46"/>
      <c r="F7" s="67"/>
      <c r="G7" s="47"/>
    </row>
    <row r="8" spans="1:7" ht="45" customHeight="1" thickBot="1" x14ac:dyDescent="0.3">
      <c r="A8" s="191"/>
      <c r="B8" s="57">
        <v>1</v>
      </c>
      <c r="C8" s="48" t="s">
        <v>39</v>
      </c>
      <c r="D8" s="49" t="s">
        <v>170</v>
      </c>
      <c r="E8" s="50"/>
      <c r="F8" s="46" t="s">
        <v>171</v>
      </c>
      <c r="G8" s="47"/>
    </row>
    <row r="9" spans="1:7" ht="30" customHeight="1" thickBot="1" x14ac:dyDescent="0.3">
      <c r="A9" s="191"/>
      <c r="B9" s="62">
        <v>2</v>
      </c>
      <c r="C9" s="52" t="s">
        <v>40</v>
      </c>
      <c r="D9" s="46" t="s">
        <v>172</v>
      </c>
      <c r="E9" s="67"/>
      <c r="F9" s="46" t="s">
        <v>173</v>
      </c>
      <c r="G9" s="47"/>
    </row>
    <row r="10" spans="1:7" ht="45" customHeight="1" thickBot="1" x14ac:dyDescent="0.3">
      <c r="A10" s="191"/>
      <c r="B10" s="59">
        <v>3</v>
      </c>
      <c r="C10" s="52" t="s">
        <v>40</v>
      </c>
      <c r="D10" s="46" t="s">
        <v>174</v>
      </c>
      <c r="E10" s="50"/>
      <c r="F10" s="46" t="s">
        <v>87</v>
      </c>
      <c r="G10" s="47"/>
    </row>
    <row r="11" spans="1:7" ht="30" customHeight="1" thickBot="1" x14ac:dyDescent="0.3">
      <c r="A11" s="191"/>
      <c r="B11" s="73" t="s">
        <v>81</v>
      </c>
      <c r="C11" s="70" t="s">
        <v>82</v>
      </c>
      <c r="D11" s="60" t="s">
        <v>175</v>
      </c>
      <c r="E11" s="69"/>
      <c r="F11" s="60"/>
      <c r="G11" s="53" t="s">
        <v>47</v>
      </c>
    </row>
    <row r="12" spans="1:7" ht="30" customHeight="1" thickBot="1" x14ac:dyDescent="0.3">
      <c r="A12" s="71" t="str">
        <f>TabellaTest!F5</f>
        <v>TF001.UC02</v>
      </c>
      <c r="B12" s="184" t="str">
        <f>TabellaTest!C5</f>
        <v>PAR. 2.1-033-01</v>
      </c>
      <c r="C12" s="185"/>
      <c r="D12" s="185" t="str">
        <f>TabellaTest!E5</f>
        <v>Verifica stampa template SIEP_PP_OI_PAGAMENTO_UN_DET.rtf</v>
      </c>
      <c r="E12" s="186"/>
      <c r="F12" s="185" t="str">
        <f>TabellaTest!G17</f>
        <v>Verifica: Verificare nel sottosistema SIEP la  funzionalità "Rinnovo Ricerche per Omesse Notifiche"</v>
      </c>
      <c r="G12" s="206"/>
    </row>
    <row r="13" spans="1:7" ht="30" customHeight="1" thickBot="1" x14ac:dyDescent="0.3">
      <c r="A13" s="191"/>
      <c r="B13" s="74" t="s">
        <v>31</v>
      </c>
      <c r="C13" s="44" t="s">
        <v>32</v>
      </c>
      <c r="D13" s="29" t="s">
        <v>33</v>
      </c>
      <c r="E13" s="29" t="s">
        <v>34</v>
      </c>
      <c r="F13" s="29" t="s">
        <v>35</v>
      </c>
      <c r="G13" s="30" t="s">
        <v>10</v>
      </c>
    </row>
    <row r="14" spans="1:7" ht="30" customHeight="1" thickBot="1" x14ac:dyDescent="0.3">
      <c r="A14" s="191"/>
      <c r="B14" s="56" t="s">
        <v>36</v>
      </c>
      <c r="C14" s="45" t="s">
        <v>37</v>
      </c>
      <c r="D14" s="46" t="s">
        <v>85</v>
      </c>
      <c r="E14" s="46" t="s">
        <v>86</v>
      </c>
      <c r="F14" s="46"/>
      <c r="G14" s="47"/>
    </row>
    <row r="15" spans="1:7" ht="45" customHeight="1" thickBot="1" x14ac:dyDescent="0.3">
      <c r="A15" s="191"/>
      <c r="B15" s="56" t="s">
        <v>36</v>
      </c>
      <c r="C15" s="45" t="s">
        <v>38</v>
      </c>
      <c r="D15" s="46" t="s">
        <v>180</v>
      </c>
      <c r="E15" s="46"/>
      <c r="F15" s="67"/>
      <c r="G15" s="47"/>
    </row>
    <row r="16" spans="1:7" ht="45" customHeight="1" thickBot="1" x14ac:dyDescent="0.3">
      <c r="A16" s="191"/>
      <c r="B16" s="57">
        <v>1</v>
      </c>
      <c r="C16" s="48" t="s">
        <v>39</v>
      </c>
      <c r="D16" s="49" t="s">
        <v>170</v>
      </c>
      <c r="E16" s="50"/>
      <c r="F16" s="46" t="s">
        <v>171</v>
      </c>
      <c r="G16" s="47"/>
    </row>
    <row r="17" spans="1:7" ht="30" customHeight="1" thickBot="1" x14ac:dyDescent="0.3">
      <c r="A17" s="191"/>
      <c r="B17" s="62">
        <v>2</v>
      </c>
      <c r="C17" s="52" t="s">
        <v>40</v>
      </c>
      <c r="D17" s="46" t="s">
        <v>172</v>
      </c>
      <c r="E17" s="67"/>
      <c r="F17" s="46" t="s">
        <v>173</v>
      </c>
      <c r="G17" s="47"/>
    </row>
    <row r="18" spans="1:7" ht="45" customHeight="1" thickBot="1" x14ac:dyDescent="0.3">
      <c r="A18" s="191"/>
      <c r="B18" s="59">
        <v>3</v>
      </c>
      <c r="C18" s="52" t="s">
        <v>40</v>
      </c>
      <c r="D18" s="46" t="s">
        <v>174</v>
      </c>
      <c r="E18" s="50"/>
      <c r="F18" s="46" t="s">
        <v>87</v>
      </c>
      <c r="G18" s="47"/>
    </row>
    <row r="19" spans="1:7" ht="30" customHeight="1" thickBot="1" x14ac:dyDescent="0.3">
      <c r="A19" s="191"/>
      <c r="B19" s="73" t="s">
        <v>81</v>
      </c>
      <c r="C19" s="70" t="s">
        <v>82</v>
      </c>
      <c r="D19" s="60" t="s">
        <v>176</v>
      </c>
      <c r="E19" s="69"/>
      <c r="F19" s="60"/>
      <c r="G19" s="53" t="s">
        <v>47</v>
      </c>
    </row>
    <row r="20" spans="1:7" ht="45" customHeight="1" thickBot="1" x14ac:dyDescent="0.3">
      <c r="A20" s="71" t="str">
        <f>TabellaTest!F6</f>
        <v>TF001.UC03</v>
      </c>
      <c r="B20" s="184" t="str">
        <f>TabellaTest!C6</f>
        <v>PAR. 2.1-033-01</v>
      </c>
      <c r="C20" s="185"/>
      <c r="D20" s="185" t="str">
        <f>TabellaTest!E6</f>
        <v>Verifica stampa template SIEP_PP_OI_PAGAMENTO_RR.rtf</v>
      </c>
      <c r="E20" s="186"/>
      <c r="F20" s="185" t="str">
        <f>TabellaTest!G6</f>
        <v>Verifica: Verificare che nel sottosistema SIEP a seguito inserimento Ordine Ingiunzione pagamento sia generato template SIEP_PP_OI_PAGAMENTO_RR.rtf</v>
      </c>
      <c r="G20" s="206"/>
    </row>
    <row r="21" spans="1:7" ht="30" customHeight="1" thickBot="1" x14ac:dyDescent="0.3">
      <c r="A21" s="191"/>
      <c r="B21" s="74" t="s">
        <v>31</v>
      </c>
      <c r="C21" s="44" t="s">
        <v>32</v>
      </c>
      <c r="D21" s="29" t="s">
        <v>33</v>
      </c>
      <c r="E21" s="29" t="s">
        <v>34</v>
      </c>
      <c r="F21" s="29" t="s">
        <v>35</v>
      </c>
      <c r="G21" s="30" t="s">
        <v>10</v>
      </c>
    </row>
    <row r="22" spans="1:7" ht="30" customHeight="1" thickBot="1" x14ac:dyDescent="0.3">
      <c r="A22" s="191"/>
      <c r="B22" s="56" t="s">
        <v>36</v>
      </c>
      <c r="C22" s="45" t="s">
        <v>37</v>
      </c>
      <c r="D22" s="46" t="s">
        <v>85</v>
      </c>
      <c r="E22" s="46" t="s">
        <v>86</v>
      </c>
      <c r="F22" s="46"/>
      <c r="G22" s="47"/>
    </row>
    <row r="23" spans="1:7" ht="45" customHeight="1" thickBot="1" x14ac:dyDescent="0.3">
      <c r="A23" s="191"/>
      <c r="B23" s="56" t="s">
        <v>36</v>
      </c>
      <c r="C23" s="45" t="s">
        <v>38</v>
      </c>
      <c r="D23" s="46" t="s">
        <v>177</v>
      </c>
      <c r="E23" s="46"/>
      <c r="F23" s="67"/>
      <c r="G23" s="47"/>
    </row>
    <row r="24" spans="1:7" ht="45" customHeight="1" thickBot="1" x14ac:dyDescent="0.3">
      <c r="A24" s="191"/>
      <c r="B24" s="57">
        <v>1</v>
      </c>
      <c r="C24" s="48" t="s">
        <v>39</v>
      </c>
      <c r="D24" s="49" t="s">
        <v>170</v>
      </c>
      <c r="E24" s="50"/>
      <c r="F24" s="46" t="s">
        <v>171</v>
      </c>
      <c r="G24" s="47"/>
    </row>
    <row r="25" spans="1:7" ht="30" customHeight="1" thickBot="1" x14ac:dyDescent="0.3">
      <c r="A25" s="191"/>
      <c r="B25" s="62">
        <v>2</v>
      </c>
      <c r="C25" s="52" t="s">
        <v>40</v>
      </c>
      <c r="D25" s="46" t="s">
        <v>172</v>
      </c>
      <c r="E25" s="67"/>
      <c r="F25" s="46" t="s">
        <v>173</v>
      </c>
      <c r="G25" s="47"/>
    </row>
    <row r="26" spans="1:7" ht="45" customHeight="1" thickBot="1" x14ac:dyDescent="0.3">
      <c r="A26" s="191"/>
      <c r="B26" s="59">
        <v>3</v>
      </c>
      <c r="C26" s="52" t="s">
        <v>40</v>
      </c>
      <c r="D26" s="46" t="s">
        <v>174</v>
      </c>
      <c r="E26" s="50"/>
      <c r="F26" s="46" t="s">
        <v>87</v>
      </c>
      <c r="G26" s="47"/>
    </row>
    <row r="27" spans="1:7" ht="30" customHeight="1" thickBot="1" x14ac:dyDescent="0.3">
      <c r="A27" s="191"/>
      <c r="B27" s="73" t="s">
        <v>81</v>
      </c>
      <c r="C27" s="70" t="s">
        <v>82</v>
      </c>
      <c r="D27" s="60" t="s">
        <v>179</v>
      </c>
      <c r="E27" s="69"/>
      <c r="F27" s="60"/>
      <c r="G27" s="53" t="s">
        <v>47</v>
      </c>
    </row>
    <row r="28" spans="1:7" ht="45" customHeight="1" thickBot="1" x14ac:dyDescent="0.3">
      <c r="A28" s="71" t="str">
        <f>TabellaTest!F7</f>
        <v>TF001.UC04</v>
      </c>
      <c r="B28" s="194" t="str">
        <f>TabellaTest!C7</f>
        <v>PAR. 2.1-033-01</v>
      </c>
      <c r="C28" s="195"/>
      <c r="D28" s="195" t="str">
        <f>TabellaTest!E7</f>
        <v>Verifica stampa template SIEP_PP_OI_PAGAMENTO_RR_DET.rtf</v>
      </c>
      <c r="E28" s="196"/>
      <c r="F28" s="195" t="str">
        <f>TabellaTest!G7</f>
        <v>Verifica: Verificare che nel sottosistema SIEP a seguito inserimento Ordine Ingiunzione pagamento sia generato template SIEP_PP_OI_PAGAMENTO_RR_DET.rtf</v>
      </c>
      <c r="G28" s="196"/>
    </row>
    <row r="29" spans="1:7" ht="30" customHeight="1" thickBot="1" x14ac:dyDescent="0.3">
      <c r="A29" s="191"/>
      <c r="B29" s="74" t="s">
        <v>31</v>
      </c>
      <c r="C29" s="44" t="s">
        <v>32</v>
      </c>
      <c r="D29" s="29" t="s">
        <v>33</v>
      </c>
      <c r="E29" s="29" t="s">
        <v>34</v>
      </c>
      <c r="F29" s="29" t="s">
        <v>35</v>
      </c>
      <c r="G29" s="30" t="s">
        <v>10</v>
      </c>
    </row>
    <row r="30" spans="1:7" ht="30" customHeight="1" thickBot="1" x14ac:dyDescent="0.3">
      <c r="A30" s="191"/>
      <c r="B30" s="56" t="s">
        <v>36</v>
      </c>
      <c r="C30" s="45" t="s">
        <v>37</v>
      </c>
      <c r="D30" s="46" t="s">
        <v>85</v>
      </c>
      <c r="E30" s="46" t="s">
        <v>86</v>
      </c>
      <c r="F30" s="46"/>
      <c r="G30" s="47"/>
    </row>
    <row r="31" spans="1:7" ht="45" customHeight="1" thickBot="1" x14ac:dyDescent="0.3">
      <c r="A31" s="191"/>
      <c r="B31" s="56" t="s">
        <v>36</v>
      </c>
      <c r="C31" s="45" t="s">
        <v>38</v>
      </c>
      <c r="D31" s="46" t="s">
        <v>181</v>
      </c>
      <c r="E31" s="46"/>
      <c r="F31" s="67"/>
      <c r="G31" s="47"/>
    </row>
    <row r="32" spans="1:7" ht="45" customHeight="1" thickBot="1" x14ac:dyDescent="0.3">
      <c r="A32" s="191"/>
      <c r="B32" s="57">
        <v>1</v>
      </c>
      <c r="C32" s="48" t="s">
        <v>39</v>
      </c>
      <c r="D32" s="49" t="s">
        <v>170</v>
      </c>
      <c r="E32" s="50"/>
      <c r="F32" s="46" t="s">
        <v>171</v>
      </c>
      <c r="G32" s="47"/>
    </row>
    <row r="33" spans="1:7" ht="30" customHeight="1" thickBot="1" x14ac:dyDescent="0.3">
      <c r="A33" s="191"/>
      <c r="B33" s="62">
        <v>2</v>
      </c>
      <c r="C33" s="52" t="s">
        <v>40</v>
      </c>
      <c r="D33" s="46" t="s">
        <v>172</v>
      </c>
      <c r="E33" s="67"/>
      <c r="F33" s="46" t="s">
        <v>173</v>
      </c>
      <c r="G33" s="47"/>
    </row>
    <row r="34" spans="1:7" ht="45" customHeight="1" thickBot="1" x14ac:dyDescent="0.3">
      <c r="A34" s="191"/>
      <c r="B34" s="59">
        <v>3</v>
      </c>
      <c r="C34" s="52" t="s">
        <v>40</v>
      </c>
      <c r="D34" s="46" t="s">
        <v>174</v>
      </c>
      <c r="E34" s="50"/>
      <c r="F34" s="46" t="s">
        <v>87</v>
      </c>
      <c r="G34" s="47"/>
    </row>
    <row r="35" spans="1:7" ht="30" customHeight="1" thickBot="1" x14ac:dyDescent="0.3">
      <c r="A35" s="191"/>
      <c r="B35" s="73" t="s">
        <v>81</v>
      </c>
      <c r="C35" s="70" t="s">
        <v>82</v>
      </c>
      <c r="D35" s="60" t="s">
        <v>182</v>
      </c>
      <c r="E35" s="69"/>
      <c r="F35" s="60"/>
      <c r="G35" s="53" t="s">
        <v>47</v>
      </c>
    </row>
    <row r="36" spans="1:7" ht="45" customHeight="1" thickBot="1" x14ac:dyDescent="0.3">
      <c r="A36" s="71" t="str">
        <f>TabellaTest!F8</f>
        <v>TF002.UC01</v>
      </c>
      <c r="B36" s="193" t="str">
        <f>TabellaTest!C8</f>
        <v>PAR. 2.2-033-02</v>
      </c>
      <c r="C36" s="185"/>
      <c r="D36" s="185" t="str">
        <f>TabellaTest!E8</f>
        <v>Verifica presenza link "Pena Pecuniaria sostitutiva"</v>
      </c>
      <c r="E36" s="186"/>
      <c r="F36" s="185" t="str">
        <f>TabellaTest!G8</f>
        <v>Verifica: Verificare che nel sottosistema SIEP nella pagina di dettaglio procedimento sia presente il link "Pena Pecuniaria sostitutiva" (se valorizzata)</v>
      </c>
      <c r="G36" s="206"/>
    </row>
    <row r="37" spans="1:7" ht="30" customHeight="1" thickBot="1" x14ac:dyDescent="0.3">
      <c r="A37" s="191"/>
      <c r="B37" s="74" t="s">
        <v>31</v>
      </c>
      <c r="C37" s="44" t="s">
        <v>32</v>
      </c>
      <c r="D37" s="29" t="s">
        <v>33</v>
      </c>
      <c r="E37" s="29" t="s">
        <v>34</v>
      </c>
      <c r="F37" s="29" t="s">
        <v>35</v>
      </c>
      <c r="G37" s="30" t="s">
        <v>10</v>
      </c>
    </row>
    <row r="38" spans="1:7" ht="30" customHeight="1" thickBot="1" x14ac:dyDescent="0.3">
      <c r="A38" s="191"/>
      <c r="B38" s="56" t="s">
        <v>36</v>
      </c>
      <c r="C38" s="45" t="s">
        <v>37</v>
      </c>
      <c r="D38" s="46" t="s">
        <v>85</v>
      </c>
      <c r="E38" s="46" t="s">
        <v>86</v>
      </c>
      <c r="F38" s="46"/>
      <c r="G38" s="47"/>
    </row>
    <row r="39" spans="1:7" ht="60" customHeight="1" thickBot="1" x14ac:dyDescent="0.3">
      <c r="A39" s="191"/>
      <c r="B39" s="56" t="s">
        <v>36</v>
      </c>
      <c r="C39" s="45" t="s">
        <v>38</v>
      </c>
      <c r="D39" s="46" t="s">
        <v>198</v>
      </c>
      <c r="E39" s="46"/>
      <c r="F39" s="67" t="s">
        <v>201</v>
      </c>
      <c r="G39" s="47"/>
    </row>
    <row r="40" spans="1:7" ht="45" customHeight="1" thickBot="1" x14ac:dyDescent="0.3">
      <c r="A40" s="191"/>
      <c r="B40" s="54" t="s">
        <v>81</v>
      </c>
      <c r="C40" s="55" t="s">
        <v>82</v>
      </c>
      <c r="D40" s="61" t="s">
        <v>199</v>
      </c>
      <c r="E40" s="61"/>
      <c r="F40" s="61" t="s">
        <v>200</v>
      </c>
      <c r="G40" s="47" t="s">
        <v>47</v>
      </c>
    </row>
    <row r="41" spans="1:7" ht="45" customHeight="1" thickBot="1" x14ac:dyDescent="0.3">
      <c r="A41" s="71" t="str">
        <f>TabellaTest!F9</f>
        <v>TF002.UC02</v>
      </c>
      <c r="B41" s="178" t="str">
        <f>TabellaTest!C9</f>
        <v>PAR. 2.2-033-02</v>
      </c>
      <c r="C41" s="179"/>
      <c r="D41" s="188" t="str">
        <f>TabellaTest!E9</f>
        <v>Verifica presenza link "Civilmente Obbligati al pagamento pena pecuniaria"</v>
      </c>
      <c r="E41" s="189"/>
      <c r="F41" s="188" t="str">
        <f>TabellaTest!G9</f>
        <v>Verifica: Verificare che nel sottosistema SIEP nella pagina di dettaglio procedimento sia presente il link "Civilmente Obbligati al pagamento pena pecuniaria" (se presenti)</v>
      </c>
      <c r="G41" s="190"/>
    </row>
    <row r="42" spans="1:7" ht="30" x14ac:dyDescent="0.25">
      <c r="A42" s="197"/>
      <c r="B42" s="35" t="s">
        <v>31</v>
      </c>
      <c r="C42" s="32" t="s">
        <v>32</v>
      </c>
      <c r="D42" s="29" t="s">
        <v>33</v>
      </c>
      <c r="E42" s="29" t="s">
        <v>34</v>
      </c>
      <c r="F42" s="29" t="s">
        <v>35</v>
      </c>
      <c r="G42" s="30" t="s">
        <v>10</v>
      </c>
    </row>
    <row r="43" spans="1:7" ht="30" customHeight="1" x14ac:dyDescent="0.25">
      <c r="A43" s="198"/>
      <c r="B43" s="56" t="s">
        <v>36</v>
      </c>
      <c r="C43" s="45" t="s">
        <v>37</v>
      </c>
      <c r="D43" s="46" t="s">
        <v>85</v>
      </c>
      <c r="E43" s="46" t="s">
        <v>86</v>
      </c>
      <c r="F43" s="46"/>
      <c r="G43" s="47"/>
    </row>
    <row r="44" spans="1:7" ht="60" customHeight="1" x14ac:dyDescent="0.25">
      <c r="A44" s="198"/>
      <c r="B44" s="56" t="s">
        <v>36</v>
      </c>
      <c r="C44" s="45" t="s">
        <v>38</v>
      </c>
      <c r="D44" s="46" t="s">
        <v>202</v>
      </c>
      <c r="E44" s="46"/>
      <c r="F44" s="67" t="s">
        <v>201</v>
      </c>
      <c r="G44" s="47"/>
    </row>
    <row r="45" spans="1:7" ht="30" customHeight="1" thickBot="1" x14ac:dyDescent="0.3">
      <c r="A45" s="198"/>
      <c r="B45" s="54" t="s">
        <v>81</v>
      </c>
      <c r="C45" s="55" t="s">
        <v>82</v>
      </c>
      <c r="D45" s="63" t="s">
        <v>204</v>
      </c>
      <c r="E45" s="63"/>
      <c r="F45" s="63" t="s">
        <v>203</v>
      </c>
      <c r="G45" s="47" t="s">
        <v>47</v>
      </c>
    </row>
    <row r="46" spans="1:7" ht="43.5" customHeight="1" thickBot="1" x14ac:dyDescent="0.3">
      <c r="A46" s="71" t="str">
        <f>TabellaTest!F10</f>
        <v>TF002.UC03</v>
      </c>
      <c r="B46" s="178" t="str">
        <f>TabellaTest!C10</f>
        <v>PAR. 2.2-033-02</v>
      </c>
      <c r="C46" s="179"/>
      <c r="D46" s="188" t="str">
        <f>TabellaTest!E10</f>
        <v>Verifica presenza link "Verifica Stato Pagamenti"</v>
      </c>
      <c r="E46" s="189"/>
      <c r="F46" s="188" t="str">
        <f>TabellaTest!G10</f>
        <v>Verifica: Verificare che nel sottosistema SIEP nella pagina di dettaglio procedimento sia presente il link "Verifica Stato Pagamenti" (se presenti)</v>
      </c>
      <c r="G46" s="190"/>
    </row>
    <row r="47" spans="1:7" ht="41.25" customHeight="1" x14ac:dyDescent="0.25">
      <c r="A47" s="197"/>
      <c r="B47" s="35" t="s">
        <v>31</v>
      </c>
      <c r="C47" s="32" t="s">
        <v>32</v>
      </c>
      <c r="D47" s="29" t="s">
        <v>33</v>
      </c>
      <c r="E47" s="29" t="s">
        <v>34</v>
      </c>
      <c r="F47" s="29" t="s">
        <v>35</v>
      </c>
      <c r="G47" s="30" t="s">
        <v>10</v>
      </c>
    </row>
    <row r="48" spans="1:7" ht="30" customHeight="1" x14ac:dyDescent="0.25">
      <c r="A48" s="198"/>
      <c r="B48" s="56" t="s">
        <v>36</v>
      </c>
      <c r="C48" s="45" t="s">
        <v>37</v>
      </c>
      <c r="D48" s="46" t="s">
        <v>85</v>
      </c>
      <c r="E48" s="46" t="s">
        <v>86</v>
      </c>
      <c r="F48" s="46"/>
      <c r="G48" s="47"/>
    </row>
    <row r="49" spans="1:7" ht="60" customHeight="1" x14ac:dyDescent="0.25">
      <c r="A49" s="198"/>
      <c r="B49" s="56" t="s">
        <v>36</v>
      </c>
      <c r="C49" s="45" t="s">
        <v>38</v>
      </c>
      <c r="D49" s="46" t="s">
        <v>207</v>
      </c>
      <c r="E49" s="46"/>
      <c r="F49" s="67" t="s">
        <v>201</v>
      </c>
      <c r="G49" s="47"/>
    </row>
    <row r="50" spans="1:7" ht="30" customHeight="1" thickBot="1" x14ac:dyDescent="0.3">
      <c r="A50" s="198"/>
      <c r="B50" s="54" t="s">
        <v>81</v>
      </c>
      <c r="C50" s="55" t="s">
        <v>82</v>
      </c>
      <c r="D50" s="63" t="s">
        <v>205</v>
      </c>
      <c r="E50" s="63"/>
      <c r="F50" s="63" t="s">
        <v>206</v>
      </c>
      <c r="G50" s="47" t="s">
        <v>47</v>
      </c>
    </row>
    <row r="51" spans="1:7" ht="42.75" customHeight="1" thickBot="1" x14ac:dyDescent="0.3">
      <c r="A51" s="71" t="str">
        <f>TabellaTest!F11</f>
        <v>TF003.UC01</v>
      </c>
      <c r="B51" s="178" t="str">
        <f>TabellaTest!C11</f>
        <v>PAR. 2.2.2-033-03</v>
      </c>
      <c r="C51" s="179"/>
      <c r="D51" s="188" t="str">
        <f>TabellaTest!E11</f>
        <v>Verifica Inserimento "Notifiche"</v>
      </c>
      <c r="E51" s="189"/>
      <c r="F51" s="188" t="str">
        <f>TabellaTest!G11</f>
        <v>Verifica: Verificare nel sottosistema SIEP che, a seguito Inserimento Notifiche dell'OI il sistema aggiorni le date scadenza dei Bollettini</v>
      </c>
      <c r="G51" s="190"/>
    </row>
    <row r="52" spans="1:7" ht="30.75" thickBot="1" x14ac:dyDescent="0.3">
      <c r="A52" s="191"/>
      <c r="B52" s="36" t="s">
        <v>31</v>
      </c>
      <c r="C52" s="33" t="s">
        <v>32</v>
      </c>
      <c r="D52" s="33" t="s">
        <v>33</v>
      </c>
      <c r="E52" s="33" t="s">
        <v>34</v>
      </c>
      <c r="F52" s="33" t="s">
        <v>35</v>
      </c>
      <c r="G52" s="34" t="s">
        <v>10</v>
      </c>
    </row>
    <row r="53" spans="1:7" ht="30" customHeight="1" thickBot="1" x14ac:dyDescent="0.3">
      <c r="A53" s="191"/>
      <c r="B53" s="56" t="s">
        <v>36</v>
      </c>
      <c r="C53" s="45" t="s">
        <v>37</v>
      </c>
      <c r="D53" s="46" t="s">
        <v>85</v>
      </c>
      <c r="E53" s="46" t="s">
        <v>86</v>
      </c>
      <c r="F53" s="46"/>
      <c r="G53" s="47"/>
    </row>
    <row r="54" spans="1:7" ht="60" customHeight="1" thickBot="1" x14ac:dyDescent="0.3">
      <c r="A54" s="191"/>
      <c r="B54" s="56" t="s">
        <v>36</v>
      </c>
      <c r="C54" s="45" t="s">
        <v>38</v>
      </c>
      <c r="D54" s="46" t="s">
        <v>230</v>
      </c>
      <c r="E54" s="102" t="s">
        <v>218</v>
      </c>
      <c r="F54" s="67" t="s">
        <v>208</v>
      </c>
      <c r="G54" s="47"/>
    </row>
    <row r="55" spans="1:7" ht="30" customHeight="1" thickBot="1" x14ac:dyDescent="0.3">
      <c r="A55" s="191"/>
      <c r="B55" s="57">
        <v>1</v>
      </c>
      <c r="C55" s="48" t="s">
        <v>39</v>
      </c>
      <c r="D55" s="49" t="s">
        <v>209</v>
      </c>
      <c r="E55" s="50"/>
      <c r="F55" s="46" t="s">
        <v>212</v>
      </c>
      <c r="G55" s="47"/>
    </row>
    <row r="56" spans="1:7" ht="30" customHeight="1" thickBot="1" x14ac:dyDescent="0.3">
      <c r="A56" s="191"/>
      <c r="B56" s="97">
        <v>2</v>
      </c>
      <c r="C56" s="52" t="s">
        <v>40</v>
      </c>
      <c r="D56" s="46" t="s">
        <v>210</v>
      </c>
      <c r="E56" s="50"/>
      <c r="F56" s="46" t="s">
        <v>211</v>
      </c>
      <c r="G56" s="47"/>
    </row>
    <row r="57" spans="1:7" ht="45" customHeight="1" thickBot="1" x14ac:dyDescent="0.3">
      <c r="A57" s="191"/>
      <c r="B57" s="98">
        <v>3</v>
      </c>
      <c r="C57" s="99" t="s">
        <v>40</v>
      </c>
      <c r="D57" s="60" t="s">
        <v>213</v>
      </c>
      <c r="E57" s="100"/>
      <c r="F57" s="60" t="s">
        <v>214</v>
      </c>
      <c r="G57" s="53"/>
    </row>
    <row r="58" spans="1:7" ht="30" customHeight="1" thickBot="1" x14ac:dyDescent="0.3">
      <c r="A58" s="191"/>
      <c r="B58" s="98">
        <v>4</v>
      </c>
      <c r="C58" s="99" t="s">
        <v>40</v>
      </c>
      <c r="D58" s="60" t="s">
        <v>215</v>
      </c>
      <c r="E58" s="100"/>
      <c r="F58" s="60" t="s">
        <v>216</v>
      </c>
      <c r="G58" s="53"/>
    </row>
    <row r="59" spans="1:7" ht="30" customHeight="1" thickBot="1" x14ac:dyDescent="0.3">
      <c r="A59" s="191"/>
      <c r="B59" s="54" t="s">
        <v>81</v>
      </c>
      <c r="C59" s="55" t="s">
        <v>82</v>
      </c>
      <c r="D59" s="61" t="s">
        <v>217</v>
      </c>
      <c r="E59" s="68"/>
      <c r="F59" s="101" t="s">
        <v>219</v>
      </c>
      <c r="G59" s="58" t="s">
        <v>47</v>
      </c>
    </row>
    <row r="60" spans="1:7" ht="42.75" customHeight="1" thickBot="1" x14ac:dyDescent="0.3">
      <c r="A60" s="71" t="str">
        <f>TabellaTest!F12</f>
        <v>TF003.UC02</v>
      </c>
      <c r="B60" s="178" t="str">
        <f>TabellaTest!C12</f>
        <v>PAR. 2.2.2-033-03</v>
      </c>
      <c r="C60" s="179"/>
      <c r="D60" s="188" t="str">
        <f>TabellaTest!E12</f>
        <v>Verifica valorizzazione data di scadenza del primo bollettino per rata unica</v>
      </c>
      <c r="E60" s="189"/>
      <c r="F60" s="188" t="str">
        <f>TabellaTest!G12</f>
        <v>Verifica: Verificare nel sottosistema SIEP la correttezza della valorizzazione della data di scadenza del primo bollettino per rata unica</v>
      </c>
      <c r="G60" s="190"/>
    </row>
    <row r="61" spans="1:7" ht="30.75" thickBot="1" x14ac:dyDescent="0.3">
      <c r="A61" s="191"/>
      <c r="B61" s="35" t="s">
        <v>31</v>
      </c>
      <c r="C61" s="32" t="s">
        <v>32</v>
      </c>
      <c r="D61" s="29" t="s">
        <v>33</v>
      </c>
      <c r="E61" s="29" t="s">
        <v>34</v>
      </c>
      <c r="F61" s="29" t="s">
        <v>35</v>
      </c>
      <c r="G61" s="30" t="s">
        <v>10</v>
      </c>
    </row>
    <row r="62" spans="1:7" ht="30" customHeight="1" thickBot="1" x14ac:dyDescent="0.3">
      <c r="A62" s="191"/>
      <c r="B62" s="56" t="s">
        <v>36</v>
      </c>
      <c r="C62" s="45" t="s">
        <v>37</v>
      </c>
      <c r="D62" s="46" t="s">
        <v>85</v>
      </c>
      <c r="E62" s="46" t="s">
        <v>86</v>
      </c>
      <c r="F62" s="46"/>
      <c r="G62" s="47"/>
    </row>
    <row r="63" spans="1:7" ht="60" customHeight="1" thickBot="1" x14ac:dyDescent="0.3">
      <c r="A63" s="191"/>
      <c r="B63" s="56" t="s">
        <v>36</v>
      </c>
      <c r="C63" s="45" t="s">
        <v>38</v>
      </c>
      <c r="D63" s="46" t="s">
        <v>230</v>
      </c>
      <c r="E63" s="102" t="s">
        <v>220</v>
      </c>
      <c r="F63" s="67" t="s">
        <v>208</v>
      </c>
      <c r="G63" s="47"/>
    </row>
    <row r="64" spans="1:7" ht="30" customHeight="1" thickBot="1" x14ac:dyDescent="0.3">
      <c r="A64" s="191"/>
      <c r="B64" s="57">
        <v>1</v>
      </c>
      <c r="C64" s="48" t="s">
        <v>39</v>
      </c>
      <c r="D64" s="49" t="s">
        <v>209</v>
      </c>
      <c r="E64" s="50"/>
      <c r="F64" s="46" t="s">
        <v>212</v>
      </c>
      <c r="G64" s="47"/>
    </row>
    <row r="65" spans="1:7" ht="30" customHeight="1" thickBot="1" x14ac:dyDescent="0.3">
      <c r="A65" s="191"/>
      <c r="B65" s="97">
        <v>2</v>
      </c>
      <c r="C65" s="52" t="s">
        <v>40</v>
      </c>
      <c r="D65" s="46" t="s">
        <v>210</v>
      </c>
      <c r="E65" s="50"/>
      <c r="F65" s="46" t="s">
        <v>211</v>
      </c>
      <c r="G65" s="47"/>
    </row>
    <row r="66" spans="1:7" ht="45" customHeight="1" thickBot="1" x14ac:dyDescent="0.3">
      <c r="A66" s="191"/>
      <c r="B66" s="98">
        <v>3</v>
      </c>
      <c r="C66" s="99" t="s">
        <v>40</v>
      </c>
      <c r="D66" s="60" t="s">
        <v>213</v>
      </c>
      <c r="E66" s="100"/>
      <c r="F66" s="60" t="s">
        <v>214</v>
      </c>
      <c r="G66" s="53"/>
    </row>
    <row r="67" spans="1:7" ht="30" customHeight="1" thickBot="1" x14ac:dyDescent="0.3">
      <c r="A67" s="191"/>
      <c r="B67" s="98">
        <v>4</v>
      </c>
      <c r="C67" s="99" t="s">
        <v>40</v>
      </c>
      <c r="D67" s="60" t="s">
        <v>215</v>
      </c>
      <c r="E67" s="100"/>
      <c r="F67" s="60" t="s">
        <v>216</v>
      </c>
      <c r="G67" s="53"/>
    </row>
    <row r="68" spans="1:7" ht="30" customHeight="1" thickBot="1" x14ac:dyDescent="0.3">
      <c r="A68" s="191"/>
      <c r="B68" s="54" t="s">
        <v>81</v>
      </c>
      <c r="C68" s="55" t="s">
        <v>82</v>
      </c>
      <c r="D68" s="63" t="s">
        <v>217</v>
      </c>
      <c r="E68" s="68"/>
      <c r="F68" s="101" t="s">
        <v>221</v>
      </c>
      <c r="G68" s="58" t="s">
        <v>47</v>
      </c>
    </row>
    <row r="69" spans="1:7" ht="45.75" customHeight="1" thickBot="1" x14ac:dyDescent="0.3">
      <c r="A69" s="72" t="str">
        <f>TabellaTest!F13</f>
        <v>TF003.UC03</v>
      </c>
      <c r="B69" s="192" t="str">
        <f>TabellaTest!C13</f>
        <v>PAR. 2.2.2-033-03</v>
      </c>
      <c r="C69" s="177"/>
      <c r="D69" s="178" t="str">
        <f>TabellaTest!E13</f>
        <v>Verifica valorizzazione data di scadenza bollettini per pagamento rateale</v>
      </c>
      <c r="E69" s="179"/>
      <c r="F69" s="178" t="str">
        <f>TabellaTest!G13</f>
        <v>Verifica: Verificare nel sottosistema SIEP la correttezza della valorizzazione della data di scadenza dei bollettini per pagamento rateale</v>
      </c>
      <c r="G69" s="180"/>
    </row>
    <row r="70" spans="1:7" ht="30" x14ac:dyDescent="0.25">
      <c r="A70" s="197"/>
      <c r="B70" s="35" t="s">
        <v>31</v>
      </c>
      <c r="C70" s="32" t="s">
        <v>32</v>
      </c>
      <c r="D70" s="29" t="s">
        <v>33</v>
      </c>
      <c r="E70" s="29" t="s">
        <v>34</v>
      </c>
      <c r="F70" s="29" t="s">
        <v>35</v>
      </c>
      <c r="G70" s="30" t="s">
        <v>10</v>
      </c>
    </row>
    <row r="71" spans="1:7" ht="30" customHeight="1" x14ac:dyDescent="0.25">
      <c r="A71" s="198"/>
      <c r="B71" s="56" t="s">
        <v>36</v>
      </c>
      <c r="C71" s="45" t="s">
        <v>37</v>
      </c>
      <c r="D71" s="46" t="s">
        <v>85</v>
      </c>
      <c r="E71" s="46" t="s">
        <v>86</v>
      </c>
      <c r="F71" s="46"/>
      <c r="G71" s="47"/>
    </row>
    <row r="72" spans="1:7" ht="60" customHeight="1" x14ac:dyDescent="0.25">
      <c r="A72" s="198"/>
      <c r="B72" s="56" t="s">
        <v>36</v>
      </c>
      <c r="C72" s="45" t="s">
        <v>38</v>
      </c>
      <c r="D72" s="46" t="s">
        <v>230</v>
      </c>
      <c r="E72" s="102" t="s">
        <v>222</v>
      </c>
      <c r="F72" s="67" t="s">
        <v>208</v>
      </c>
      <c r="G72" s="47"/>
    </row>
    <row r="73" spans="1:7" ht="30" customHeight="1" x14ac:dyDescent="0.25">
      <c r="A73" s="198"/>
      <c r="B73" s="57">
        <v>1</v>
      </c>
      <c r="C73" s="48" t="s">
        <v>39</v>
      </c>
      <c r="D73" s="49" t="s">
        <v>209</v>
      </c>
      <c r="E73" s="50"/>
      <c r="F73" s="46" t="s">
        <v>212</v>
      </c>
      <c r="G73" s="47"/>
    </row>
    <row r="74" spans="1:7" ht="30" customHeight="1" x14ac:dyDescent="0.25">
      <c r="A74" s="198"/>
      <c r="B74" s="97">
        <v>2</v>
      </c>
      <c r="C74" s="52" t="s">
        <v>40</v>
      </c>
      <c r="D74" s="46" t="s">
        <v>210</v>
      </c>
      <c r="E74" s="50"/>
      <c r="F74" s="46" t="s">
        <v>211</v>
      </c>
      <c r="G74" s="47"/>
    </row>
    <row r="75" spans="1:7" ht="45" customHeight="1" x14ac:dyDescent="0.25">
      <c r="A75" s="198"/>
      <c r="B75" s="98">
        <v>3</v>
      </c>
      <c r="C75" s="99" t="s">
        <v>40</v>
      </c>
      <c r="D75" s="60" t="s">
        <v>213</v>
      </c>
      <c r="E75" s="100"/>
      <c r="F75" s="60" t="s">
        <v>214</v>
      </c>
      <c r="G75" s="53"/>
    </row>
    <row r="76" spans="1:7" ht="30" customHeight="1" x14ac:dyDescent="0.25">
      <c r="A76" s="198"/>
      <c r="B76" s="98">
        <v>4</v>
      </c>
      <c r="C76" s="99" t="s">
        <v>40</v>
      </c>
      <c r="D76" s="60" t="s">
        <v>215</v>
      </c>
      <c r="E76" s="100"/>
      <c r="F76" s="60" t="s">
        <v>216</v>
      </c>
      <c r="G76" s="53"/>
    </row>
    <row r="77" spans="1:7" ht="60" customHeight="1" thickBot="1" x14ac:dyDescent="0.3">
      <c r="A77" s="199"/>
      <c r="B77" s="54" t="s">
        <v>81</v>
      </c>
      <c r="C77" s="55" t="s">
        <v>82</v>
      </c>
      <c r="D77" s="63" t="s">
        <v>217</v>
      </c>
      <c r="E77" s="68"/>
      <c r="F77" s="101" t="s">
        <v>223</v>
      </c>
      <c r="G77" s="58" t="s">
        <v>47</v>
      </c>
    </row>
    <row r="78" spans="1:7" ht="51.75" customHeight="1" thickBot="1" x14ac:dyDescent="0.3">
      <c r="A78" s="71" t="str">
        <f>TabellaTest!F14</f>
        <v>TF003.UC04</v>
      </c>
      <c r="B78" s="176" t="str">
        <f>TabellaTest!C14</f>
        <v>PAR. 2.2.2-033-03</v>
      </c>
      <c r="C78" s="179"/>
      <c r="D78" s="188" t="str">
        <f>TabellaTest!E14</f>
        <v>Verifica presenza link "Visualizza Stato Notifiche"</v>
      </c>
      <c r="E78" s="189"/>
      <c r="F78" s="188" t="str">
        <f>TabellaTest!G14</f>
        <v>Verifica: Verificare che nel sottosistema SIEP nella pagina di dettaglio Ordine di Ingiunzione al Pagamento Pena Pecuniaria sia presente il link "Visualizza Stato Notifiche"</v>
      </c>
      <c r="G78" s="190"/>
    </row>
    <row r="79" spans="1:7" ht="30.75" thickBot="1" x14ac:dyDescent="0.3">
      <c r="A79" s="191"/>
      <c r="B79" s="36" t="s">
        <v>31</v>
      </c>
      <c r="C79" s="33" t="s">
        <v>32</v>
      </c>
      <c r="D79" s="33" t="s">
        <v>33</v>
      </c>
      <c r="E79" s="33" t="s">
        <v>34</v>
      </c>
      <c r="F79" s="33" t="s">
        <v>35</v>
      </c>
      <c r="G79" s="34" t="s">
        <v>10</v>
      </c>
    </row>
    <row r="80" spans="1:7" ht="30" customHeight="1" thickBot="1" x14ac:dyDescent="0.3">
      <c r="A80" s="191"/>
      <c r="B80" s="56" t="s">
        <v>36</v>
      </c>
      <c r="C80" s="45" t="s">
        <v>37</v>
      </c>
      <c r="D80" s="46" t="s">
        <v>85</v>
      </c>
      <c r="E80" s="46" t="s">
        <v>86</v>
      </c>
      <c r="F80" s="46"/>
      <c r="G80" s="47"/>
    </row>
    <row r="81" spans="1:7" ht="60" customHeight="1" thickBot="1" x14ac:dyDescent="0.3">
      <c r="A81" s="191"/>
      <c r="B81" s="56" t="s">
        <v>36</v>
      </c>
      <c r="C81" s="45" t="s">
        <v>38</v>
      </c>
      <c r="D81" s="46" t="s">
        <v>230</v>
      </c>
      <c r="E81" s="102"/>
      <c r="F81" s="67" t="s">
        <v>208</v>
      </c>
      <c r="G81" s="47"/>
    </row>
    <row r="82" spans="1:7" ht="45" customHeight="1" thickBot="1" x14ac:dyDescent="0.3">
      <c r="A82" s="191"/>
      <c r="B82" s="57">
        <v>1</v>
      </c>
      <c r="C82" s="48" t="s">
        <v>39</v>
      </c>
      <c r="D82" s="49" t="s">
        <v>224</v>
      </c>
      <c r="E82" s="50"/>
      <c r="F82" s="46" t="s">
        <v>225</v>
      </c>
      <c r="G82" s="47"/>
    </row>
    <row r="83" spans="1:7" ht="60" customHeight="1" thickBot="1" x14ac:dyDescent="0.3">
      <c r="A83" s="191"/>
      <c r="B83" s="54" t="s">
        <v>81</v>
      </c>
      <c r="C83" s="55" t="s">
        <v>82</v>
      </c>
      <c r="D83" s="63" t="s">
        <v>226</v>
      </c>
      <c r="E83" s="68"/>
      <c r="F83" s="63" t="s">
        <v>227</v>
      </c>
      <c r="G83" s="58" t="s">
        <v>47</v>
      </c>
    </row>
    <row r="84" spans="1:7" ht="50.25" customHeight="1" thickBot="1" x14ac:dyDescent="0.3">
      <c r="A84" s="71" t="str">
        <f>TabellaTest!F15</f>
        <v>TF003.UC05</v>
      </c>
      <c r="B84" s="176" t="str">
        <f>TabellaTest!C15</f>
        <v>PAR. 2.2.2-033-03</v>
      </c>
      <c r="C84" s="177"/>
      <c r="D84" s="178" t="str">
        <f>TabellaTest!E15</f>
        <v>Verifica presenza link "Richiesta Bollettini"</v>
      </c>
      <c r="E84" s="179"/>
      <c r="F84" s="178" t="str">
        <f>TabellaTest!G15</f>
        <v>Verifica: Verificare che nel sottosistema SIEP nella pagina di dettaglio Ordine di Ingiunzione al Pagamento Pena Pecuniaria sia presente il link "Richiesta Bollettini"</v>
      </c>
      <c r="G84" s="180"/>
    </row>
    <row r="85" spans="1:7" ht="30" x14ac:dyDescent="0.25">
      <c r="A85" s="197"/>
      <c r="B85" s="35" t="s">
        <v>31</v>
      </c>
      <c r="C85" s="32" t="s">
        <v>32</v>
      </c>
      <c r="D85" s="29" t="s">
        <v>33</v>
      </c>
      <c r="E85" s="29" t="s">
        <v>34</v>
      </c>
      <c r="F85" s="29" t="s">
        <v>35</v>
      </c>
      <c r="G85" s="30" t="s">
        <v>10</v>
      </c>
    </row>
    <row r="86" spans="1:7" ht="30" customHeight="1" x14ac:dyDescent="0.25">
      <c r="A86" s="198"/>
      <c r="B86" s="56" t="s">
        <v>36</v>
      </c>
      <c r="C86" s="45" t="s">
        <v>37</v>
      </c>
      <c r="D86" s="46" t="s">
        <v>85</v>
      </c>
      <c r="E86" s="46" t="s">
        <v>86</v>
      </c>
      <c r="F86" s="46"/>
      <c r="G86" s="47"/>
    </row>
    <row r="87" spans="1:7" ht="60" customHeight="1" x14ac:dyDescent="0.25">
      <c r="A87" s="198"/>
      <c r="B87" s="56" t="s">
        <v>36</v>
      </c>
      <c r="C87" s="45" t="s">
        <v>38</v>
      </c>
      <c r="D87" s="46" t="s">
        <v>230</v>
      </c>
      <c r="E87" s="102"/>
      <c r="F87" s="67" t="s">
        <v>208</v>
      </c>
      <c r="G87" s="47"/>
    </row>
    <row r="88" spans="1:7" ht="45" customHeight="1" x14ac:dyDescent="0.25">
      <c r="A88" s="198"/>
      <c r="B88" s="57">
        <v>1</v>
      </c>
      <c r="C88" s="48" t="s">
        <v>39</v>
      </c>
      <c r="D88" s="49" t="s">
        <v>224</v>
      </c>
      <c r="E88" s="50"/>
      <c r="F88" s="46" t="s">
        <v>225</v>
      </c>
      <c r="G88" s="47"/>
    </row>
    <row r="89" spans="1:7" ht="45" customHeight="1" thickBot="1" x14ac:dyDescent="0.3">
      <c r="A89" s="199"/>
      <c r="B89" s="54" t="s">
        <v>81</v>
      </c>
      <c r="C89" s="55" t="s">
        <v>82</v>
      </c>
      <c r="D89" s="63" t="s">
        <v>228</v>
      </c>
      <c r="E89" s="68"/>
      <c r="F89" s="63" t="s">
        <v>214</v>
      </c>
      <c r="G89" s="58" t="s">
        <v>47</v>
      </c>
    </row>
    <row r="90" spans="1:7" ht="54.75" customHeight="1" thickBot="1" x14ac:dyDescent="0.3">
      <c r="A90" s="71" t="str">
        <f>TabellaTest!F16</f>
        <v>TF003.UC06</v>
      </c>
      <c r="B90" s="176" t="str">
        <f>TabellaTest!C16</f>
        <v>PAR. 2.2.2-033-03</v>
      </c>
      <c r="C90" s="177"/>
      <c r="D90" s="178" t="str">
        <f>TabellaTest!E16</f>
        <v>Verifica presenza link "Richiesta Generazione Bollettini"</v>
      </c>
      <c r="E90" s="179"/>
      <c r="F90" s="178" t="str">
        <f>TabellaTest!G16</f>
        <v>Verifica: Verificare che nel sottosistema SIEP nella pagina di dettaglio avvenuta notifica alle parti sia presente il link "Richiesta Generazione Bollettini"</v>
      </c>
      <c r="G90" s="180"/>
    </row>
    <row r="91" spans="1:7" ht="30.75" thickBot="1" x14ac:dyDescent="0.3">
      <c r="A91" s="191"/>
      <c r="B91" s="36" t="s">
        <v>31</v>
      </c>
      <c r="C91" s="33" t="s">
        <v>32</v>
      </c>
      <c r="D91" s="33" t="s">
        <v>33</v>
      </c>
      <c r="E91" s="33" t="s">
        <v>34</v>
      </c>
      <c r="F91" s="33" t="s">
        <v>35</v>
      </c>
      <c r="G91" s="34" t="s">
        <v>10</v>
      </c>
    </row>
    <row r="92" spans="1:7" ht="30" customHeight="1" thickBot="1" x14ac:dyDescent="0.3">
      <c r="A92" s="191"/>
      <c r="B92" s="56" t="s">
        <v>36</v>
      </c>
      <c r="C92" s="45" t="s">
        <v>37</v>
      </c>
      <c r="D92" s="46" t="s">
        <v>85</v>
      </c>
      <c r="E92" s="46" t="s">
        <v>86</v>
      </c>
      <c r="F92" s="46"/>
      <c r="G92" s="47"/>
    </row>
    <row r="93" spans="1:7" ht="60" customHeight="1" thickBot="1" x14ac:dyDescent="0.3">
      <c r="A93" s="191"/>
      <c r="B93" s="56" t="s">
        <v>36</v>
      </c>
      <c r="C93" s="45" t="s">
        <v>38</v>
      </c>
      <c r="D93" s="46" t="s">
        <v>230</v>
      </c>
      <c r="E93" s="102"/>
      <c r="F93" s="67" t="s">
        <v>208</v>
      </c>
      <c r="G93" s="47"/>
    </row>
    <row r="94" spans="1:7" ht="30" customHeight="1" thickBot="1" x14ac:dyDescent="0.3">
      <c r="A94" s="191"/>
      <c r="B94" s="57">
        <v>1</v>
      </c>
      <c r="C94" s="48" t="s">
        <v>39</v>
      </c>
      <c r="D94" s="49" t="s">
        <v>209</v>
      </c>
      <c r="E94" s="50"/>
      <c r="F94" s="46" t="s">
        <v>212</v>
      </c>
      <c r="G94" s="47"/>
    </row>
    <row r="95" spans="1:7" ht="30" customHeight="1" thickBot="1" x14ac:dyDescent="0.3">
      <c r="A95" s="191"/>
      <c r="B95" s="97">
        <v>2</v>
      </c>
      <c r="C95" s="52" t="s">
        <v>40</v>
      </c>
      <c r="D95" s="46" t="s">
        <v>210</v>
      </c>
      <c r="E95" s="50"/>
      <c r="F95" s="46" t="s">
        <v>211</v>
      </c>
      <c r="G95" s="47"/>
    </row>
    <row r="96" spans="1:7" ht="45" customHeight="1" thickBot="1" x14ac:dyDescent="0.3">
      <c r="A96" s="191"/>
      <c r="B96" s="54" t="s">
        <v>81</v>
      </c>
      <c r="C96" s="55" t="s">
        <v>82</v>
      </c>
      <c r="D96" s="63" t="s">
        <v>229</v>
      </c>
      <c r="E96" s="68"/>
      <c r="F96" s="63" t="s">
        <v>214</v>
      </c>
      <c r="G96" s="58" t="s">
        <v>47</v>
      </c>
    </row>
    <row r="97" spans="1:7" ht="42.75" customHeight="1" thickBot="1" x14ac:dyDescent="0.3">
      <c r="A97" s="71" t="str">
        <f>TabellaTest!F17</f>
        <v>TF004.UC01</v>
      </c>
      <c r="B97" s="176" t="str">
        <f>TabellaTest!C17</f>
        <v>PAR. 2.2.3-033-04</v>
      </c>
      <c r="C97" s="179"/>
      <c r="D97" s="188" t="str">
        <f>TabellaTest!E17</f>
        <v>Verifica funzionalità "Rinnovo Ricerche per Omesse Notifiche"</v>
      </c>
      <c r="E97" s="189"/>
      <c r="F97" s="188" t="str">
        <f>TabellaTest!G17</f>
        <v>Verifica: Verificare nel sottosistema SIEP la  funzionalità "Rinnovo Ricerche per Omesse Notifiche"</v>
      </c>
      <c r="G97" s="190"/>
    </row>
    <row r="98" spans="1:7" ht="30.75" thickBot="1" x14ac:dyDescent="0.3">
      <c r="A98" s="191"/>
      <c r="B98" s="35" t="s">
        <v>31</v>
      </c>
      <c r="C98" s="32" t="s">
        <v>32</v>
      </c>
      <c r="D98" s="29" t="s">
        <v>33</v>
      </c>
      <c r="E98" s="29" t="s">
        <v>34</v>
      </c>
      <c r="F98" s="29" t="s">
        <v>35</v>
      </c>
      <c r="G98" s="30" t="s">
        <v>10</v>
      </c>
    </row>
    <row r="99" spans="1:7" ht="30" customHeight="1" thickBot="1" x14ac:dyDescent="0.3">
      <c r="A99" s="191"/>
      <c r="B99" s="56" t="s">
        <v>36</v>
      </c>
      <c r="C99" s="45" t="s">
        <v>37</v>
      </c>
      <c r="D99" s="46" t="s">
        <v>85</v>
      </c>
      <c r="E99" s="46" t="s">
        <v>86</v>
      </c>
      <c r="F99" s="46"/>
      <c r="G99" s="47"/>
    </row>
    <row r="100" spans="1:7" ht="60" customHeight="1" thickBot="1" x14ac:dyDescent="0.3">
      <c r="A100" s="191"/>
      <c r="B100" s="56" t="s">
        <v>36</v>
      </c>
      <c r="C100" s="45" t="s">
        <v>38</v>
      </c>
      <c r="D100" s="46" t="s">
        <v>207</v>
      </c>
      <c r="E100" s="46"/>
      <c r="F100" s="67"/>
      <c r="G100" s="47"/>
    </row>
    <row r="101" spans="1:7" ht="45" customHeight="1" thickBot="1" x14ac:dyDescent="0.3">
      <c r="A101" s="191"/>
      <c r="B101" s="57">
        <v>1</v>
      </c>
      <c r="C101" s="48" t="s">
        <v>39</v>
      </c>
      <c r="D101" s="49" t="s">
        <v>231</v>
      </c>
      <c r="E101" s="50"/>
      <c r="F101" s="46" t="s">
        <v>232</v>
      </c>
      <c r="G101" s="47"/>
    </row>
    <row r="102" spans="1:7" ht="30" customHeight="1" thickBot="1" x14ac:dyDescent="0.3">
      <c r="A102" s="191"/>
      <c r="B102" s="97">
        <v>2</v>
      </c>
      <c r="C102" s="52" t="s">
        <v>40</v>
      </c>
      <c r="D102" s="46" t="s">
        <v>233</v>
      </c>
      <c r="E102" s="102" t="s">
        <v>235</v>
      </c>
      <c r="F102" s="46" t="s">
        <v>234</v>
      </c>
      <c r="G102" s="47"/>
    </row>
    <row r="103" spans="1:7" ht="45" customHeight="1" thickBot="1" x14ac:dyDescent="0.3">
      <c r="A103" s="191"/>
      <c r="B103" s="107" t="s">
        <v>81</v>
      </c>
      <c r="C103" s="51" t="s">
        <v>82</v>
      </c>
      <c r="D103" s="46" t="s">
        <v>236</v>
      </c>
      <c r="E103" s="50"/>
      <c r="F103" s="102" t="s">
        <v>237</v>
      </c>
      <c r="G103" s="47" t="s">
        <v>47</v>
      </c>
    </row>
    <row r="104" spans="1:7" ht="75" customHeight="1" thickBot="1" x14ac:dyDescent="0.3">
      <c r="A104" s="191"/>
      <c r="B104" s="105">
        <v>3</v>
      </c>
      <c r="C104" s="106" t="s">
        <v>40</v>
      </c>
      <c r="D104" s="46" t="s">
        <v>238</v>
      </c>
      <c r="E104" s="102" t="s">
        <v>239</v>
      </c>
      <c r="F104" s="46" t="s">
        <v>240</v>
      </c>
      <c r="G104" s="47"/>
    </row>
    <row r="105" spans="1:7" ht="30" customHeight="1" thickBot="1" x14ac:dyDescent="0.3">
      <c r="A105" s="191"/>
      <c r="B105" s="108">
        <v>4</v>
      </c>
      <c r="C105" s="109" t="s">
        <v>40</v>
      </c>
      <c r="D105" s="60" t="s">
        <v>241</v>
      </c>
      <c r="E105" s="110" t="s">
        <v>242</v>
      </c>
      <c r="F105" s="60" t="s">
        <v>243</v>
      </c>
      <c r="G105" s="53"/>
    </row>
    <row r="106" spans="1:7" ht="15" customHeight="1" thickBot="1" x14ac:dyDescent="0.3">
      <c r="A106" s="191"/>
      <c r="B106" s="107" t="s">
        <v>81</v>
      </c>
      <c r="C106" s="51" t="s">
        <v>82</v>
      </c>
      <c r="D106" s="60" t="s">
        <v>244</v>
      </c>
      <c r="E106" s="110"/>
      <c r="F106" s="60"/>
      <c r="G106" s="53" t="s">
        <v>47</v>
      </c>
    </row>
    <row r="107" spans="1:7" ht="30" customHeight="1" thickBot="1" x14ac:dyDescent="0.3">
      <c r="A107" s="191"/>
      <c r="B107" s="111">
        <v>5</v>
      </c>
      <c r="C107" s="52" t="s">
        <v>40</v>
      </c>
      <c r="D107" s="46" t="s">
        <v>210</v>
      </c>
      <c r="E107" s="110" t="s">
        <v>245</v>
      </c>
      <c r="F107" s="60" t="s">
        <v>246</v>
      </c>
      <c r="G107" s="53"/>
    </row>
    <row r="108" spans="1:7" ht="15" customHeight="1" thickBot="1" x14ac:dyDescent="0.3">
      <c r="A108" s="191"/>
      <c r="B108" s="111">
        <v>6</v>
      </c>
      <c r="C108" s="52" t="s">
        <v>40</v>
      </c>
      <c r="D108" s="60" t="s">
        <v>247</v>
      </c>
      <c r="E108" s="110"/>
      <c r="F108" s="60" t="s">
        <v>248</v>
      </c>
      <c r="G108" s="53"/>
    </row>
    <row r="109" spans="1:7" ht="30" customHeight="1" thickBot="1" x14ac:dyDescent="0.3">
      <c r="A109" s="191"/>
      <c r="B109" s="98">
        <v>7</v>
      </c>
      <c r="C109" s="99" t="s">
        <v>40</v>
      </c>
      <c r="D109" s="60" t="s">
        <v>249</v>
      </c>
      <c r="E109" s="110" t="s">
        <v>250</v>
      </c>
      <c r="F109" s="60" t="s">
        <v>246</v>
      </c>
      <c r="G109" s="53"/>
    </row>
    <row r="110" spans="1:7" ht="45" customHeight="1" thickBot="1" x14ac:dyDescent="0.3">
      <c r="A110" s="191"/>
      <c r="B110" s="57">
        <v>8</v>
      </c>
      <c r="C110" s="48" t="s">
        <v>39</v>
      </c>
      <c r="D110" s="49" t="s">
        <v>231</v>
      </c>
      <c r="E110" s="50"/>
      <c r="F110" s="46" t="s">
        <v>232</v>
      </c>
      <c r="G110" s="47"/>
    </row>
    <row r="111" spans="1:7" ht="30" customHeight="1" thickBot="1" x14ac:dyDescent="0.3">
      <c r="A111" s="191"/>
      <c r="B111" s="97">
        <v>9</v>
      </c>
      <c r="C111" s="52" t="s">
        <v>40</v>
      </c>
      <c r="D111" s="46" t="s">
        <v>233</v>
      </c>
      <c r="E111" s="102"/>
      <c r="F111" s="46" t="s">
        <v>234</v>
      </c>
      <c r="G111" s="47"/>
    </row>
    <row r="112" spans="1:7" ht="30" customHeight="1" thickBot="1" x14ac:dyDescent="0.3">
      <c r="A112" s="191"/>
      <c r="B112" s="54" t="s">
        <v>81</v>
      </c>
      <c r="C112" s="55" t="s">
        <v>82</v>
      </c>
      <c r="D112" s="61" t="s">
        <v>251</v>
      </c>
      <c r="E112" s="68"/>
      <c r="F112" s="61"/>
      <c r="G112" s="58" t="s">
        <v>47</v>
      </c>
    </row>
    <row r="113" spans="1:7" ht="30" customHeight="1" thickBot="1" x14ac:dyDescent="0.3">
      <c r="A113" s="71" t="str">
        <f>TabellaTest!F18</f>
        <v>TF005.UC01</v>
      </c>
      <c r="B113" s="176" t="str">
        <f>TabellaTest!C18</f>
        <v>PAR. 2.2.4-033-05</v>
      </c>
      <c r="C113" s="179"/>
      <c r="D113" s="188" t="str">
        <f>TabellaTest!E18</f>
        <v>Verifica funzionalità  "Richiesta Informazioni comma 5"</v>
      </c>
      <c r="E113" s="189"/>
      <c r="F113" s="188" t="str">
        <f>TabellaTest!G18</f>
        <v>Verifica: Verificare nel sottosistema SIEP la funzionalità "Richiesta Informazioni comma 5"</v>
      </c>
      <c r="G113" s="190"/>
    </row>
    <row r="114" spans="1:7" ht="30" x14ac:dyDescent="0.25">
      <c r="A114" s="197"/>
      <c r="B114" s="35" t="s">
        <v>31</v>
      </c>
      <c r="C114" s="32" t="s">
        <v>32</v>
      </c>
      <c r="D114" s="29" t="s">
        <v>33</v>
      </c>
      <c r="E114" s="29" t="s">
        <v>34</v>
      </c>
      <c r="F114" s="29" t="s">
        <v>35</v>
      </c>
      <c r="G114" s="30" t="s">
        <v>10</v>
      </c>
    </row>
    <row r="115" spans="1:7" ht="30" customHeight="1" x14ac:dyDescent="0.25">
      <c r="A115" s="198"/>
      <c r="B115" s="56" t="s">
        <v>36</v>
      </c>
      <c r="C115" s="45" t="s">
        <v>37</v>
      </c>
      <c r="D115" s="46" t="s">
        <v>85</v>
      </c>
      <c r="E115" s="46" t="s">
        <v>86</v>
      </c>
      <c r="F115" s="46"/>
      <c r="G115" s="47"/>
    </row>
    <row r="116" spans="1:7" ht="60" customHeight="1" x14ac:dyDescent="0.25">
      <c r="A116" s="198"/>
      <c r="B116" s="56" t="s">
        <v>36</v>
      </c>
      <c r="C116" s="45" t="s">
        <v>38</v>
      </c>
      <c r="D116" s="46" t="s">
        <v>207</v>
      </c>
      <c r="E116" s="46"/>
      <c r="F116" s="67"/>
      <c r="G116" s="47"/>
    </row>
    <row r="117" spans="1:7" ht="45" customHeight="1" x14ac:dyDescent="0.25">
      <c r="A117" s="198"/>
      <c r="B117" s="57">
        <v>1</v>
      </c>
      <c r="C117" s="48" t="s">
        <v>39</v>
      </c>
      <c r="D117" s="49" t="s">
        <v>254</v>
      </c>
      <c r="E117" s="50"/>
      <c r="F117" s="46" t="s">
        <v>232</v>
      </c>
      <c r="G117" s="47"/>
    </row>
    <row r="118" spans="1:7" ht="45" customHeight="1" x14ac:dyDescent="0.25">
      <c r="A118" s="198"/>
      <c r="B118" s="97">
        <v>2</v>
      </c>
      <c r="C118" s="52" t="s">
        <v>40</v>
      </c>
      <c r="D118" s="46" t="s">
        <v>233</v>
      </c>
      <c r="E118" s="102" t="s">
        <v>256</v>
      </c>
      <c r="F118" s="46" t="s">
        <v>255</v>
      </c>
      <c r="G118" s="47"/>
    </row>
    <row r="119" spans="1:7" ht="30" customHeight="1" x14ac:dyDescent="0.25">
      <c r="A119" s="198"/>
      <c r="B119" s="105">
        <v>3</v>
      </c>
      <c r="C119" s="106" t="s">
        <v>40</v>
      </c>
      <c r="D119" s="46" t="s">
        <v>210</v>
      </c>
      <c r="E119" s="102"/>
      <c r="F119" s="46" t="s">
        <v>257</v>
      </c>
      <c r="G119" s="47"/>
    </row>
    <row r="120" spans="1:7" ht="30" customHeight="1" x14ac:dyDescent="0.25">
      <c r="A120" s="198"/>
      <c r="B120" s="108">
        <v>4</v>
      </c>
      <c r="C120" s="109" t="s">
        <v>40</v>
      </c>
      <c r="D120" s="60" t="s">
        <v>241</v>
      </c>
      <c r="E120" s="110" t="s">
        <v>242</v>
      </c>
      <c r="F120" s="60" t="s">
        <v>258</v>
      </c>
      <c r="G120" s="53"/>
    </row>
    <row r="121" spans="1:7" ht="15" customHeight="1" x14ac:dyDescent="0.25">
      <c r="A121" s="198"/>
      <c r="B121" s="107" t="s">
        <v>81</v>
      </c>
      <c r="C121" s="51" t="s">
        <v>82</v>
      </c>
      <c r="D121" s="60" t="s">
        <v>244</v>
      </c>
      <c r="E121" s="110"/>
      <c r="F121" s="60"/>
      <c r="G121" s="53" t="s">
        <v>47</v>
      </c>
    </row>
    <row r="122" spans="1:7" ht="30" customHeight="1" x14ac:dyDescent="0.25">
      <c r="A122" s="198"/>
      <c r="B122" s="111">
        <v>5</v>
      </c>
      <c r="C122" s="52" t="s">
        <v>40</v>
      </c>
      <c r="D122" s="46" t="s">
        <v>210</v>
      </c>
      <c r="E122" s="110" t="s">
        <v>259</v>
      </c>
      <c r="F122" s="60" t="s">
        <v>257</v>
      </c>
      <c r="G122" s="53"/>
    </row>
    <row r="123" spans="1:7" ht="15" customHeight="1" x14ac:dyDescent="0.25">
      <c r="A123" s="198"/>
      <c r="B123" s="111">
        <v>6</v>
      </c>
      <c r="C123" s="52" t="s">
        <v>40</v>
      </c>
      <c r="D123" s="60" t="s">
        <v>247</v>
      </c>
      <c r="E123" s="110"/>
      <c r="F123" s="60" t="s">
        <v>260</v>
      </c>
      <c r="G123" s="53"/>
    </row>
    <row r="124" spans="1:7" ht="30" customHeight="1" x14ac:dyDescent="0.25">
      <c r="A124" s="198"/>
      <c r="B124" s="98">
        <v>7</v>
      </c>
      <c r="C124" s="99" t="s">
        <v>40</v>
      </c>
      <c r="D124" s="60" t="s">
        <v>249</v>
      </c>
      <c r="E124" s="110" t="s">
        <v>250</v>
      </c>
      <c r="F124" s="60" t="s">
        <v>257</v>
      </c>
      <c r="G124" s="53"/>
    </row>
    <row r="125" spans="1:7" ht="45" customHeight="1" x14ac:dyDescent="0.25">
      <c r="A125" s="198"/>
      <c r="B125" s="57">
        <v>8</v>
      </c>
      <c r="C125" s="48" t="s">
        <v>39</v>
      </c>
      <c r="D125" s="49" t="s">
        <v>254</v>
      </c>
      <c r="E125" s="50"/>
      <c r="F125" s="46" t="s">
        <v>232</v>
      </c>
      <c r="G125" s="47"/>
    </row>
    <row r="126" spans="1:7" ht="30" customHeight="1" x14ac:dyDescent="0.25">
      <c r="A126" s="198"/>
      <c r="B126" s="97">
        <v>9</v>
      </c>
      <c r="C126" s="52" t="s">
        <v>40</v>
      </c>
      <c r="D126" s="46" t="s">
        <v>233</v>
      </c>
      <c r="E126" s="102"/>
      <c r="F126" s="46" t="s">
        <v>255</v>
      </c>
      <c r="G126" s="47"/>
    </row>
    <row r="127" spans="1:7" ht="30" customHeight="1" thickBot="1" x14ac:dyDescent="0.3">
      <c r="A127" s="199"/>
      <c r="B127" s="54" t="s">
        <v>81</v>
      </c>
      <c r="C127" s="55" t="s">
        <v>82</v>
      </c>
      <c r="D127" s="96" t="s">
        <v>261</v>
      </c>
      <c r="E127" s="68"/>
      <c r="F127" s="96"/>
      <c r="G127" s="58" t="s">
        <v>47</v>
      </c>
    </row>
    <row r="128" spans="1:7" ht="45" customHeight="1" thickBot="1" x14ac:dyDescent="0.3">
      <c r="A128" s="95" t="str">
        <f>TabellaTest!F19</f>
        <v>TF006.UC01</v>
      </c>
      <c r="B128" s="192" t="str">
        <f>TabellaTest!C19</f>
        <v>PAR. 2.2.5-033-06</v>
      </c>
      <c r="C128" s="177"/>
      <c r="D128" s="178" t="str">
        <f>TabellaTest!E19</f>
        <v>Verifica funzionalità "Rinnovazione Notifica successiva alla Richiesta Informazioni"</v>
      </c>
      <c r="E128" s="179"/>
      <c r="F128" s="178" t="str">
        <f>TabellaTest!G19</f>
        <v>Verifica: Verificare nel sottosistema SIEP la funzionalità  "Rinnovazione Notifica successiva alla Richiesta Informazioni"</v>
      </c>
      <c r="G128" s="180"/>
    </row>
    <row r="129" spans="1:7" ht="30.75" thickBot="1" x14ac:dyDescent="0.3">
      <c r="A129" s="191"/>
      <c r="B129" s="35" t="s">
        <v>31</v>
      </c>
      <c r="C129" s="32" t="s">
        <v>32</v>
      </c>
      <c r="D129" s="29" t="s">
        <v>33</v>
      </c>
      <c r="E129" s="29" t="s">
        <v>34</v>
      </c>
      <c r="F129" s="29" t="s">
        <v>35</v>
      </c>
      <c r="G129" s="30" t="s">
        <v>10</v>
      </c>
    </row>
    <row r="130" spans="1:7" ht="30" customHeight="1" thickBot="1" x14ac:dyDescent="0.3">
      <c r="A130" s="191"/>
      <c r="B130" s="56" t="s">
        <v>36</v>
      </c>
      <c r="C130" s="45" t="s">
        <v>37</v>
      </c>
      <c r="D130" s="46" t="s">
        <v>85</v>
      </c>
      <c r="E130" s="46" t="s">
        <v>86</v>
      </c>
      <c r="F130" s="46"/>
      <c r="G130" s="47"/>
    </row>
    <row r="131" spans="1:7" ht="60" customHeight="1" thickBot="1" x14ac:dyDescent="0.3">
      <c r="A131" s="191"/>
      <c r="B131" s="56" t="s">
        <v>36</v>
      </c>
      <c r="C131" s="45" t="s">
        <v>38</v>
      </c>
      <c r="D131" s="46" t="s">
        <v>207</v>
      </c>
      <c r="E131" s="46"/>
      <c r="F131" s="67"/>
      <c r="G131" s="47"/>
    </row>
    <row r="132" spans="1:7" ht="45" customHeight="1" thickBot="1" x14ac:dyDescent="0.3">
      <c r="A132" s="191"/>
      <c r="B132" s="57">
        <v>1</v>
      </c>
      <c r="C132" s="48" t="s">
        <v>39</v>
      </c>
      <c r="D132" s="49" t="s">
        <v>253</v>
      </c>
      <c r="E132" s="50"/>
      <c r="F132" s="46" t="s">
        <v>232</v>
      </c>
      <c r="G132" s="47"/>
    </row>
    <row r="133" spans="1:7" ht="30" customHeight="1" thickBot="1" x14ac:dyDescent="0.3">
      <c r="A133" s="191"/>
      <c r="B133" s="97">
        <v>2</v>
      </c>
      <c r="C133" s="52" t="s">
        <v>40</v>
      </c>
      <c r="D133" s="46" t="s">
        <v>233</v>
      </c>
      <c r="E133" s="102" t="s">
        <v>263</v>
      </c>
      <c r="F133" s="46" t="s">
        <v>262</v>
      </c>
      <c r="G133" s="47"/>
    </row>
    <row r="134" spans="1:7" ht="30" customHeight="1" thickBot="1" x14ac:dyDescent="0.3">
      <c r="A134" s="191"/>
      <c r="B134" s="105">
        <v>3</v>
      </c>
      <c r="C134" s="106" t="s">
        <v>40</v>
      </c>
      <c r="D134" s="46" t="s">
        <v>210</v>
      </c>
      <c r="E134" s="102"/>
      <c r="F134" s="46" t="s">
        <v>264</v>
      </c>
      <c r="G134" s="47"/>
    </row>
    <row r="135" spans="1:7" ht="15" customHeight="1" thickBot="1" x14ac:dyDescent="0.3">
      <c r="A135" s="191"/>
      <c r="B135" s="111">
        <v>4</v>
      </c>
      <c r="C135" s="52" t="s">
        <v>40</v>
      </c>
      <c r="D135" s="60" t="s">
        <v>247</v>
      </c>
      <c r="E135" s="110"/>
      <c r="F135" s="60" t="s">
        <v>265</v>
      </c>
      <c r="G135" s="53"/>
    </row>
    <row r="136" spans="1:7" ht="30" customHeight="1" thickBot="1" x14ac:dyDescent="0.3">
      <c r="A136" s="191"/>
      <c r="B136" s="108">
        <v>5</v>
      </c>
      <c r="C136" s="109" t="s">
        <v>40</v>
      </c>
      <c r="D136" s="60" t="s">
        <v>241</v>
      </c>
      <c r="E136" s="110" t="s">
        <v>242</v>
      </c>
      <c r="F136" s="60" t="s">
        <v>266</v>
      </c>
      <c r="G136" s="53"/>
    </row>
    <row r="137" spans="1:7" ht="15" customHeight="1" thickBot="1" x14ac:dyDescent="0.3">
      <c r="A137" s="191"/>
      <c r="B137" s="107" t="s">
        <v>81</v>
      </c>
      <c r="C137" s="51" t="s">
        <v>82</v>
      </c>
      <c r="D137" s="60" t="s">
        <v>244</v>
      </c>
      <c r="E137" s="110"/>
      <c r="F137" s="60"/>
      <c r="G137" s="53" t="s">
        <v>47</v>
      </c>
    </row>
    <row r="138" spans="1:7" ht="30" customHeight="1" thickBot="1" x14ac:dyDescent="0.3">
      <c r="A138" s="191"/>
      <c r="B138" s="111">
        <v>6</v>
      </c>
      <c r="C138" s="52" t="s">
        <v>40</v>
      </c>
      <c r="D138" s="46" t="s">
        <v>210</v>
      </c>
      <c r="E138" s="110" t="s">
        <v>267</v>
      </c>
      <c r="F138" s="60" t="s">
        <v>268</v>
      </c>
      <c r="G138" s="53"/>
    </row>
    <row r="139" spans="1:7" ht="15" customHeight="1" thickBot="1" x14ac:dyDescent="0.3">
      <c r="A139" s="191"/>
      <c r="B139" s="111">
        <v>7</v>
      </c>
      <c r="C139" s="52" t="s">
        <v>40</v>
      </c>
      <c r="D139" s="60" t="s">
        <v>247</v>
      </c>
      <c r="E139" s="110"/>
      <c r="F139" s="60" t="s">
        <v>269</v>
      </c>
      <c r="G139" s="53"/>
    </row>
    <row r="140" spans="1:7" ht="30" customHeight="1" thickBot="1" x14ac:dyDescent="0.3">
      <c r="A140" s="191"/>
      <c r="B140" s="98">
        <v>8</v>
      </c>
      <c r="C140" s="99" t="s">
        <v>40</v>
      </c>
      <c r="D140" s="60" t="s">
        <v>249</v>
      </c>
      <c r="E140" s="110" t="s">
        <v>250</v>
      </c>
      <c r="F140" s="60" t="s">
        <v>268</v>
      </c>
      <c r="G140" s="53"/>
    </row>
    <row r="141" spans="1:7" ht="45" customHeight="1" thickBot="1" x14ac:dyDescent="0.3">
      <c r="A141" s="191"/>
      <c r="B141" s="57">
        <v>9</v>
      </c>
      <c r="C141" s="48" t="s">
        <v>39</v>
      </c>
      <c r="D141" s="49" t="s">
        <v>253</v>
      </c>
      <c r="E141" s="50"/>
      <c r="F141" s="46" t="s">
        <v>232</v>
      </c>
      <c r="G141" s="47"/>
    </row>
    <row r="142" spans="1:7" ht="30" customHeight="1" thickBot="1" x14ac:dyDescent="0.3">
      <c r="A142" s="191"/>
      <c r="B142" s="97">
        <v>10</v>
      </c>
      <c r="C142" s="52" t="s">
        <v>40</v>
      </c>
      <c r="D142" s="46" t="s">
        <v>233</v>
      </c>
      <c r="E142" s="102"/>
      <c r="F142" s="46" t="s">
        <v>266</v>
      </c>
      <c r="G142" s="47"/>
    </row>
    <row r="143" spans="1:7" ht="30" customHeight="1" thickBot="1" x14ac:dyDescent="0.3">
      <c r="A143" s="191"/>
      <c r="B143" s="54" t="s">
        <v>81</v>
      </c>
      <c r="C143" s="55" t="s">
        <v>82</v>
      </c>
      <c r="D143" s="96" t="s">
        <v>270</v>
      </c>
      <c r="E143" s="68"/>
      <c r="F143" s="96"/>
      <c r="G143" s="58" t="s">
        <v>47</v>
      </c>
    </row>
    <row r="144" spans="1:7" ht="30" customHeight="1" thickBot="1" x14ac:dyDescent="0.3">
      <c r="A144" s="71" t="str">
        <f>TabellaTest!F20</f>
        <v>TF007.UC01</v>
      </c>
      <c r="B144" s="176" t="str">
        <f>TabellaTest!C20</f>
        <v>PAR. 2.2.6-033-07</v>
      </c>
      <c r="C144" s="187"/>
      <c r="D144" s="188" t="str">
        <f>TabellaTest!E20</f>
        <v>Verifica  funzionalità "Solleciti"</v>
      </c>
      <c r="E144" s="189"/>
      <c r="F144" s="188" t="str">
        <f>TabellaTest!G20</f>
        <v>Verifica: Verificare nel sottosistema SIEP la funzionalità  "Solleciti"</v>
      </c>
      <c r="G144" s="190"/>
    </row>
    <row r="145" spans="1:7" ht="30.75" thickBot="1" x14ac:dyDescent="0.3">
      <c r="A145" s="191"/>
      <c r="B145" s="35" t="s">
        <v>31</v>
      </c>
      <c r="C145" s="32" t="s">
        <v>32</v>
      </c>
      <c r="D145" s="29" t="s">
        <v>33</v>
      </c>
      <c r="E145" s="29" t="s">
        <v>34</v>
      </c>
      <c r="F145" s="29" t="s">
        <v>35</v>
      </c>
      <c r="G145" s="30" t="s">
        <v>10</v>
      </c>
    </row>
    <row r="146" spans="1:7" ht="30" customHeight="1" thickBot="1" x14ac:dyDescent="0.3">
      <c r="A146" s="191"/>
      <c r="B146" s="56" t="s">
        <v>36</v>
      </c>
      <c r="C146" s="45" t="s">
        <v>37</v>
      </c>
      <c r="D146" s="46" t="s">
        <v>85</v>
      </c>
      <c r="E146" s="46" t="s">
        <v>86</v>
      </c>
      <c r="F146" s="46"/>
      <c r="G146" s="47"/>
    </row>
    <row r="147" spans="1:7" ht="60" customHeight="1" thickBot="1" x14ac:dyDescent="0.3">
      <c r="A147" s="191"/>
      <c r="B147" s="56" t="s">
        <v>36</v>
      </c>
      <c r="C147" s="45" t="s">
        <v>38</v>
      </c>
      <c r="D147" s="46" t="s">
        <v>207</v>
      </c>
      <c r="E147" s="46"/>
      <c r="F147" s="67"/>
      <c r="G147" s="47"/>
    </row>
    <row r="148" spans="1:7" ht="30" customHeight="1" thickBot="1" x14ac:dyDescent="0.3">
      <c r="A148" s="191"/>
      <c r="B148" s="57">
        <v>1</v>
      </c>
      <c r="C148" s="48" t="s">
        <v>39</v>
      </c>
      <c r="D148" s="49" t="s">
        <v>252</v>
      </c>
      <c r="E148" s="50"/>
      <c r="F148" s="46" t="s">
        <v>232</v>
      </c>
      <c r="G148" s="47"/>
    </row>
    <row r="149" spans="1:7" ht="30" customHeight="1" thickBot="1" x14ac:dyDescent="0.3">
      <c r="A149" s="191"/>
      <c r="B149" s="97">
        <v>2</v>
      </c>
      <c r="C149" s="52" t="s">
        <v>40</v>
      </c>
      <c r="D149" s="46" t="s">
        <v>233</v>
      </c>
      <c r="E149" s="102" t="s">
        <v>272</v>
      </c>
      <c r="F149" s="46" t="s">
        <v>271</v>
      </c>
      <c r="G149" s="47"/>
    </row>
    <row r="150" spans="1:7" ht="30" customHeight="1" thickBot="1" x14ac:dyDescent="0.3">
      <c r="A150" s="191"/>
      <c r="B150" s="105">
        <v>3</v>
      </c>
      <c r="C150" s="106" t="s">
        <v>40</v>
      </c>
      <c r="D150" s="46" t="s">
        <v>210</v>
      </c>
      <c r="E150" s="102"/>
      <c r="F150" s="46" t="s">
        <v>273</v>
      </c>
      <c r="G150" s="47"/>
    </row>
    <row r="151" spans="1:7" ht="15" customHeight="1" thickBot="1" x14ac:dyDescent="0.3">
      <c r="A151" s="191"/>
      <c r="B151" s="111">
        <v>4</v>
      </c>
      <c r="C151" s="52" t="s">
        <v>40</v>
      </c>
      <c r="D151" s="60" t="s">
        <v>247</v>
      </c>
      <c r="E151" s="110"/>
      <c r="F151" s="60" t="s">
        <v>274</v>
      </c>
      <c r="G151" s="53"/>
    </row>
    <row r="152" spans="1:7" ht="30" customHeight="1" thickBot="1" x14ac:dyDescent="0.3">
      <c r="A152" s="191"/>
      <c r="B152" s="108">
        <v>5</v>
      </c>
      <c r="C152" s="109" t="s">
        <v>40</v>
      </c>
      <c r="D152" s="60" t="s">
        <v>241</v>
      </c>
      <c r="E152" s="110" t="s">
        <v>242</v>
      </c>
      <c r="F152" s="60" t="s">
        <v>275</v>
      </c>
      <c r="G152" s="53"/>
    </row>
    <row r="153" spans="1:7" ht="15" customHeight="1" thickBot="1" x14ac:dyDescent="0.3">
      <c r="A153" s="191"/>
      <c r="B153" s="107" t="s">
        <v>81</v>
      </c>
      <c r="C153" s="51" t="s">
        <v>82</v>
      </c>
      <c r="D153" s="60" t="s">
        <v>244</v>
      </c>
      <c r="E153" s="110"/>
      <c r="F153" s="60"/>
      <c r="G153" s="53" t="s">
        <v>47</v>
      </c>
    </row>
    <row r="154" spans="1:7" ht="30" customHeight="1" thickBot="1" x14ac:dyDescent="0.3">
      <c r="A154" s="191"/>
      <c r="B154" s="111">
        <v>6</v>
      </c>
      <c r="C154" s="52" t="s">
        <v>40</v>
      </c>
      <c r="D154" s="46" t="s">
        <v>210</v>
      </c>
      <c r="E154" s="110" t="s">
        <v>276</v>
      </c>
      <c r="F154" s="60" t="s">
        <v>277</v>
      </c>
      <c r="G154" s="53"/>
    </row>
    <row r="155" spans="1:7" ht="15" customHeight="1" thickBot="1" x14ac:dyDescent="0.3">
      <c r="A155" s="191"/>
      <c r="B155" s="111">
        <v>7</v>
      </c>
      <c r="C155" s="52" t="s">
        <v>40</v>
      </c>
      <c r="D155" s="60" t="s">
        <v>247</v>
      </c>
      <c r="E155" s="110"/>
      <c r="F155" s="60" t="s">
        <v>278</v>
      </c>
      <c r="G155" s="53"/>
    </row>
    <row r="156" spans="1:7" ht="30" customHeight="1" thickBot="1" x14ac:dyDescent="0.3">
      <c r="A156" s="191"/>
      <c r="B156" s="98">
        <v>8</v>
      </c>
      <c r="C156" s="99" t="s">
        <v>40</v>
      </c>
      <c r="D156" s="60" t="s">
        <v>249</v>
      </c>
      <c r="E156" s="110" t="s">
        <v>250</v>
      </c>
      <c r="F156" s="60" t="s">
        <v>277</v>
      </c>
      <c r="G156" s="53"/>
    </row>
    <row r="157" spans="1:7" ht="30" customHeight="1" thickBot="1" x14ac:dyDescent="0.3">
      <c r="A157" s="191"/>
      <c r="B157" s="57">
        <v>9</v>
      </c>
      <c r="C157" s="48" t="s">
        <v>39</v>
      </c>
      <c r="D157" s="49" t="s">
        <v>252</v>
      </c>
      <c r="E157" s="50"/>
      <c r="F157" s="46" t="s">
        <v>232</v>
      </c>
      <c r="G157" s="47"/>
    </row>
    <row r="158" spans="1:7" ht="30" customHeight="1" thickBot="1" x14ac:dyDescent="0.3">
      <c r="A158" s="191"/>
      <c r="B158" s="97">
        <v>10</v>
      </c>
      <c r="C158" s="52" t="s">
        <v>40</v>
      </c>
      <c r="D158" s="46" t="s">
        <v>233</v>
      </c>
      <c r="E158" s="102"/>
      <c r="F158" s="46" t="s">
        <v>275</v>
      </c>
      <c r="G158" s="47"/>
    </row>
    <row r="159" spans="1:7" ht="30" customHeight="1" thickBot="1" x14ac:dyDescent="0.3">
      <c r="A159" s="191"/>
      <c r="B159" s="54" t="s">
        <v>81</v>
      </c>
      <c r="C159" s="55" t="s">
        <v>82</v>
      </c>
      <c r="D159" s="96" t="s">
        <v>279</v>
      </c>
      <c r="E159" s="68"/>
      <c r="F159" s="96"/>
      <c r="G159" s="58" t="s">
        <v>47</v>
      </c>
    </row>
    <row r="160" spans="1:7" s="122" customFormat="1" ht="105" customHeight="1" thickBot="1" x14ac:dyDescent="0.3">
      <c r="A160" s="144" t="str">
        <f>TabellaTest!F21</f>
        <v>TF008.UC01</v>
      </c>
      <c r="B160" s="211" t="str">
        <f>TabellaTest!C21</f>
        <v>PAR. 2.3-033-08</v>
      </c>
      <c r="C160" s="212"/>
      <c r="D160" s="212" t="str">
        <f>TabellaTest!E21</f>
        <v>Verifica presenza nuove funzionalità nel percorso "Gestione Altre Sanzioni &gt;&gt; Ordine Ingiunzione/Altri Provvedimenti"</v>
      </c>
      <c r="E160" s="213"/>
      <c r="F160" s="212" t="str">
        <f>TabellaTest!G21</f>
        <v>Verifica: Verificare nel sottosistema SIEP la presenza dei tabulatori per le funzionalità "Ordine Ingiunzione",  "Nota Trasmissione Bollettini Rate Successive alla Prima", "Rideterminazione della Pena Pecuniaria", "Avviso Mancato Pagamento", "Provvedimento Avvenuto Pagamento", "Trasmissione Atti per la Conversione" e "Definizione Procedimento"</v>
      </c>
      <c r="G160" s="225"/>
    </row>
    <row r="161" spans="1:7" s="122" customFormat="1" ht="30" x14ac:dyDescent="0.25">
      <c r="A161" s="198"/>
      <c r="B161" s="133" t="s">
        <v>31</v>
      </c>
      <c r="C161" s="32" t="s">
        <v>32</v>
      </c>
      <c r="D161" s="29" t="s">
        <v>33</v>
      </c>
      <c r="E161" s="29" t="s">
        <v>34</v>
      </c>
      <c r="F161" s="29" t="s">
        <v>35</v>
      </c>
      <c r="G161" s="30" t="s">
        <v>10</v>
      </c>
    </row>
    <row r="162" spans="1:7" s="122" customFormat="1" ht="30" customHeight="1" x14ac:dyDescent="0.25">
      <c r="A162" s="198"/>
      <c r="B162" s="56" t="s">
        <v>36</v>
      </c>
      <c r="C162" s="45" t="s">
        <v>37</v>
      </c>
      <c r="D162" s="46" t="s">
        <v>85</v>
      </c>
      <c r="E162" s="46" t="s">
        <v>86</v>
      </c>
      <c r="F162" s="46"/>
      <c r="G162" s="47"/>
    </row>
    <row r="163" spans="1:7" s="122" customFormat="1" ht="30" x14ac:dyDescent="0.25">
      <c r="A163" s="198"/>
      <c r="B163" s="56" t="s">
        <v>36</v>
      </c>
      <c r="C163" s="45" t="s">
        <v>38</v>
      </c>
      <c r="D163" s="46" t="s">
        <v>581</v>
      </c>
      <c r="E163" s="46"/>
      <c r="F163" s="127"/>
      <c r="G163" s="47"/>
    </row>
    <row r="164" spans="1:7" s="122" customFormat="1" ht="45" x14ac:dyDescent="0.25">
      <c r="A164" s="198"/>
      <c r="B164" s="57">
        <v>1</v>
      </c>
      <c r="C164" s="48" t="s">
        <v>39</v>
      </c>
      <c r="D164" s="49" t="s">
        <v>580</v>
      </c>
      <c r="E164" s="50"/>
      <c r="F164" s="46" t="s">
        <v>579</v>
      </c>
      <c r="G164" s="47"/>
    </row>
    <row r="165" spans="1:7" s="122" customFormat="1" ht="105" customHeight="1" thickBot="1" x14ac:dyDescent="0.3">
      <c r="A165" s="198"/>
      <c r="B165" s="54" t="s">
        <v>81</v>
      </c>
      <c r="C165" s="55" t="s">
        <v>82</v>
      </c>
      <c r="D165" s="123" t="s">
        <v>578</v>
      </c>
      <c r="E165" s="126"/>
      <c r="F165" s="123"/>
      <c r="G165" s="58" t="s">
        <v>47</v>
      </c>
    </row>
    <row r="166" spans="1:7" s="122" customFormat="1" ht="30" customHeight="1" thickBot="1" x14ac:dyDescent="0.3">
      <c r="A166" s="144" t="str">
        <f>TabellaTest!F22</f>
        <v>TF009.UC01</v>
      </c>
      <c r="B166" s="211" t="str">
        <f>TabellaTest!C22</f>
        <v>PAR. 2.3.1-033-09</v>
      </c>
      <c r="C166" s="212"/>
      <c r="D166" s="212" t="str">
        <f>TabellaTest!E22</f>
        <v>Verifica gestione "Ordine Ingiunzione"</v>
      </c>
      <c r="E166" s="213"/>
      <c r="F166" s="212" t="str">
        <f>TabellaTest!G22</f>
        <v>Verifica: Verificare nel sottosistema SIEP l'utilizzo della funzioni di gestione "Ordine Ingiunzione"</v>
      </c>
      <c r="G166" s="225"/>
    </row>
    <row r="167" spans="1:7" s="122" customFormat="1" ht="30" x14ac:dyDescent="0.25">
      <c r="A167" s="198"/>
      <c r="B167" s="133" t="s">
        <v>31</v>
      </c>
      <c r="C167" s="32" t="s">
        <v>32</v>
      </c>
      <c r="D167" s="29" t="s">
        <v>33</v>
      </c>
      <c r="E167" s="29" t="s">
        <v>34</v>
      </c>
      <c r="F167" s="29" t="s">
        <v>35</v>
      </c>
      <c r="G167" s="30" t="s">
        <v>10</v>
      </c>
    </row>
    <row r="168" spans="1:7" s="122" customFormat="1" ht="30" customHeight="1" x14ac:dyDescent="0.25">
      <c r="A168" s="198"/>
      <c r="B168" s="117" t="s">
        <v>36</v>
      </c>
      <c r="C168" s="45" t="s">
        <v>37</v>
      </c>
      <c r="D168" s="46" t="s">
        <v>85</v>
      </c>
      <c r="E168" s="46" t="s">
        <v>86</v>
      </c>
      <c r="F168" s="46"/>
      <c r="G168" s="47"/>
    </row>
    <row r="169" spans="1:7" s="122" customFormat="1" ht="45" customHeight="1" x14ac:dyDescent="0.25">
      <c r="A169" s="198"/>
      <c r="B169" s="117" t="s">
        <v>36</v>
      </c>
      <c r="C169" s="45" t="s">
        <v>38</v>
      </c>
      <c r="D169" s="46" t="s">
        <v>577</v>
      </c>
      <c r="E169" s="46"/>
      <c r="F169" s="127"/>
      <c r="G169" s="47"/>
    </row>
    <row r="170" spans="1:7" s="122" customFormat="1" ht="75" customHeight="1" x14ac:dyDescent="0.25">
      <c r="A170" s="198"/>
      <c r="B170" s="131">
        <v>1</v>
      </c>
      <c r="C170" s="48" t="s">
        <v>39</v>
      </c>
      <c r="D170" s="49" t="s">
        <v>611</v>
      </c>
      <c r="E170" s="50"/>
      <c r="F170" s="127" t="s">
        <v>576</v>
      </c>
      <c r="G170" s="47"/>
    </row>
    <row r="171" spans="1:7" s="122" customFormat="1" ht="30" customHeight="1" x14ac:dyDescent="0.25">
      <c r="A171" s="198"/>
      <c r="B171" s="97">
        <v>2</v>
      </c>
      <c r="C171" s="52" t="s">
        <v>40</v>
      </c>
      <c r="D171" s="46" t="s">
        <v>575</v>
      </c>
      <c r="E171" s="50"/>
      <c r="F171" s="127" t="s">
        <v>574</v>
      </c>
      <c r="G171" s="47"/>
    </row>
    <row r="172" spans="1:7" s="122" customFormat="1" ht="45" customHeight="1" x14ac:dyDescent="0.25">
      <c r="A172" s="198"/>
      <c r="B172" s="97">
        <v>3</v>
      </c>
      <c r="C172" s="52" t="s">
        <v>40</v>
      </c>
      <c r="D172" s="46" t="s">
        <v>573</v>
      </c>
      <c r="E172" s="50"/>
      <c r="F172" s="46" t="s">
        <v>572</v>
      </c>
      <c r="G172" s="47"/>
    </row>
    <row r="173" spans="1:7" s="122" customFormat="1" ht="30" customHeight="1" x14ac:dyDescent="0.25">
      <c r="A173" s="198"/>
      <c r="B173" s="97">
        <v>4</v>
      </c>
      <c r="C173" s="52" t="s">
        <v>40</v>
      </c>
      <c r="D173" s="46" t="s">
        <v>571</v>
      </c>
      <c r="E173" s="46"/>
      <c r="F173" s="46" t="s">
        <v>570</v>
      </c>
      <c r="G173" s="47"/>
    </row>
    <row r="174" spans="1:7" s="122" customFormat="1" ht="45" customHeight="1" x14ac:dyDescent="0.25">
      <c r="A174" s="198"/>
      <c r="B174" s="97">
        <v>5</v>
      </c>
      <c r="C174" s="52" t="s">
        <v>40</v>
      </c>
      <c r="D174" s="46" t="s">
        <v>569</v>
      </c>
      <c r="E174" s="46"/>
      <c r="F174" s="46" t="s">
        <v>568</v>
      </c>
      <c r="G174" s="47"/>
    </row>
    <row r="175" spans="1:7" s="122" customFormat="1" ht="75" customHeight="1" x14ac:dyDescent="0.25">
      <c r="A175" s="198"/>
      <c r="B175" s="97">
        <v>6</v>
      </c>
      <c r="C175" s="52" t="s">
        <v>40</v>
      </c>
      <c r="D175" s="46" t="s">
        <v>567</v>
      </c>
      <c r="E175" s="46"/>
      <c r="F175" s="46" t="s">
        <v>612</v>
      </c>
      <c r="G175" s="47"/>
    </row>
    <row r="176" spans="1:7" s="122" customFormat="1" ht="30" customHeight="1" x14ac:dyDescent="0.25">
      <c r="A176" s="198"/>
      <c r="B176" s="107" t="s">
        <v>81</v>
      </c>
      <c r="C176" s="51" t="s">
        <v>82</v>
      </c>
      <c r="D176" s="46" t="s">
        <v>566</v>
      </c>
      <c r="E176" s="127"/>
      <c r="F176" s="46"/>
      <c r="G176" s="47" t="s">
        <v>47</v>
      </c>
    </row>
    <row r="177" spans="1:7" s="122" customFormat="1" ht="30" customHeight="1" x14ac:dyDescent="0.25">
      <c r="A177" s="198"/>
      <c r="B177" s="97">
        <v>7</v>
      </c>
      <c r="C177" s="52" t="s">
        <v>40</v>
      </c>
      <c r="D177" s="46" t="s">
        <v>565</v>
      </c>
      <c r="E177" s="46"/>
      <c r="F177" s="46" t="s">
        <v>564</v>
      </c>
      <c r="G177" s="47"/>
    </row>
    <row r="178" spans="1:7" s="122" customFormat="1" ht="45" customHeight="1" thickBot="1" x14ac:dyDescent="0.3">
      <c r="A178" s="198"/>
      <c r="B178" s="107" t="s">
        <v>81</v>
      </c>
      <c r="C178" s="51" t="s">
        <v>82</v>
      </c>
      <c r="D178" s="46" t="s">
        <v>563</v>
      </c>
      <c r="E178" s="127"/>
      <c r="F178" s="46"/>
      <c r="G178" s="47" t="s">
        <v>47</v>
      </c>
    </row>
    <row r="179" spans="1:7" s="122" customFormat="1" ht="45" customHeight="1" thickBot="1" x14ac:dyDescent="0.3">
      <c r="A179" s="144" t="str">
        <f>TabellaTest!F23</f>
        <v>TF010.UC01</v>
      </c>
      <c r="B179" s="211" t="str">
        <f>TabellaTest!C23</f>
        <v>PAR. 2.3.2-033-10</v>
      </c>
      <c r="C179" s="212"/>
      <c r="D179" s="212" t="str">
        <f>TabellaTest!E23</f>
        <v>Verifica gestione "Nota Trasmissione Bollettini Rate Successive alla Prima"</v>
      </c>
      <c r="E179" s="213"/>
      <c r="F179" s="212" t="str">
        <f>TabellaTest!G23</f>
        <v>Verifica: Verificare nel sottosistema SIEP l'utilizzo delle funzioni di gestione "Nota Trasmissione Bollettini Rate Successive alla Prima"</v>
      </c>
      <c r="G179" s="225"/>
    </row>
    <row r="180" spans="1:7" s="122" customFormat="1" ht="30" x14ac:dyDescent="0.25">
      <c r="A180" s="197"/>
      <c r="B180" s="35" t="s">
        <v>31</v>
      </c>
      <c r="C180" s="32" t="s">
        <v>32</v>
      </c>
      <c r="D180" s="29" t="s">
        <v>33</v>
      </c>
      <c r="E180" s="29" t="s">
        <v>34</v>
      </c>
      <c r="F180" s="29" t="s">
        <v>35</v>
      </c>
      <c r="G180" s="30" t="s">
        <v>10</v>
      </c>
    </row>
    <row r="181" spans="1:7" s="122" customFormat="1" ht="30" customHeight="1" x14ac:dyDescent="0.25">
      <c r="A181" s="198"/>
      <c r="B181" s="56" t="s">
        <v>36</v>
      </c>
      <c r="C181" s="45" t="s">
        <v>37</v>
      </c>
      <c r="D181" s="46" t="s">
        <v>85</v>
      </c>
      <c r="E181" s="46" t="s">
        <v>86</v>
      </c>
      <c r="F181" s="46"/>
      <c r="G181" s="47"/>
    </row>
    <row r="182" spans="1:7" s="122" customFormat="1" ht="60" customHeight="1" x14ac:dyDescent="0.25">
      <c r="A182" s="198"/>
      <c r="B182" s="57">
        <v>1</v>
      </c>
      <c r="C182" s="48" t="s">
        <v>39</v>
      </c>
      <c r="D182" s="49" t="s">
        <v>619</v>
      </c>
      <c r="E182" s="50"/>
      <c r="F182" s="46" t="s">
        <v>520</v>
      </c>
      <c r="G182" s="47"/>
    </row>
    <row r="183" spans="1:7" s="122" customFormat="1" ht="60" customHeight="1" x14ac:dyDescent="0.25">
      <c r="A183" s="198"/>
      <c r="B183" s="97">
        <v>2</v>
      </c>
      <c r="C183" s="52" t="s">
        <v>40</v>
      </c>
      <c r="D183" s="46" t="s">
        <v>519</v>
      </c>
      <c r="E183" s="50"/>
      <c r="F183" s="46" t="s">
        <v>628</v>
      </c>
      <c r="G183" s="47"/>
    </row>
    <row r="184" spans="1:7" s="122" customFormat="1" ht="60" customHeight="1" x14ac:dyDescent="0.25">
      <c r="A184" s="198"/>
      <c r="B184" s="97">
        <v>3</v>
      </c>
      <c r="C184" s="52" t="s">
        <v>40</v>
      </c>
      <c r="D184" s="46" t="s">
        <v>518</v>
      </c>
      <c r="E184" s="50"/>
      <c r="F184" s="46" t="s">
        <v>628</v>
      </c>
      <c r="G184" s="47"/>
    </row>
    <row r="185" spans="1:7" s="122" customFormat="1" ht="60" customHeight="1" x14ac:dyDescent="0.25">
      <c r="A185" s="198"/>
      <c r="B185" s="97">
        <v>4</v>
      </c>
      <c r="C185" s="52" t="s">
        <v>40</v>
      </c>
      <c r="D185" s="46" t="s">
        <v>518</v>
      </c>
      <c r="E185" s="50"/>
      <c r="F185" s="46" t="s">
        <v>517</v>
      </c>
      <c r="G185" s="47"/>
    </row>
    <row r="186" spans="1:7" s="122" customFormat="1" ht="60" customHeight="1" x14ac:dyDescent="0.25">
      <c r="A186" s="198"/>
      <c r="B186" s="57">
        <v>5</v>
      </c>
      <c r="C186" s="48" t="s">
        <v>39</v>
      </c>
      <c r="D186" s="49" t="s">
        <v>619</v>
      </c>
      <c r="E186" s="50"/>
      <c r="F186" s="46" t="s">
        <v>627</v>
      </c>
      <c r="G186" s="47"/>
    </row>
    <row r="187" spans="1:7" s="122" customFormat="1" ht="45" customHeight="1" x14ac:dyDescent="0.25">
      <c r="A187" s="198"/>
      <c r="B187" s="97">
        <v>6</v>
      </c>
      <c r="C187" s="52" t="s">
        <v>40</v>
      </c>
      <c r="D187" s="46" t="s">
        <v>516</v>
      </c>
      <c r="E187" s="50"/>
      <c r="F187" s="46" t="s">
        <v>515</v>
      </c>
      <c r="G187" s="47"/>
    </row>
    <row r="188" spans="1:7" s="122" customFormat="1" ht="45" customHeight="1" x14ac:dyDescent="0.25">
      <c r="A188" s="198"/>
      <c r="B188" s="97">
        <v>7</v>
      </c>
      <c r="C188" s="52" t="s">
        <v>40</v>
      </c>
      <c r="D188" s="49" t="s">
        <v>514</v>
      </c>
      <c r="E188" s="50"/>
      <c r="F188" s="46" t="s">
        <v>513</v>
      </c>
      <c r="G188" s="47"/>
    </row>
    <row r="189" spans="1:7" s="122" customFormat="1" ht="30" customHeight="1" x14ac:dyDescent="0.25">
      <c r="A189" s="198"/>
      <c r="B189" s="107" t="s">
        <v>81</v>
      </c>
      <c r="C189" s="51" t="s">
        <v>82</v>
      </c>
      <c r="D189" s="46" t="s">
        <v>387</v>
      </c>
      <c r="E189" s="127"/>
      <c r="F189" s="46"/>
      <c r="G189" s="47" t="s">
        <v>47</v>
      </c>
    </row>
    <row r="190" spans="1:7" s="122" customFormat="1" ht="45" x14ac:dyDescent="0.25">
      <c r="A190" s="198"/>
      <c r="B190" s="117" t="s">
        <v>36</v>
      </c>
      <c r="C190" s="45" t="s">
        <v>38</v>
      </c>
      <c r="D190" s="46" t="s">
        <v>510</v>
      </c>
      <c r="E190" s="46"/>
      <c r="F190" s="127"/>
      <c r="G190" s="47"/>
    </row>
    <row r="191" spans="1:7" s="122" customFormat="1" ht="45" customHeight="1" x14ac:dyDescent="0.25">
      <c r="A191" s="198"/>
      <c r="B191" s="97">
        <v>8</v>
      </c>
      <c r="C191" s="52" t="s">
        <v>40</v>
      </c>
      <c r="D191" s="46" t="s">
        <v>391</v>
      </c>
      <c r="E191" s="50"/>
      <c r="F191" s="46" t="s">
        <v>512</v>
      </c>
      <c r="G191" s="47"/>
    </row>
    <row r="192" spans="1:7" s="122" customFormat="1" ht="45" customHeight="1" x14ac:dyDescent="0.25">
      <c r="A192" s="198"/>
      <c r="B192" s="97">
        <v>9</v>
      </c>
      <c r="C192" s="52" t="s">
        <v>40</v>
      </c>
      <c r="D192" s="46" t="s">
        <v>389</v>
      </c>
      <c r="E192" s="50"/>
      <c r="F192" s="46" t="s">
        <v>511</v>
      </c>
      <c r="G192" s="47"/>
    </row>
    <row r="193" spans="1:7" s="122" customFormat="1" ht="30" customHeight="1" x14ac:dyDescent="0.25">
      <c r="A193" s="198"/>
      <c r="B193" s="107" t="s">
        <v>81</v>
      </c>
      <c r="C193" s="51" t="s">
        <v>82</v>
      </c>
      <c r="D193" s="46" t="s">
        <v>387</v>
      </c>
      <c r="E193" s="127"/>
      <c r="F193" s="46"/>
      <c r="G193" s="47" t="s">
        <v>47</v>
      </c>
    </row>
    <row r="194" spans="1:7" s="122" customFormat="1" ht="45" customHeight="1" x14ac:dyDescent="0.25">
      <c r="A194" s="198"/>
      <c r="B194" s="117" t="s">
        <v>36</v>
      </c>
      <c r="C194" s="45" t="s">
        <v>38</v>
      </c>
      <c r="D194" s="46" t="s">
        <v>510</v>
      </c>
      <c r="E194" s="46"/>
      <c r="F194" s="127"/>
      <c r="G194" s="47"/>
    </row>
    <row r="195" spans="1:7" s="122" customFormat="1" ht="45" customHeight="1" x14ac:dyDescent="0.25">
      <c r="A195" s="198"/>
      <c r="B195" s="97">
        <v>10</v>
      </c>
      <c r="C195" s="52" t="s">
        <v>40</v>
      </c>
      <c r="D195" s="46" t="s">
        <v>385</v>
      </c>
      <c r="E195" s="50"/>
      <c r="F195" s="46" t="s">
        <v>384</v>
      </c>
      <c r="G195" s="47"/>
    </row>
    <row r="196" spans="1:7" s="122" customFormat="1" ht="30" customHeight="1" x14ac:dyDescent="0.25">
      <c r="A196" s="198"/>
      <c r="B196" s="107" t="s">
        <v>81</v>
      </c>
      <c r="C196" s="51" t="s">
        <v>82</v>
      </c>
      <c r="D196" s="46" t="s">
        <v>509</v>
      </c>
      <c r="E196" s="127"/>
      <c r="F196" s="46"/>
      <c r="G196" s="47" t="s">
        <v>47</v>
      </c>
    </row>
    <row r="197" spans="1:7" s="122" customFormat="1" ht="60" customHeight="1" x14ac:dyDescent="0.25">
      <c r="A197" s="198"/>
      <c r="B197" s="111">
        <v>11</v>
      </c>
      <c r="C197" s="52" t="s">
        <v>40</v>
      </c>
      <c r="D197" s="46" t="s">
        <v>508</v>
      </c>
      <c r="E197" s="50"/>
      <c r="F197" s="46" t="s">
        <v>507</v>
      </c>
      <c r="G197" s="47"/>
    </row>
    <row r="198" spans="1:7" s="122" customFormat="1" ht="30" customHeight="1" thickBot="1" x14ac:dyDescent="0.3">
      <c r="A198" s="199"/>
      <c r="B198" s="54" t="s">
        <v>81</v>
      </c>
      <c r="C198" s="55" t="s">
        <v>82</v>
      </c>
      <c r="D198" s="123" t="s">
        <v>464</v>
      </c>
      <c r="E198" s="126"/>
      <c r="F198" s="123"/>
      <c r="G198" s="58" t="s">
        <v>47</v>
      </c>
    </row>
    <row r="199" spans="1:7" s="122" customFormat="1" ht="45" customHeight="1" thickBot="1" x14ac:dyDescent="0.3">
      <c r="A199" s="144" t="str">
        <f>TabellaTest!F24</f>
        <v>TF011.UC01</v>
      </c>
      <c r="B199" s="211" t="str">
        <f>TabellaTest!C24</f>
        <v>PAR. 2.3.4-033-11</v>
      </c>
      <c r="C199" s="212"/>
      <c r="D199" s="212" t="str">
        <f>TabellaTest!E24</f>
        <v>Verifica inserimento "Richiesta Bollettini" - solo prima rata</v>
      </c>
      <c r="E199" s="213"/>
      <c r="F199" s="212" t="str">
        <f>TabellaTest!G24</f>
        <v>Verifica: Verificare il corretto funzionamento nel sottosistema SIEP della funzione "Richiesta Bollettini" - solo prima rata</v>
      </c>
      <c r="G199" s="225"/>
    </row>
    <row r="200" spans="1:7" s="122" customFormat="1" ht="30" x14ac:dyDescent="0.25">
      <c r="A200" s="198"/>
      <c r="B200" s="133" t="s">
        <v>31</v>
      </c>
      <c r="C200" s="32" t="s">
        <v>32</v>
      </c>
      <c r="D200" s="29" t="s">
        <v>33</v>
      </c>
      <c r="E200" s="29" t="s">
        <v>34</v>
      </c>
      <c r="F200" s="29" t="s">
        <v>35</v>
      </c>
      <c r="G200" s="30" t="s">
        <v>10</v>
      </c>
    </row>
    <row r="201" spans="1:7" s="122" customFormat="1" ht="30" customHeight="1" x14ac:dyDescent="0.25">
      <c r="A201" s="198"/>
      <c r="B201" s="117" t="s">
        <v>36</v>
      </c>
      <c r="C201" s="45" t="s">
        <v>37</v>
      </c>
      <c r="D201" s="46" t="s">
        <v>533</v>
      </c>
      <c r="E201" s="46" t="s">
        <v>532</v>
      </c>
      <c r="F201" s="46"/>
      <c r="G201" s="47"/>
    </row>
    <row r="202" spans="1:7" s="122" customFormat="1" ht="60" customHeight="1" x14ac:dyDescent="0.25">
      <c r="A202" s="198"/>
      <c r="B202" s="117" t="s">
        <v>36</v>
      </c>
      <c r="C202" s="45" t="s">
        <v>38</v>
      </c>
      <c r="D202" s="46" t="s">
        <v>554</v>
      </c>
      <c r="E202" s="46"/>
      <c r="F202" s="127"/>
      <c r="G202" s="47"/>
    </row>
    <row r="203" spans="1:7" s="122" customFormat="1" ht="45" customHeight="1" x14ac:dyDescent="0.25">
      <c r="A203" s="198"/>
      <c r="B203" s="131">
        <v>1</v>
      </c>
      <c r="C203" s="48" t="s">
        <v>39</v>
      </c>
      <c r="D203" s="49" t="s">
        <v>613</v>
      </c>
      <c r="E203" s="50"/>
      <c r="F203" s="46" t="s">
        <v>548</v>
      </c>
      <c r="G203" s="47"/>
    </row>
    <row r="204" spans="1:7" s="122" customFormat="1" ht="45" x14ac:dyDescent="0.25">
      <c r="A204" s="198"/>
      <c r="B204" s="97">
        <v>2</v>
      </c>
      <c r="C204" s="52" t="s">
        <v>40</v>
      </c>
      <c r="D204" s="46" t="s">
        <v>553</v>
      </c>
      <c r="E204" s="50"/>
      <c r="F204" s="46" t="s">
        <v>552</v>
      </c>
      <c r="G204" s="47"/>
    </row>
    <row r="205" spans="1:7" s="122" customFormat="1" ht="60" customHeight="1" x14ac:dyDescent="0.25">
      <c r="A205" s="198"/>
      <c r="B205" s="97">
        <v>3</v>
      </c>
      <c r="C205" s="52" t="s">
        <v>40</v>
      </c>
      <c r="D205" s="46" t="s">
        <v>551</v>
      </c>
      <c r="E205" s="50"/>
      <c r="F205" s="46" t="s">
        <v>550</v>
      </c>
      <c r="G205" s="47"/>
    </row>
    <row r="206" spans="1:7" s="122" customFormat="1" ht="60" customHeight="1" x14ac:dyDescent="0.25">
      <c r="A206" s="198"/>
      <c r="B206" s="97">
        <v>4</v>
      </c>
      <c r="C206" s="52" t="s">
        <v>40</v>
      </c>
      <c r="D206" s="46" t="s">
        <v>547</v>
      </c>
      <c r="E206" s="50"/>
      <c r="F206" s="46" t="s">
        <v>549</v>
      </c>
      <c r="G206" s="47"/>
    </row>
    <row r="207" spans="1:7" s="122" customFormat="1" ht="45" customHeight="1" x14ac:dyDescent="0.25">
      <c r="A207" s="198"/>
      <c r="B207" s="131">
        <v>5</v>
      </c>
      <c r="C207" s="48" t="s">
        <v>39</v>
      </c>
      <c r="D207" s="49" t="s">
        <v>615</v>
      </c>
      <c r="E207" s="50"/>
      <c r="F207" s="46" t="s">
        <v>548</v>
      </c>
      <c r="G207" s="47"/>
    </row>
    <row r="208" spans="1:7" s="122" customFormat="1" ht="30" customHeight="1" x14ac:dyDescent="0.25">
      <c r="A208" s="198"/>
      <c r="B208" s="97">
        <v>6</v>
      </c>
      <c r="C208" s="52" t="s">
        <v>40</v>
      </c>
      <c r="D208" s="46" t="s">
        <v>547</v>
      </c>
      <c r="E208" s="50"/>
      <c r="F208" s="46" t="s">
        <v>546</v>
      </c>
      <c r="G208" s="47"/>
    </row>
    <row r="209" spans="1:7" s="122" customFormat="1" ht="75" customHeight="1" x14ac:dyDescent="0.25">
      <c r="A209" s="198"/>
      <c r="B209" s="97">
        <v>7</v>
      </c>
      <c r="C209" s="52" t="s">
        <v>40</v>
      </c>
      <c r="D209" s="46" t="s">
        <v>379</v>
      </c>
      <c r="E209" s="50"/>
      <c r="F209" s="46" t="s">
        <v>545</v>
      </c>
      <c r="G209" s="47"/>
    </row>
    <row r="210" spans="1:7" s="122" customFormat="1" ht="60" customHeight="1" x14ac:dyDescent="0.25">
      <c r="A210" s="198"/>
      <c r="B210" s="97">
        <v>8</v>
      </c>
      <c r="C210" s="52" t="s">
        <v>40</v>
      </c>
      <c r="D210" s="46" t="s">
        <v>544</v>
      </c>
      <c r="E210" s="50"/>
      <c r="F210" s="46" t="s">
        <v>616</v>
      </c>
      <c r="G210" s="47"/>
    </row>
    <row r="211" spans="1:7" s="122" customFormat="1" ht="30" customHeight="1" x14ac:dyDescent="0.25">
      <c r="A211" s="198"/>
      <c r="B211" s="98">
        <v>9</v>
      </c>
      <c r="C211" s="99" t="s">
        <v>40</v>
      </c>
      <c r="D211" s="60" t="s">
        <v>543</v>
      </c>
      <c r="E211" s="100"/>
      <c r="F211" s="60" t="s">
        <v>542</v>
      </c>
      <c r="G211" s="53"/>
    </row>
    <row r="212" spans="1:7" s="122" customFormat="1" ht="30" customHeight="1" x14ac:dyDescent="0.25">
      <c r="A212" s="198"/>
      <c r="B212" s="107" t="s">
        <v>81</v>
      </c>
      <c r="C212" s="51" t="s">
        <v>82</v>
      </c>
      <c r="D212" s="46" t="s">
        <v>541</v>
      </c>
      <c r="E212" s="127"/>
      <c r="F212" s="46"/>
      <c r="G212" s="47" t="s">
        <v>47</v>
      </c>
    </row>
    <row r="213" spans="1:7" s="122" customFormat="1" ht="30" customHeight="1" x14ac:dyDescent="0.25">
      <c r="A213" s="198"/>
      <c r="B213" s="111">
        <v>10</v>
      </c>
      <c r="C213" s="52" t="s">
        <v>40</v>
      </c>
      <c r="D213" s="46" t="s">
        <v>540</v>
      </c>
      <c r="E213" s="50"/>
      <c r="F213" s="46" t="s">
        <v>539</v>
      </c>
      <c r="G213" s="47"/>
    </row>
    <row r="214" spans="1:7" s="122" customFormat="1" ht="30" customHeight="1" thickBot="1" x14ac:dyDescent="0.3">
      <c r="A214" s="198"/>
      <c r="B214" s="121" t="s">
        <v>81</v>
      </c>
      <c r="C214" s="55" t="s">
        <v>82</v>
      </c>
      <c r="D214" s="136" t="s">
        <v>538</v>
      </c>
      <c r="E214" s="126"/>
      <c r="F214" s="136"/>
      <c r="G214" s="58" t="s">
        <v>47</v>
      </c>
    </row>
    <row r="215" spans="1:7" s="122" customFormat="1" ht="45" customHeight="1" thickBot="1" x14ac:dyDescent="0.3">
      <c r="A215" s="144" t="str">
        <f>TabellaTest!F25</f>
        <v>TF011.UC02</v>
      </c>
      <c r="B215" s="211" t="str">
        <f>TabellaTest!C25</f>
        <v>PAR. 2.3.4-033-11</v>
      </c>
      <c r="C215" s="212"/>
      <c r="D215" s="212" t="str">
        <f>TabellaTest!E25</f>
        <v xml:space="preserve">Verifica inserimento "Richiesta Bollettini" - rate successive alla prima </v>
      </c>
      <c r="E215" s="213"/>
      <c r="F215" s="212" t="str">
        <f>TabellaTest!G25</f>
        <v>Verifica: Verificare il corretto funzionamento nel sottosistema SIEP della funzione "Richiesta Bollettini" - rate successive alla prima</v>
      </c>
      <c r="G215" s="225"/>
    </row>
    <row r="216" spans="1:7" s="122" customFormat="1" ht="30" x14ac:dyDescent="0.25">
      <c r="A216" s="198"/>
      <c r="B216" s="133" t="s">
        <v>31</v>
      </c>
      <c r="C216" s="32" t="s">
        <v>32</v>
      </c>
      <c r="D216" s="29" t="s">
        <v>33</v>
      </c>
      <c r="E216" s="29" t="s">
        <v>34</v>
      </c>
      <c r="F216" s="29" t="s">
        <v>35</v>
      </c>
      <c r="G216" s="30" t="s">
        <v>10</v>
      </c>
    </row>
    <row r="217" spans="1:7" s="122" customFormat="1" ht="30" customHeight="1" x14ac:dyDescent="0.25">
      <c r="A217" s="198"/>
      <c r="B217" s="117" t="s">
        <v>36</v>
      </c>
      <c r="C217" s="45" t="s">
        <v>37</v>
      </c>
      <c r="D217" s="46" t="s">
        <v>533</v>
      </c>
      <c r="E217" s="46" t="s">
        <v>532</v>
      </c>
      <c r="F217" s="46"/>
      <c r="G217" s="47"/>
    </row>
    <row r="218" spans="1:7" s="122" customFormat="1" ht="60" customHeight="1" x14ac:dyDescent="0.25">
      <c r="A218" s="198"/>
      <c r="B218" s="117" t="s">
        <v>36</v>
      </c>
      <c r="C218" s="45" t="s">
        <v>38</v>
      </c>
      <c r="D218" s="46" t="s">
        <v>562</v>
      </c>
      <c r="E218" s="46"/>
      <c r="F218" s="127"/>
      <c r="G218" s="47"/>
    </row>
    <row r="219" spans="1:7" s="122" customFormat="1" ht="60" customHeight="1" x14ac:dyDescent="0.25">
      <c r="A219" s="198"/>
      <c r="B219" s="131">
        <v>1</v>
      </c>
      <c r="C219" s="48" t="s">
        <v>39</v>
      </c>
      <c r="D219" s="49" t="s">
        <v>613</v>
      </c>
      <c r="E219" s="50"/>
      <c r="F219" s="46" t="s">
        <v>561</v>
      </c>
      <c r="G219" s="47"/>
    </row>
    <row r="220" spans="1:7" s="122" customFormat="1" ht="45" customHeight="1" x14ac:dyDescent="0.25">
      <c r="A220" s="198"/>
      <c r="B220" s="97">
        <v>2</v>
      </c>
      <c r="C220" s="52" t="s">
        <v>40</v>
      </c>
      <c r="D220" s="46" t="s">
        <v>560</v>
      </c>
      <c r="E220" s="50"/>
      <c r="F220" s="46" t="s">
        <v>548</v>
      </c>
      <c r="G220" s="47"/>
    </row>
    <row r="221" spans="1:7" s="122" customFormat="1" ht="60" customHeight="1" x14ac:dyDescent="0.25">
      <c r="A221" s="198"/>
      <c r="B221" s="97">
        <v>3</v>
      </c>
      <c r="C221" s="52" t="s">
        <v>40</v>
      </c>
      <c r="D221" s="46" t="s">
        <v>551</v>
      </c>
      <c r="E221" s="50"/>
      <c r="F221" s="46" t="s">
        <v>550</v>
      </c>
      <c r="G221" s="47"/>
    </row>
    <row r="222" spans="1:7" s="122" customFormat="1" ht="60" customHeight="1" x14ac:dyDescent="0.25">
      <c r="A222" s="198"/>
      <c r="B222" s="97">
        <v>4</v>
      </c>
      <c r="C222" s="52" t="s">
        <v>40</v>
      </c>
      <c r="D222" s="46" t="s">
        <v>559</v>
      </c>
      <c r="E222" s="50"/>
      <c r="F222" s="46" t="s">
        <v>558</v>
      </c>
      <c r="G222" s="47"/>
    </row>
    <row r="223" spans="1:7" s="122" customFormat="1" ht="45" x14ac:dyDescent="0.25">
      <c r="A223" s="198"/>
      <c r="B223" s="97">
        <v>5</v>
      </c>
      <c r="C223" s="52" t="s">
        <v>40</v>
      </c>
      <c r="D223" s="46" t="s">
        <v>557</v>
      </c>
      <c r="E223" s="50"/>
      <c r="F223" s="46" t="s">
        <v>556</v>
      </c>
      <c r="G223" s="47"/>
    </row>
    <row r="224" spans="1:7" s="122" customFormat="1" ht="30" customHeight="1" x14ac:dyDescent="0.25">
      <c r="A224" s="198"/>
      <c r="B224" s="97">
        <v>6</v>
      </c>
      <c r="C224" s="52" t="s">
        <v>40</v>
      </c>
      <c r="D224" s="46" t="s">
        <v>547</v>
      </c>
      <c r="E224" s="50"/>
      <c r="F224" s="46" t="s">
        <v>546</v>
      </c>
      <c r="G224" s="47"/>
    </row>
    <row r="225" spans="1:7" s="122" customFormat="1" ht="45" x14ac:dyDescent="0.25">
      <c r="A225" s="198"/>
      <c r="B225" s="97">
        <v>7</v>
      </c>
      <c r="C225" s="52" t="s">
        <v>40</v>
      </c>
      <c r="D225" s="46" t="s">
        <v>557</v>
      </c>
      <c r="E225" s="50"/>
      <c r="F225" s="46" t="s">
        <v>556</v>
      </c>
      <c r="G225" s="47"/>
    </row>
    <row r="226" spans="1:7" s="122" customFormat="1" ht="75" customHeight="1" x14ac:dyDescent="0.25">
      <c r="A226" s="198"/>
      <c r="B226" s="97">
        <v>8</v>
      </c>
      <c r="C226" s="52" t="s">
        <v>40</v>
      </c>
      <c r="D226" s="46" t="s">
        <v>379</v>
      </c>
      <c r="E226" s="50"/>
      <c r="F226" s="46" t="s">
        <v>545</v>
      </c>
      <c r="G226" s="47"/>
    </row>
    <row r="227" spans="1:7" s="122" customFormat="1" ht="60" customHeight="1" x14ac:dyDescent="0.25">
      <c r="A227" s="198"/>
      <c r="B227" s="97">
        <v>9</v>
      </c>
      <c r="C227" s="52" t="s">
        <v>40</v>
      </c>
      <c r="D227" s="46" t="s">
        <v>544</v>
      </c>
      <c r="E227" s="50"/>
      <c r="F227" s="46" t="s">
        <v>614</v>
      </c>
      <c r="G227" s="47"/>
    </row>
    <row r="228" spans="1:7" s="122" customFormat="1" ht="30" customHeight="1" x14ac:dyDescent="0.25">
      <c r="A228" s="198"/>
      <c r="B228" s="97">
        <v>10</v>
      </c>
      <c r="C228" s="52" t="s">
        <v>40</v>
      </c>
      <c r="D228" s="60" t="s">
        <v>555</v>
      </c>
      <c r="E228" s="100"/>
      <c r="F228" s="46" t="s">
        <v>542</v>
      </c>
      <c r="G228" s="47"/>
    </row>
    <row r="229" spans="1:7" s="122" customFormat="1" ht="30" customHeight="1" thickBot="1" x14ac:dyDescent="0.3">
      <c r="A229" s="198"/>
      <c r="B229" s="121" t="s">
        <v>81</v>
      </c>
      <c r="C229" s="55" t="s">
        <v>82</v>
      </c>
      <c r="D229" s="125" t="s">
        <v>541</v>
      </c>
      <c r="E229" s="126"/>
      <c r="F229" s="123"/>
      <c r="G229" s="58" t="s">
        <v>47</v>
      </c>
    </row>
    <row r="230" spans="1:7" s="122" customFormat="1" ht="30" customHeight="1" thickBot="1" x14ac:dyDescent="0.3">
      <c r="A230" s="144" t="str">
        <f>TabellaTest!F26</f>
        <v>TF012.UC01</v>
      </c>
      <c r="B230" s="211" t="str">
        <f>TabellaTest!C26</f>
        <v>PAR. 2.3.5-033-12</v>
      </c>
      <c r="C230" s="212"/>
      <c r="D230" s="212" t="str">
        <f>TabellaTest!E26</f>
        <v>Verifica inserimento "Gestione Modalità Pagamento"</v>
      </c>
      <c r="E230" s="213"/>
      <c r="F230" s="212" t="str">
        <f>TabellaTest!G26</f>
        <v>Verifica: Verificare nel sottosistema SIEP l'utilizzo della funzione "Gestione Modalità Pagamento"</v>
      </c>
      <c r="G230" s="225"/>
    </row>
    <row r="231" spans="1:7" s="122" customFormat="1" ht="30" x14ac:dyDescent="0.25">
      <c r="A231" s="198"/>
      <c r="B231" s="133" t="s">
        <v>31</v>
      </c>
      <c r="C231" s="32" t="s">
        <v>32</v>
      </c>
      <c r="D231" s="29" t="s">
        <v>33</v>
      </c>
      <c r="E231" s="29" t="s">
        <v>34</v>
      </c>
      <c r="F231" s="29" t="s">
        <v>35</v>
      </c>
      <c r="G231" s="30" t="s">
        <v>10</v>
      </c>
    </row>
    <row r="232" spans="1:7" s="122" customFormat="1" ht="30" customHeight="1" x14ac:dyDescent="0.25">
      <c r="A232" s="198"/>
      <c r="B232" s="117" t="s">
        <v>36</v>
      </c>
      <c r="C232" s="45" t="s">
        <v>37</v>
      </c>
      <c r="D232" s="46" t="s">
        <v>533</v>
      </c>
      <c r="E232" s="46" t="s">
        <v>532</v>
      </c>
      <c r="F232" s="46"/>
      <c r="G232" s="47"/>
    </row>
    <row r="233" spans="1:7" s="122" customFormat="1" ht="45" customHeight="1" x14ac:dyDescent="0.25">
      <c r="A233" s="198"/>
      <c r="B233" s="117" t="s">
        <v>36</v>
      </c>
      <c r="C233" s="45" t="s">
        <v>38</v>
      </c>
      <c r="D233" s="46" t="s">
        <v>531</v>
      </c>
      <c r="E233" s="46"/>
      <c r="F233" s="127"/>
      <c r="G233" s="47"/>
    </row>
    <row r="234" spans="1:7" s="122" customFormat="1" ht="45" customHeight="1" x14ac:dyDescent="0.25">
      <c r="A234" s="198"/>
      <c r="B234" s="59">
        <v>1</v>
      </c>
      <c r="C234" s="52" t="s">
        <v>40</v>
      </c>
      <c r="D234" s="46" t="s">
        <v>530</v>
      </c>
      <c r="E234" s="50"/>
      <c r="F234" s="46" t="s">
        <v>617</v>
      </c>
      <c r="G234" s="47"/>
    </row>
    <row r="235" spans="1:7" s="122" customFormat="1" ht="30" x14ac:dyDescent="0.25">
      <c r="A235" s="198"/>
      <c r="B235" s="59">
        <v>2</v>
      </c>
      <c r="C235" s="52" t="s">
        <v>40</v>
      </c>
      <c r="D235" s="46" t="s">
        <v>504</v>
      </c>
      <c r="E235" s="50"/>
      <c r="F235" s="46" t="s">
        <v>503</v>
      </c>
      <c r="G235" s="47"/>
    </row>
    <row r="236" spans="1:7" s="122" customFormat="1" ht="60" customHeight="1" x14ac:dyDescent="0.25">
      <c r="A236" s="198"/>
      <c r="B236" s="59">
        <v>3</v>
      </c>
      <c r="C236" s="52" t="s">
        <v>40</v>
      </c>
      <c r="D236" s="46" t="s">
        <v>499</v>
      </c>
      <c r="E236" s="50"/>
      <c r="F236" s="46" t="s">
        <v>502</v>
      </c>
      <c r="G236" s="47"/>
    </row>
    <row r="237" spans="1:7" s="122" customFormat="1" ht="60" x14ac:dyDescent="0.25">
      <c r="A237" s="198"/>
      <c r="B237" s="107" t="s">
        <v>81</v>
      </c>
      <c r="C237" s="51" t="s">
        <v>82</v>
      </c>
      <c r="D237" s="46" t="s">
        <v>529</v>
      </c>
      <c r="E237" s="127"/>
      <c r="F237" s="46"/>
      <c r="G237" s="47" t="s">
        <v>47</v>
      </c>
    </row>
    <row r="238" spans="1:7" s="122" customFormat="1" ht="30" customHeight="1" x14ac:dyDescent="0.25">
      <c r="A238" s="198"/>
      <c r="B238" s="117" t="s">
        <v>36</v>
      </c>
      <c r="C238" s="45" t="s">
        <v>38</v>
      </c>
      <c r="D238" s="46" t="s">
        <v>524</v>
      </c>
      <c r="E238" s="46"/>
      <c r="F238" s="127"/>
      <c r="G238" s="47"/>
    </row>
    <row r="239" spans="1:7" s="122" customFormat="1" ht="30" customHeight="1" x14ac:dyDescent="0.25">
      <c r="A239" s="198"/>
      <c r="B239" s="59">
        <v>4</v>
      </c>
      <c r="C239" s="52" t="s">
        <v>40</v>
      </c>
      <c r="D239" s="46" t="s">
        <v>528</v>
      </c>
      <c r="E239" s="50"/>
      <c r="F239" s="46" t="s">
        <v>527</v>
      </c>
      <c r="G239" s="47"/>
    </row>
    <row r="240" spans="1:7" s="122" customFormat="1" ht="45" x14ac:dyDescent="0.25">
      <c r="A240" s="198"/>
      <c r="B240" s="107" t="s">
        <v>81</v>
      </c>
      <c r="C240" s="51" t="s">
        <v>82</v>
      </c>
      <c r="D240" s="46" t="s">
        <v>526</v>
      </c>
      <c r="E240" s="127"/>
      <c r="F240" s="46"/>
      <c r="G240" s="47" t="s">
        <v>47</v>
      </c>
    </row>
    <row r="241" spans="1:7" s="122" customFormat="1" ht="60" customHeight="1" x14ac:dyDescent="0.25">
      <c r="A241" s="198"/>
      <c r="B241" s="59">
        <v>5</v>
      </c>
      <c r="C241" s="52" t="s">
        <v>40</v>
      </c>
      <c r="D241" s="46" t="s">
        <v>525</v>
      </c>
      <c r="E241" s="50"/>
      <c r="F241" s="46" t="s">
        <v>502</v>
      </c>
      <c r="G241" s="47"/>
    </row>
    <row r="242" spans="1:7" s="122" customFormat="1" ht="30" customHeight="1" x14ac:dyDescent="0.25">
      <c r="A242" s="198"/>
      <c r="B242" s="107" t="s">
        <v>81</v>
      </c>
      <c r="C242" s="51" t="s">
        <v>82</v>
      </c>
      <c r="D242" s="46" t="s">
        <v>387</v>
      </c>
      <c r="E242" s="127"/>
      <c r="F242" s="46"/>
      <c r="G242" s="47" t="s">
        <v>47</v>
      </c>
    </row>
    <row r="243" spans="1:7" s="122" customFormat="1" ht="30" customHeight="1" x14ac:dyDescent="0.25">
      <c r="A243" s="198"/>
      <c r="B243" s="117" t="s">
        <v>36</v>
      </c>
      <c r="C243" s="45" t="s">
        <v>38</v>
      </c>
      <c r="D243" s="46" t="s">
        <v>524</v>
      </c>
      <c r="E243" s="46"/>
      <c r="F243" s="127"/>
      <c r="G243" s="47"/>
    </row>
    <row r="244" spans="1:7" s="122" customFormat="1" ht="30" customHeight="1" x14ac:dyDescent="0.25">
      <c r="A244" s="198"/>
      <c r="B244" s="59">
        <v>6</v>
      </c>
      <c r="C244" s="52" t="s">
        <v>40</v>
      </c>
      <c r="D244" s="46" t="s">
        <v>523</v>
      </c>
      <c r="E244" s="50"/>
      <c r="F244" s="46" t="s">
        <v>522</v>
      </c>
      <c r="G244" s="47"/>
    </row>
    <row r="245" spans="1:7" s="122" customFormat="1" ht="15" customHeight="1" x14ac:dyDescent="0.25">
      <c r="A245" s="198"/>
      <c r="B245" s="59">
        <v>7</v>
      </c>
      <c r="C245" s="52" t="s">
        <v>40</v>
      </c>
      <c r="D245" s="46" t="s">
        <v>379</v>
      </c>
      <c r="E245" s="50"/>
      <c r="F245" s="46" t="s">
        <v>521</v>
      </c>
      <c r="G245" s="47"/>
    </row>
    <row r="246" spans="1:7" s="122" customFormat="1" ht="60" customHeight="1" thickBot="1" x14ac:dyDescent="0.3">
      <c r="A246" s="198"/>
      <c r="B246" s="107" t="s">
        <v>81</v>
      </c>
      <c r="C246" s="51" t="s">
        <v>82</v>
      </c>
      <c r="D246" s="46" t="s">
        <v>618</v>
      </c>
      <c r="E246" s="127"/>
      <c r="F246" s="46"/>
      <c r="G246" s="47" t="s">
        <v>47</v>
      </c>
    </row>
    <row r="247" spans="1:7" s="122" customFormat="1" ht="45" customHeight="1" thickBot="1" x14ac:dyDescent="0.3">
      <c r="A247" s="144" t="str">
        <f>TabellaTest!F27</f>
        <v>TF012.UC02</v>
      </c>
      <c r="B247" s="211" t="str">
        <f>TabellaTest!C27</f>
        <v>PAR. 2.3.5-033-13</v>
      </c>
      <c r="C247" s="212"/>
      <c r="D247" s="212" t="str">
        <f>TabellaTest!E27</f>
        <v>Verifica inserimento "Gestione Modalità Pagamento" su procedimento con presenza Modalità Pagamento</v>
      </c>
      <c r="E247" s="213"/>
      <c r="F247" s="212" t="str">
        <f>TabellaTest!G27</f>
        <v>Verifica: Verificare nel sottosistema SIEP l'utilizzo della funzione "Gestione Modalità Pagamento" su procedimento con presenza Modalità Pagamento</v>
      </c>
      <c r="G247" s="225"/>
    </row>
    <row r="248" spans="1:7" s="122" customFormat="1" ht="30" x14ac:dyDescent="0.25">
      <c r="A248" s="198"/>
      <c r="B248" s="133" t="s">
        <v>31</v>
      </c>
      <c r="C248" s="32" t="s">
        <v>32</v>
      </c>
      <c r="D248" s="29" t="s">
        <v>33</v>
      </c>
      <c r="E248" s="29" t="s">
        <v>34</v>
      </c>
      <c r="F248" s="29" t="s">
        <v>35</v>
      </c>
      <c r="G248" s="30" t="s">
        <v>10</v>
      </c>
    </row>
    <row r="249" spans="1:7" s="122" customFormat="1" ht="30" customHeight="1" x14ac:dyDescent="0.25">
      <c r="A249" s="198"/>
      <c r="B249" s="117" t="s">
        <v>36</v>
      </c>
      <c r="C249" s="45" t="s">
        <v>37</v>
      </c>
      <c r="D249" s="46" t="s">
        <v>533</v>
      </c>
      <c r="E249" s="46" t="s">
        <v>532</v>
      </c>
      <c r="F249" s="46"/>
      <c r="G249" s="47"/>
    </row>
    <row r="250" spans="1:7" s="122" customFormat="1" ht="45" customHeight="1" x14ac:dyDescent="0.25">
      <c r="A250" s="198"/>
      <c r="B250" s="117" t="s">
        <v>36</v>
      </c>
      <c r="C250" s="45" t="s">
        <v>38</v>
      </c>
      <c r="D250" s="46" t="s">
        <v>537</v>
      </c>
      <c r="E250" s="46"/>
      <c r="F250" s="127"/>
      <c r="G250" s="47"/>
    </row>
    <row r="251" spans="1:7" s="122" customFormat="1" ht="30" customHeight="1" x14ac:dyDescent="0.25">
      <c r="A251" s="198"/>
      <c r="B251" s="59">
        <v>1</v>
      </c>
      <c r="C251" s="52" t="s">
        <v>40</v>
      </c>
      <c r="D251" s="46" t="s">
        <v>530</v>
      </c>
      <c r="E251" s="50"/>
      <c r="F251" s="46" t="s">
        <v>503</v>
      </c>
      <c r="G251" s="47"/>
    </row>
    <row r="252" spans="1:7" s="122" customFormat="1" ht="60" customHeight="1" x14ac:dyDescent="0.25">
      <c r="A252" s="198"/>
      <c r="B252" s="59">
        <v>2</v>
      </c>
      <c r="C252" s="52" t="s">
        <v>40</v>
      </c>
      <c r="D252" s="46" t="s">
        <v>499</v>
      </c>
      <c r="E252" s="50"/>
      <c r="F252" s="46" t="s">
        <v>502</v>
      </c>
      <c r="G252" s="47"/>
    </row>
    <row r="253" spans="1:7" s="122" customFormat="1" ht="30" customHeight="1" x14ac:dyDescent="0.25">
      <c r="A253" s="198"/>
      <c r="B253" s="107" t="s">
        <v>81</v>
      </c>
      <c r="C253" s="51" t="s">
        <v>82</v>
      </c>
      <c r="D253" s="46" t="s">
        <v>536</v>
      </c>
      <c r="E253" s="127"/>
      <c r="F253" s="46"/>
      <c r="G253" s="47" t="s">
        <v>47</v>
      </c>
    </row>
    <row r="254" spans="1:7" s="122" customFormat="1" ht="30" customHeight="1" x14ac:dyDescent="0.25">
      <c r="A254" s="198"/>
      <c r="B254" s="117" t="s">
        <v>36</v>
      </c>
      <c r="C254" s="45" t="s">
        <v>38</v>
      </c>
      <c r="D254" s="46" t="s">
        <v>524</v>
      </c>
      <c r="E254" s="46"/>
      <c r="F254" s="127"/>
      <c r="G254" s="47"/>
    </row>
    <row r="255" spans="1:7" s="122" customFormat="1" ht="30" customHeight="1" x14ac:dyDescent="0.25">
      <c r="A255" s="198"/>
      <c r="B255" s="59">
        <v>3</v>
      </c>
      <c r="C255" s="52" t="s">
        <v>40</v>
      </c>
      <c r="D255" s="46" t="s">
        <v>528</v>
      </c>
      <c r="E255" s="50"/>
      <c r="F255" s="46" t="s">
        <v>527</v>
      </c>
      <c r="G255" s="47"/>
    </row>
    <row r="256" spans="1:7" s="122" customFormat="1" ht="60" customHeight="1" x14ac:dyDescent="0.25">
      <c r="A256" s="198"/>
      <c r="B256" s="59">
        <v>4</v>
      </c>
      <c r="C256" s="52" t="s">
        <v>40</v>
      </c>
      <c r="D256" s="46" t="s">
        <v>535</v>
      </c>
      <c r="E256" s="50"/>
      <c r="F256" s="46" t="s">
        <v>502</v>
      </c>
      <c r="G256" s="47"/>
    </row>
    <row r="257" spans="1:7" s="122" customFormat="1" ht="30" customHeight="1" x14ac:dyDescent="0.25">
      <c r="A257" s="198"/>
      <c r="B257" s="107" t="s">
        <v>81</v>
      </c>
      <c r="C257" s="51" t="s">
        <v>82</v>
      </c>
      <c r="D257" s="46" t="s">
        <v>387</v>
      </c>
      <c r="E257" s="127"/>
      <c r="F257" s="46"/>
      <c r="G257" s="47" t="s">
        <v>47</v>
      </c>
    </row>
    <row r="258" spans="1:7" s="122" customFormat="1" ht="30" customHeight="1" x14ac:dyDescent="0.25">
      <c r="A258" s="198"/>
      <c r="B258" s="117" t="s">
        <v>36</v>
      </c>
      <c r="C258" s="45" t="s">
        <v>38</v>
      </c>
      <c r="D258" s="46" t="s">
        <v>524</v>
      </c>
      <c r="E258" s="46"/>
      <c r="F258" s="127"/>
      <c r="G258" s="47"/>
    </row>
    <row r="259" spans="1:7" s="122" customFormat="1" ht="60" customHeight="1" x14ac:dyDescent="0.25">
      <c r="A259" s="198"/>
      <c r="B259" s="59">
        <v>5</v>
      </c>
      <c r="C259" s="52" t="s">
        <v>40</v>
      </c>
      <c r="D259" s="46" t="s">
        <v>523</v>
      </c>
      <c r="E259" s="50"/>
      <c r="F259" s="46" t="s">
        <v>522</v>
      </c>
      <c r="G259" s="47"/>
    </row>
    <row r="260" spans="1:7" s="122" customFormat="1" ht="15" customHeight="1" x14ac:dyDescent="0.25">
      <c r="A260" s="198"/>
      <c r="B260" s="59">
        <v>6</v>
      </c>
      <c r="C260" s="52" t="s">
        <v>40</v>
      </c>
      <c r="D260" s="46" t="s">
        <v>379</v>
      </c>
      <c r="E260" s="50"/>
      <c r="F260" s="46" t="s">
        <v>521</v>
      </c>
      <c r="G260" s="47"/>
    </row>
    <row r="261" spans="1:7" s="122" customFormat="1" ht="45" customHeight="1" thickBot="1" x14ac:dyDescent="0.3">
      <c r="A261" s="198"/>
      <c r="B261" s="107" t="s">
        <v>81</v>
      </c>
      <c r="C261" s="51" t="s">
        <v>82</v>
      </c>
      <c r="D261" s="46" t="s">
        <v>534</v>
      </c>
      <c r="E261" s="127"/>
      <c r="F261" s="46"/>
      <c r="G261" s="47" t="s">
        <v>47</v>
      </c>
    </row>
    <row r="262" spans="1:7" s="122" customFormat="1" ht="30" customHeight="1" thickBot="1" x14ac:dyDescent="0.3">
      <c r="A262" s="144" t="str">
        <f>TabellaTest!F28</f>
        <v>TF013.UC01</v>
      </c>
      <c r="B262" s="211" t="str">
        <f>TabellaTest!C28</f>
        <v>PAR. 2.3.5.1-033-13</v>
      </c>
      <c r="C262" s="212"/>
      <c r="D262" s="212" t="str">
        <f>TabellaTest!E28</f>
        <v>Verifica gestione "Rideterminazione della Pena Pecuniaria"</v>
      </c>
      <c r="E262" s="213"/>
      <c r="F262" s="212" t="str">
        <f>TabellaTest!G28</f>
        <v>Verifica: Verificare nel sottosistema SIEP l'utilizzo della funzione "Rideterminazione della Pena Pecuniaria"</v>
      </c>
      <c r="G262" s="225"/>
    </row>
    <row r="263" spans="1:7" s="122" customFormat="1" ht="30" customHeight="1" x14ac:dyDescent="0.25">
      <c r="A263" s="197"/>
      <c r="B263" s="35" t="s">
        <v>31</v>
      </c>
      <c r="C263" s="32" t="s">
        <v>32</v>
      </c>
      <c r="D263" s="29" t="s">
        <v>33</v>
      </c>
      <c r="E263" s="29" t="s">
        <v>34</v>
      </c>
      <c r="F263" s="29" t="s">
        <v>35</v>
      </c>
      <c r="G263" s="30" t="s">
        <v>10</v>
      </c>
    </row>
    <row r="264" spans="1:7" s="122" customFormat="1" ht="30" customHeight="1" x14ac:dyDescent="0.25">
      <c r="A264" s="198"/>
      <c r="B264" s="56" t="s">
        <v>36</v>
      </c>
      <c r="C264" s="45" t="s">
        <v>37</v>
      </c>
      <c r="D264" s="46" t="s">
        <v>85</v>
      </c>
      <c r="E264" s="46" t="s">
        <v>86</v>
      </c>
      <c r="F264" s="46"/>
      <c r="G264" s="47"/>
    </row>
    <row r="265" spans="1:7" s="122" customFormat="1" ht="60" customHeight="1" x14ac:dyDescent="0.25">
      <c r="A265" s="198"/>
      <c r="B265" s="57">
        <v>1</v>
      </c>
      <c r="C265" s="48" t="s">
        <v>39</v>
      </c>
      <c r="D265" s="49" t="s">
        <v>620</v>
      </c>
      <c r="E265" s="50"/>
      <c r="F265" s="46"/>
      <c r="G265" s="47"/>
    </row>
    <row r="266" spans="1:7" s="122" customFormat="1" ht="60" customHeight="1" x14ac:dyDescent="0.25">
      <c r="A266" s="198"/>
      <c r="B266" s="97">
        <v>2</v>
      </c>
      <c r="C266" s="52" t="s">
        <v>40</v>
      </c>
      <c r="D266" s="46" t="s">
        <v>506</v>
      </c>
      <c r="E266" s="50"/>
      <c r="F266" s="46" t="s">
        <v>626</v>
      </c>
      <c r="G266" s="47"/>
    </row>
    <row r="267" spans="1:7" s="122" customFormat="1" ht="45" customHeight="1" x14ac:dyDescent="0.25">
      <c r="A267" s="198"/>
      <c r="B267" s="97">
        <v>3</v>
      </c>
      <c r="C267" s="52" t="s">
        <v>40</v>
      </c>
      <c r="D267" s="46" t="s">
        <v>379</v>
      </c>
      <c r="E267" s="50"/>
      <c r="F267" s="46" t="s">
        <v>505</v>
      </c>
      <c r="G267" s="47"/>
    </row>
    <row r="268" spans="1:7" s="122" customFormat="1" ht="30" customHeight="1" x14ac:dyDescent="0.25">
      <c r="A268" s="198"/>
      <c r="B268" s="97">
        <v>4</v>
      </c>
      <c r="C268" s="52" t="s">
        <v>40</v>
      </c>
      <c r="D268" s="46" t="s">
        <v>504</v>
      </c>
      <c r="E268" s="50"/>
      <c r="F268" s="46" t="s">
        <v>503</v>
      </c>
      <c r="G268" s="47"/>
    </row>
    <row r="269" spans="1:7" s="122" customFormat="1" ht="60" customHeight="1" x14ac:dyDescent="0.25">
      <c r="A269" s="198"/>
      <c r="B269" s="97">
        <v>5</v>
      </c>
      <c r="C269" s="52" t="s">
        <v>40</v>
      </c>
      <c r="D269" s="46" t="s">
        <v>499</v>
      </c>
      <c r="E269" s="50"/>
      <c r="F269" s="46" t="s">
        <v>502</v>
      </c>
      <c r="G269" s="47"/>
    </row>
    <row r="270" spans="1:7" s="122" customFormat="1" ht="30" customHeight="1" x14ac:dyDescent="0.25">
      <c r="A270" s="198"/>
      <c r="B270" s="97">
        <v>6</v>
      </c>
      <c r="C270" s="52" t="s">
        <v>40</v>
      </c>
      <c r="D270" s="46" t="s">
        <v>501</v>
      </c>
      <c r="E270" s="50"/>
      <c r="F270" s="46" t="s">
        <v>500</v>
      </c>
      <c r="G270" s="47"/>
    </row>
    <row r="271" spans="1:7" s="122" customFormat="1" ht="45" customHeight="1" x14ac:dyDescent="0.25">
      <c r="A271" s="198"/>
      <c r="B271" s="97">
        <v>7</v>
      </c>
      <c r="C271" s="52" t="s">
        <v>40</v>
      </c>
      <c r="D271" s="46" t="s">
        <v>499</v>
      </c>
      <c r="E271" s="50"/>
      <c r="F271" s="46" t="s">
        <v>498</v>
      </c>
      <c r="G271" s="47"/>
    </row>
    <row r="272" spans="1:7" s="122" customFormat="1" ht="30" customHeight="1" x14ac:dyDescent="0.25">
      <c r="A272" s="198"/>
      <c r="B272" s="107" t="s">
        <v>81</v>
      </c>
      <c r="C272" s="51" t="s">
        <v>82</v>
      </c>
      <c r="D272" s="46" t="s">
        <v>387</v>
      </c>
      <c r="E272" s="127"/>
      <c r="F272" s="46"/>
      <c r="G272" s="47" t="s">
        <v>47</v>
      </c>
    </row>
    <row r="273" spans="1:7" s="122" customFormat="1" ht="30" customHeight="1" x14ac:dyDescent="0.25">
      <c r="A273" s="198"/>
      <c r="B273" s="117" t="s">
        <v>36</v>
      </c>
      <c r="C273" s="45" t="s">
        <v>38</v>
      </c>
      <c r="D273" s="46" t="s">
        <v>497</v>
      </c>
      <c r="E273" s="46"/>
      <c r="F273" s="127"/>
      <c r="G273" s="47"/>
    </row>
    <row r="274" spans="1:7" s="122" customFormat="1" ht="30" customHeight="1" x14ac:dyDescent="0.25">
      <c r="A274" s="198"/>
      <c r="B274" s="111">
        <v>8</v>
      </c>
      <c r="C274" s="52" t="s">
        <v>40</v>
      </c>
      <c r="D274" s="46" t="s">
        <v>391</v>
      </c>
      <c r="E274" s="50"/>
      <c r="F274" s="46" t="s">
        <v>496</v>
      </c>
      <c r="G274" s="47"/>
    </row>
    <row r="275" spans="1:7" s="122" customFormat="1" ht="30" customHeight="1" x14ac:dyDescent="0.25">
      <c r="A275" s="198"/>
      <c r="B275" s="111">
        <v>9</v>
      </c>
      <c r="C275" s="52" t="s">
        <v>40</v>
      </c>
      <c r="D275" s="46" t="s">
        <v>389</v>
      </c>
      <c r="E275" s="50"/>
      <c r="F275" s="46" t="s">
        <v>495</v>
      </c>
      <c r="G275" s="47"/>
    </row>
    <row r="276" spans="1:7" s="122" customFormat="1" ht="30" customHeight="1" x14ac:dyDescent="0.25">
      <c r="A276" s="198"/>
      <c r="B276" s="107" t="s">
        <v>81</v>
      </c>
      <c r="C276" s="51" t="s">
        <v>82</v>
      </c>
      <c r="D276" s="46" t="s">
        <v>387</v>
      </c>
      <c r="E276" s="127"/>
      <c r="F276" s="46"/>
      <c r="G276" s="47" t="s">
        <v>47</v>
      </c>
    </row>
    <row r="277" spans="1:7" s="122" customFormat="1" ht="45" customHeight="1" x14ac:dyDescent="0.25">
      <c r="A277" s="198"/>
      <c r="B277" s="117" t="s">
        <v>36</v>
      </c>
      <c r="C277" s="45" t="s">
        <v>38</v>
      </c>
      <c r="D277" s="46" t="s">
        <v>494</v>
      </c>
      <c r="E277" s="46"/>
      <c r="F277" s="127"/>
      <c r="G277" s="47"/>
    </row>
    <row r="278" spans="1:7" s="122" customFormat="1" ht="45" customHeight="1" x14ac:dyDescent="0.25">
      <c r="A278" s="198"/>
      <c r="B278" s="111">
        <v>10</v>
      </c>
      <c r="C278" s="52" t="s">
        <v>40</v>
      </c>
      <c r="D278" s="46" t="s">
        <v>385</v>
      </c>
      <c r="E278" s="50"/>
      <c r="F278" s="46" t="s">
        <v>384</v>
      </c>
      <c r="G278" s="47"/>
    </row>
    <row r="279" spans="1:7" s="122" customFormat="1" ht="30" customHeight="1" x14ac:dyDescent="0.25">
      <c r="A279" s="198"/>
      <c r="B279" s="107" t="s">
        <v>81</v>
      </c>
      <c r="C279" s="51" t="s">
        <v>82</v>
      </c>
      <c r="D279" s="46" t="s">
        <v>493</v>
      </c>
      <c r="E279" s="127"/>
      <c r="F279" s="46"/>
      <c r="G279" s="47" t="s">
        <v>47</v>
      </c>
    </row>
    <row r="280" spans="1:7" s="122" customFormat="1" ht="60" customHeight="1" x14ac:dyDescent="0.25">
      <c r="A280" s="198"/>
      <c r="B280" s="111">
        <v>11</v>
      </c>
      <c r="C280" s="52" t="s">
        <v>40</v>
      </c>
      <c r="D280" s="46" t="s">
        <v>382</v>
      </c>
      <c r="E280" s="50"/>
      <c r="F280" s="46" t="s">
        <v>492</v>
      </c>
      <c r="G280" s="47"/>
    </row>
    <row r="281" spans="1:7" s="122" customFormat="1" ht="30" customHeight="1" x14ac:dyDescent="0.25">
      <c r="A281" s="198"/>
      <c r="B281" s="107" t="s">
        <v>81</v>
      </c>
      <c r="C281" s="51" t="s">
        <v>82</v>
      </c>
      <c r="D281" s="46" t="s">
        <v>464</v>
      </c>
      <c r="E281" s="127"/>
      <c r="F281" s="46"/>
      <c r="G281" s="47" t="s">
        <v>47</v>
      </c>
    </row>
    <row r="282" spans="1:7" s="122" customFormat="1" ht="15" customHeight="1" x14ac:dyDescent="0.25">
      <c r="A282" s="198"/>
      <c r="B282" s="111">
        <v>12</v>
      </c>
      <c r="C282" s="52" t="s">
        <v>40</v>
      </c>
      <c r="D282" s="46" t="s">
        <v>378</v>
      </c>
      <c r="E282" s="50"/>
      <c r="F282" s="46" t="s">
        <v>377</v>
      </c>
      <c r="G282" s="47"/>
    </row>
    <row r="283" spans="1:7" s="122" customFormat="1" ht="45" customHeight="1" thickBot="1" x14ac:dyDescent="0.3">
      <c r="A283" s="199"/>
      <c r="B283" s="121" t="s">
        <v>81</v>
      </c>
      <c r="C283" s="55" t="s">
        <v>82</v>
      </c>
      <c r="D283" s="136" t="s">
        <v>491</v>
      </c>
      <c r="E283" s="126"/>
      <c r="F283" s="136"/>
      <c r="G283" s="58" t="s">
        <v>47</v>
      </c>
    </row>
    <row r="284" spans="1:7" s="122" customFormat="1" ht="30" customHeight="1" thickBot="1" x14ac:dyDescent="0.3">
      <c r="A284" s="144" t="str">
        <f>TabellaTest!F29</f>
        <v>TF014.UC01</v>
      </c>
      <c r="B284" s="215" t="str">
        <f>TabellaTest!C29</f>
        <v>PAR. 2.3.5.2-033-14</v>
      </c>
      <c r="C284" s="216"/>
      <c r="D284" s="216" t="str">
        <f>TabellaTest!E29</f>
        <v>Verifica gestione "Avviso Mancato Pagamento"</v>
      </c>
      <c r="E284" s="217"/>
      <c r="F284" s="216" t="str">
        <f>TabellaTest!G29</f>
        <v>Verifica: Verificare nel sottosistema SIEP l'utilizzo della funzione "Avviso Mancato Pagamento"</v>
      </c>
      <c r="G284" s="218"/>
    </row>
    <row r="285" spans="1:7" s="122" customFormat="1" ht="30" customHeight="1" x14ac:dyDescent="0.25">
      <c r="A285" s="197"/>
      <c r="B285" s="35" t="s">
        <v>31</v>
      </c>
      <c r="C285" s="32" t="s">
        <v>32</v>
      </c>
      <c r="D285" s="29" t="s">
        <v>33</v>
      </c>
      <c r="E285" s="29" t="s">
        <v>34</v>
      </c>
      <c r="F285" s="29" t="s">
        <v>35</v>
      </c>
      <c r="G285" s="30" t="s">
        <v>10</v>
      </c>
    </row>
    <row r="286" spans="1:7" s="122" customFormat="1" ht="30" customHeight="1" x14ac:dyDescent="0.25">
      <c r="A286" s="198"/>
      <c r="B286" s="56" t="s">
        <v>36</v>
      </c>
      <c r="C286" s="45" t="s">
        <v>37</v>
      </c>
      <c r="D286" s="46" t="s">
        <v>85</v>
      </c>
      <c r="E286" s="46" t="s">
        <v>86</v>
      </c>
      <c r="F286" s="46"/>
      <c r="G286" s="47"/>
    </row>
    <row r="287" spans="1:7" s="122" customFormat="1" ht="45" customHeight="1" x14ac:dyDescent="0.25">
      <c r="A287" s="198"/>
      <c r="B287" s="57">
        <v>1</v>
      </c>
      <c r="C287" s="48" t="s">
        <v>39</v>
      </c>
      <c r="D287" s="49" t="s">
        <v>621</v>
      </c>
      <c r="E287" s="50"/>
      <c r="F287" s="46"/>
      <c r="G287" s="47"/>
    </row>
    <row r="288" spans="1:7" s="122" customFormat="1" ht="75" customHeight="1" x14ac:dyDescent="0.25">
      <c r="A288" s="198"/>
      <c r="B288" s="97">
        <v>2</v>
      </c>
      <c r="C288" s="52" t="s">
        <v>40</v>
      </c>
      <c r="D288" s="46" t="s">
        <v>490</v>
      </c>
      <c r="E288" s="50"/>
      <c r="F288" s="46" t="s">
        <v>625</v>
      </c>
      <c r="G288" s="47"/>
    </row>
    <row r="289" spans="1:7" s="122" customFormat="1" ht="30" customHeight="1" x14ac:dyDescent="0.25">
      <c r="A289" s="198"/>
      <c r="B289" s="97">
        <v>3</v>
      </c>
      <c r="C289" s="52" t="s">
        <v>40</v>
      </c>
      <c r="D289" s="46" t="s">
        <v>379</v>
      </c>
      <c r="E289" s="50"/>
      <c r="F289" s="46" t="s">
        <v>474</v>
      </c>
      <c r="G289" s="47"/>
    </row>
    <row r="290" spans="1:7" s="122" customFormat="1" ht="30" customHeight="1" x14ac:dyDescent="0.25">
      <c r="A290" s="198"/>
      <c r="B290" s="107" t="s">
        <v>81</v>
      </c>
      <c r="C290" s="51" t="s">
        <v>82</v>
      </c>
      <c r="D290" s="46" t="s">
        <v>489</v>
      </c>
      <c r="E290" s="127"/>
      <c r="F290" s="46"/>
      <c r="G290" s="47" t="s">
        <v>47</v>
      </c>
    </row>
    <row r="291" spans="1:7" s="122" customFormat="1" ht="45" customHeight="1" x14ac:dyDescent="0.25">
      <c r="A291" s="198"/>
      <c r="B291" s="131">
        <v>4</v>
      </c>
      <c r="C291" s="48" t="s">
        <v>39</v>
      </c>
      <c r="D291" s="49" t="s">
        <v>621</v>
      </c>
      <c r="E291" s="50"/>
      <c r="F291" s="46"/>
      <c r="G291" s="47"/>
    </row>
    <row r="292" spans="1:7" s="122" customFormat="1" ht="75" customHeight="1" x14ac:dyDescent="0.25">
      <c r="A292" s="198"/>
      <c r="B292" s="111">
        <v>5</v>
      </c>
      <c r="C292" s="52" t="s">
        <v>40</v>
      </c>
      <c r="D292" s="46" t="s">
        <v>488</v>
      </c>
      <c r="E292" s="50"/>
      <c r="F292" s="46" t="s">
        <v>487</v>
      </c>
      <c r="G292" s="47"/>
    </row>
    <row r="293" spans="1:7" s="122" customFormat="1" ht="45" customHeight="1" x14ac:dyDescent="0.25">
      <c r="A293" s="198"/>
      <c r="B293" s="111">
        <v>6</v>
      </c>
      <c r="C293" s="52" t="s">
        <v>40</v>
      </c>
      <c r="D293" s="46" t="s">
        <v>379</v>
      </c>
      <c r="E293" s="50"/>
      <c r="F293" s="46" t="s">
        <v>486</v>
      </c>
      <c r="G293" s="47"/>
    </row>
    <row r="294" spans="1:7" s="122" customFormat="1" ht="45" customHeight="1" x14ac:dyDescent="0.25">
      <c r="A294" s="198"/>
      <c r="B294" s="107" t="s">
        <v>81</v>
      </c>
      <c r="C294" s="51" t="s">
        <v>82</v>
      </c>
      <c r="D294" s="46" t="s">
        <v>485</v>
      </c>
      <c r="E294" s="127"/>
      <c r="F294" s="46"/>
      <c r="G294" s="47" t="s">
        <v>47</v>
      </c>
    </row>
    <row r="295" spans="1:7" s="122" customFormat="1" ht="30" customHeight="1" x14ac:dyDescent="0.25">
      <c r="A295" s="198"/>
      <c r="B295" s="111">
        <v>7</v>
      </c>
      <c r="C295" s="52" t="s">
        <v>40</v>
      </c>
      <c r="D295" s="46" t="s">
        <v>484</v>
      </c>
      <c r="E295" s="50"/>
      <c r="F295" s="46" t="s">
        <v>483</v>
      </c>
      <c r="G295" s="47"/>
    </row>
    <row r="296" spans="1:7" s="122" customFormat="1" ht="45" customHeight="1" x14ac:dyDescent="0.25">
      <c r="A296" s="198"/>
      <c r="B296" s="111">
        <v>8</v>
      </c>
      <c r="C296" s="52" t="s">
        <v>40</v>
      </c>
      <c r="D296" s="46" t="s">
        <v>457</v>
      </c>
      <c r="E296" s="50"/>
      <c r="F296" s="46" t="s">
        <v>482</v>
      </c>
      <c r="G296" s="47"/>
    </row>
    <row r="297" spans="1:7" s="122" customFormat="1" ht="30" customHeight="1" x14ac:dyDescent="0.25">
      <c r="A297" s="198"/>
      <c r="B297" s="107" t="s">
        <v>81</v>
      </c>
      <c r="C297" s="51" t="s">
        <v>82</v>
      </c>
      <c r="D297" s="46" t="s">
        <v>387</v>
      </c>
      <c r="E297" s="127"/>
      <c r="F297" s="46"/>
      <c r="G297" s="47" t="s">
        <v>47</v>
      </c>
    </row>
    <row r="298" spans="1:7" s="122" customFormat="1" ht="30" customHeight="1" x14ac:dyDescent="0.25">
      <c r="A298" s="198"/>
      <c r="B298" s="117" t="s">
        <v>36</v>
      </c>
      <c r="C298" s="45" t="s">
        <v>38</v>
      </c>
      <c r="D298" s="46" t="s">
        <v>481</v>
      </c>
      <c r="E298" s="46"/>
      <c r="F298" s="127"/>
      <c r="G298" s="47"/>
    </row>
    <row r="299" spans="1:7" s="122" customFormat="1" ht="30" customHeight="1" x14ac:dyDescent="0.25">
      <c r="A299" s="198"/>
      <c r="B299" s="111">
        <v>9</v>
      </c>
      <c r="C299" s="52" t="s">
        <v>40</v>
      </c>
      <c r="D299" s="46" t="s">
        <v>391</v>
      </c>
      <c r="E299" s="50"/>
      <c r="F299" s="46" t="s">
        <v>480</v>
      </c>
      <c r="G299" s="47"/>
    </row>
    <row r="300" spans="1:7" s="122" customFormat="1" ht="30" customHeight="1" x14ac:dyDescent="0.25">
      <c r="A300" s="198"/>
      <c r="B300" s="111">
        <v>10</v>
      </c>
      <c r="C300" s="52" t="s">
        <v>40</v>
      </c>
      <c r="D300" s="46" t="s">
        <v>389</v>
      </c>
      <c r="E300" s="50"/>
      <c r="F300" s="46" t="s">
        <v>479</v>
      </c>
      <c r="G300" s="47"/>
    </row>
    <row r="301" spans="1:7" s="122" customFormat="1" ht="30" customHeight="1" x14ac:dyDescent="0.25">
      <c r="A301" s="198"/>
      <c r="B301" s="107" t="s">
        <v>81</v>
      </c>
      <c r="C301" s="51" t="s">
        <v>82</v>
      </c>
      <c r="D301" s="46" t="s">
        <v>387</v>
      </c>
      <c r="E301" s="127"/>
      <c r="F301" s="46"/>
      <c r="G301" s="47" t="s">
        <v>47</v>
      </c>
    </row>
    <row r="302" spans="1:7" s="122" customFormat="1" ht="45" customHeight="1" x14ac:dyDescent="0.25">
      <c r="A302" s="198"/>
      <c r="B302" s="117" t="s">
        <v>36</v>
      </c>
      <c r="C302" s="45" t="s">
        <v>38</v>
      </c>
      <c r="D302" s="46" t="s">
        <v>478</v>
      </c>
      <c r="E302" s="46"/>
      <c r="F302" s="127"/>
      <c r="G302" s="47"/>
    </row>
    <row r="303" spans="1:7" s="122" customFormat="1" ht="45" customHeight="1" x14ac:dyDescent="0.25">
      <c r="A303" s="198"/>
      <c r="B303" s="111">
        <v>11</v>
      </c>
      <c r="C303" s="52" t="s">
        <v>40</v>
      </c>
      <c r="D303" s="46" t="s">
        <v>385</v>
      </c>
      <c r="E303" s="50"/>
      <c r="F303" s="46" t="s">
        <v>384</v>
      </c>
      <c r="G303" s="47"/>
    </row>
    <row r="304" spans="1:7" s="122" customFormat="1" ht="30" customHeight="1" x14ac:dyDescent="0.25">
      <c r="A304" s="198"/>
      <c r="B304" s="107" t="s">
        <v>81</v>
      </c>
      <c r="C304" s="51" t="s">
        <v>82</v>
      </c>
      <c r="D304" s="46" t="s">
        <v>477</v>
      </c>
      <c r="E304" s="127"/>
      <c r="F304" s="46"/>
      <c r="G304" s="47" t="s">
        <v>47</v>
      </c>
    </row>
    <row r="305" spans="1:7" s="122" customFormat="1" ht="60" customHeight="1" x14ac:dyDescent="0.25">
      <c r="A305" s="198"/>
      <c r="B305" s="111">
        <v>12</v>
      </c>
      <c r="C305" s="52" t="s">
        <v>40</v>
      </c>
      <c r="D305" s="46" t="s">
        <v>382</v>
      </c>
      <c r="E305" s="50"/>
      <c r="F305" s="46" t="s">
        <v>465</v>
      </c>
      <c r="G305" s="47"/>
    </row>
    <row r="306" spans="1:7" s="122" customFormat="1" ht="30" customHeight="1" x14ac:dyDescent="0.25">
      <c r="A306" s="198"/>
      <c r="B306" s="107" t="s">
        <v>81</v>
      </c>
      <c r="C306" s="51" t="s">
        <v>82</v>
      </c>
      <c r="D306" s="46" t="s">
        <v>464</v>
      </c>
      <c r="E306" s="127"/>
      <c r="F306" s="46"/>
      <c r="G306" s="47" t="s">
        <v>47</v>
      </c>
    </row>
    <row r="307" spans="1:7" s="122" customFormat="1" ht="15" customHeight="1" x14ac:dyDescent="0.25">
      <c r="A307" s="198"/>
      <c r="B307" s="111">
        <v>13</v>
      </c>
      <c r="C307" s="52" t="s">
        <v>40</v>
      </c>
      <c r="D307" s="46" t="s">
        <v>378</v>
      </c>
      <c r="E307" s="50"/>
      <c r="F307" s="46" t="s">
        <v>377</v>
      </c>
      <c r="G307" s="47"/>
    </row>
    <row r="308" spans="1:7" s="122" customFormat="1" ht="45" customHeight="1" thickBot="1" x14ac:dyDescent="0.3">
      <c r="A308" s="199"/>
      <c r="B308" s="54" t="s">
        <v>81</v>
      </c>
      <c r="C308" s="55" t="s">
        <v>82</v>
      </c>
      <c r="D308" s="123" t="s">
        <v>476</v>
      </c>
      <c r="E308" s="126"/>
      <c r="F308" s="123"/>
      <c r="G308" s="58" t="s">
        <v>47</v>
      </c>
    </row>
    <row r="309" spans="1:7" s="122" customFormat="1" ht="30" customHeight="1" thickBot="1" x14ac:dyDescent="0.3">
      <c r="A309" s="144" t="str">
        <f>TabellaTest!F30</f>
        <v>TF015.UC01</v>
      </c>
      <c r="B309" s="215" t="str">
        <f>TabellaTest!C30</f>
        <v>PAR. 2.3.5.3-033-15</v>
      </c>
      <c r="C309" s="216"/>
      <c r="D309" s="216" t="str">
        <f>TabellaTest!E30</f>
        <v>Verifica gestione "Provvedimento Avvenuto Pagamento"</v>
      </c>
      <c r="E309" s="217"/>
      <c r="F309" s="216" t="str">
        <f>TabellaTest!G30</f>
        <v>Verifica: Verificare nel sottosistema SIEP l'utilizzo della funzione "Provvedimento Avvenuto Pagamento"</v>
      </c>
      <c r="G309" s="218"/>
    </row>
    <row r="310" spans="1:7" s="122" customFormat="1" ht="30" x14ac:dyDescent="0.25">
      <c r="A310" s="198"/>
      <c r="B310" s="141" t="s">
        <v>31</v>
      </c>
      <c r="C310" s="142" t="s">
        <v>32</v>
      </c>
      <c r="D310" s="132" t="s">
        <v>33</v>
      </c>
      <c r="E310" s="132" t="s">
        <v>34</v>
      </c>
      <c r="F310" s="132" t="s">
        <v>35</v>
      </c>
      <c r="G310" s="143" t="s">
        <v>10</v>
      </c>
    </row>
    <row r="311" spans="1:7" s="122" customFormat="1" ht="30" customHeight="1" x14ac:dyDescent="0.25">
      <c r="A311" s="198"/>
      <c r="B311" s="117" t="s">
        <v>36</v>
      </c>
      <c r="C311" s="45" t="s">
        <v>37</v>
      </c>
      <c r="D311" s="46" t="s">
        <v>85</v>
      </c>
      <c r="E311" s="46" t="s">
        <v>86</v>
      </c>
      <c r="F311" s="46"/>
      <c r="G311" s="47"/>
    </row>
    <row r="312" spans="1:7" s="122" customFormat="1" ht="45" customHeight="1" x14ac:dyDescent="0.25">
      <c r="A312" s="198"/>
      <c r="B312" s="131">
        <v>1</v>
      </c>
      <c r="C312" s="48" t="s">
        <v>39</v>
      </c>
      <c r="D312" s="49" t="s">
        <v>621</v>
      </c>
      <c r="E312" s="50"/>
      <c r="F312" s="46"/>
      <c r="G312" s="47"/>
    </row>
    <row r="313" spans="1:7" s="122" customFormat="1" ht="90" customHeight="1" x14ac:dyDescent="0.25">
      <c r="A313" s="198"/>
      <c r="B313" s="97">
        <v>2</v>
      </c>
      <c r="C313" s="52" t="s">
        <v>40</v>
      </c>
      <c r="D313" s="46" t="s">
        <v>475</v>
      </c>
      <c r="E313" s="50"/>
      <c r="F313" s="46" t="s">
        <v>624</v>
      </c>
      <c r="G313" s="47"/>
    </row>
    <row r="314" spans="1:7" s="122" customFormat="1" ht="30" x14ac:dyDescent="0.25">
      <c r="A314" s="198"/>
      <c r="B314" s="111">
        <v>3</v>
      </c>
      <c r="C314" s="52" t="s">
        <v>40</v>
      </c>
      <c r="D314" s="46" t="s">
        <v>379</v>
      </c>
      <c r="E314" s="50"/>
      <c r="F314" s="46" t="s">
        <v>474</v>
      </c>
      <c r="G314" s="47"/>
    </row>
    <row r="315" spans="1:7" s="122" customFormat="1" ht="30" customHeight="1" x14ac:dyDescent="0.25">
      <c r="A315" s="198"/>
      <c r="B315" s="107" t="s">
        <v>81</v>
      </c>
      <c r="C315" s="51" t="s">
        <v>82</v>
      </c>
      <c r="D315" s="46" t="s">
        <v>473</v>
      </c>
      <c r="E315" s="127"/>
      <c r="F315" s="46"/>
      <c r="G315" s="47" t="s">
        <v>47</v>
      </c>
    </row>
    <row r="316" spans="1:7" s="122" customFormat="1" ht="45" customHeight="1" x14ac:dyDescent="0.25">
      <c r="A316" s="198"/>
      <c r="B316" s="131">
        <v>4</v>
      </c>
      <c r="C316" s="48" t="s">
        <v>39</v>
      </c>
      <c r="D316" s="49" t="s">
        <v>650</v>
      </c>
      <c r="E316" s="50"/>
      <c r="F316" s="46"/>
      <c r="G316" s="47"/>
    </row>
    <row r="317" spans="1:7" s="122" customFormat="1" ht="75" customHeight="1" x14ac:dyDescent="0.25">
      <c r="A317" s="198"/>
      <c r="B317" s="111">
        <v>5</v>
      </c>
      <c r="C317" s="52" t="s">
        <v>40</v>
      </c>
      <c r="D317" s="46" t="s">
        <v>622</v>
      </c>
      <c r="E317" s="50"/>
      <c r="F317" s="46" t="s">
        <v>472</v>
      </c>
      <c r="G317" s="47"/>
    </row>
    <row r="318" spans="1:7" s="122" customFormat="1" ht="45" customHeight="1" x14ac:dyDescent="0.25">
      <c r="A318" s="198"/>
      <c r="B318" s="111">
        <v>6</v>
      </c>
      <c r="C318" s="52" t="s">
        <v>40</v>
      </c>
      <c r="D318" s="46" t="s">
        <v>457</v>
      </c>
      <c r="E318" s="50"/>
      <c r="F318" s="46" t="s">
        <v>471</v>
      </c>
      <c r="G318" s="47"/>
    </row>
    <row r="319" spans="1:7" s="122" customFormat="1" ht="30" customHeight="1" x14ac:dyDescent="0.25">
      <c r="A319" s="198"/>
      <c r="B319" s="107" t="s">
        <v>81</v>
      </c>
      <c r="C319" s="51" t="s">
        <v>82</v>
      </c>
      <c r="D319" s="46" t="s">
        <v>387</v>
      </c>
      <c r="E319" s="127"/>
      <c r="F319" s="46"/>
      <c r="G319" s="47" t="s">
        <v>47</v>
      </c>
    </row>
    <row r="320" spans="1:7" s="122" customFormat="1" ht="30" x14ac:dyDescent="0.25">
      <c r="A320" s="198"/>
      <c r="B320" s="117" t="s">
        <v>36</v>
      </c>
      <c r="C320" s="45" t="s">
        <v>38</v>
      </c>
      <c r="D320" s="46" t="s">
        <v>470</v>
      </c>
      <c r="E320" s="46"/>
      <c r="F320" s="127"/>
      <c r="G320" s="47"/>
    </row>
    <row r="321" spans="1:7" s="122" customFormat="1" ht="30" customHeight="1" x14ac:dyDescent="0.25">
      <c r="A321" s="198"/>
      <c r="B321" s="111">
        <v>7</v>
      </c>
      <c r="C321" s="52" t="s">
        <v>40</v>
      </c>
      <c r="D321" s="46" t="s">
        <v>391</v>
      </c>
      <c r="E321" s="50"/>
      <c r="F321" s="46" t="s">
        <v>469</v>
      </c>
      <c r="G321" s="47"/>
    </row>
    <row r="322" spans="1:7" s="122" customFormat="1" ht="30" customHeight="1" x14ac:dyDescent="0.25">
      <c r="A322" s="198"/>
      <c r="B322" s="111">
        <v>8</v>
      </c>
      <c r="C322" s="52" t="s">
        <v>40</v>
      </c>
      <c r="D322" s="46" t="s">
        <v>389</v>
      </c>
      <c r="E322" s="50"/>
      <c r="F322" s="46" t="s">
        <v>468</v>
      </c>
      <c r="G322" s="47"/>
    </row>
    <row r="323" spans="1:7" s="122" customFormat="1" ht="30" customHeight="1" x14ac:dyDescent="0.25">
      <c r="A323" s="198"/>
      <c r="B323" s="107" t="s">
        <v>81</v>
      </c>
      <c r="C323" s="51" t="s">
        <v>82</v>
      </c>
      <c r="D323" s="46" t="s">
        <v>387</v>
      </c>
      <c r="E323" s="127"/>
      <c r="F323" s="46"/>
      <c r="G323" s="47" t="s">
        <v>47</v>
      </c>
    </row>
    <row r="324" spans="1:7" s="122" customFormat="1" ht="30" customHeight="1" x14ac:dyDescent="0.25">
      <c r="A324" s="198"/>
      <c r="B324" s="117" t="s">
        <v>36</v>
      </c>
      <c r="C324" s="45" t="s">
        <v>38</v>
      </c>
      <c r="D324" s="46" t="s">
        <v>467</v>
      </c>
      <c r="E324" s="46"/>
      <c r="F324" s="127"/>
      <c r="G324" s="47"/>
    </row>
    <row r="325" spans="1:7" s="122" customFormat="1" ht="45" customHeight="1" x14ac:dyDescent="0.25">
      <c r="A325" s="198"/>
      <c r="B325" s="111">
        <v>9</v>
      </c>
      <c r="C325" s="52" t="s">
        <v>40</v>
      </c>
      <c r="D325" s="46" t="s">
        <v>385</v>
      </c>
      <c r="E325" s="50"/>
      <c r="F325" s="46" t="s">
        <v>384</v>
      </c>
      <c r="G325" s="47"/>
    </row>
    <row r="326" spans="1:7" s="122" customFormat="1" ht="30" customHeight="1" x14ac:dyDescent="0.25">
      <c r="A326" s="198"/>
      <c r="B326" s="107" t="s">
        <v>81</v>
      </c>
      <c r="C326" s="51" t="s">
        <v>82</v>
      </c>
      <c r="D326" s="46" t="s">
        <v>466</v>
      </c>
      <c r="E326" s="127"/>
      <c r="F326" s="46"/>
      <c r="G326" s="47" t="s">
        <v>47</v>
      </c>
    </row>
    <row r="327" spans="1:7" s="122" customFormat="1" ht="60" customHeight="1" x14ac:dyDescent="0.25">
      <c r="A327" s="198"/>
      <c r="B327" s="111">
        <v>10</v>
      </c>
      <c r="C327" s="52" t="s">
        <v>40</v>
      </c>
      <c r="D327" s="46" t="s">
        <v>382</v>
      </c>
      <c r="E327" s="50"/>
      <c r="F327" s="46" t="s">
        <v>465</v>
      </c>
      <c r="G327" s="47"/>
    </row>
    <row r="328" spans="1:7" s="122" customFormat="1" ht="30" customHeight="1" x14ac:dyDescent="0.25">
      <c r="A328" s="198"/>
      <c r="B328" s="107" t="s">
        <v>81</v>
      </c>
      <c r="C328" s="51" t="s">
        <v>82</v>
      </c>
      <c r="D328" s="46" t="s">
        <v>464</v>
      </c>
      <c r="E328" s="127"/>
      <c r="F328" s="46"/>
      <c r="G328" s="47" t="s">
        <v>47</v>
      </c>
    </row>
    <row r="329" spans="1:7" s="122" customFormat="1" ht="15" customHeight="1" x14ac:dyDescent="0.25">
      <c r="A329" s="198"/>
      <c r="B329" s="111">
        <v>11</v>
      </c>
      <c r="C329" s="52" t="s">
        <v>40</v>
      </c>
      <c r="D329" s="46" t="s">
        <v>378</v>
      </c>
      <c r="E329" s="50"/>
      <c r="F329" s="46" t="s">
        <v>377</v>
      </c>
      <c r="G329" s="47"/>
    </row>
    <row r="330" spans="1:7" s="122" customFormat="1" ht="45" customHeight="1" thickBot="1" x14ac:dyDescent="0.3">
      <c r="A330" s="198"/>
      <c r="B330" s="121" t="s">
        <v>81</v>
      </c>
      <c r="C330" s="55" t="s">
        <v>82</v>
      </c>
      <c r="D330" s="136" t="s">
        <v>463</v>
      </c>
      <c r="E330" s="126"/>
      <c r="F330" s="136"/>
      <c r="G330" s="58" t="s">
        <v>47</v>
      </c>
    </row>
    <row r="331" spans="1:7" s="122" customFormat="1" ht="30" customHeight="1" thickBot="1" x14ac:dyDescent="0.3">
      <c r="A331" s="144" t="str">
        <f>TabellaTest!F31</f>
        <v>TF016.UC01</v>
      </c>
      <c r="B331" s="219" t="str">
        <f>TabellaTest!C31</f>
        <v>PAR. 2.3.5.4-033-16</v>
      </c>
      <c r="C331" s="220"/>
      <c r="D331" s="220" t="str">
        <f>TabellaTest!E31</f>
        <v>Verifica gestione "Trasmissione Atti per la Conversione"</v>
      </c>
      <c r="E331" s="221"/>
      <c r="F331" s="220" t="str">
        <f>TabellaTest!G31</f>
        <v>Verifica: Verificare nel sottosistema SIEP l'utilizzo della funzione "Trasmissione Atti per la Conversione"</v>
      </c>
      <c r="G331" s="222"/>
    </row>
    <row r="332" spans="1:7" s="122" customFormat="1" ht="30" x14ac:dyDescent="0.25">
      <c r="A332" s="197"/>
      <c r="B332" s="145" t="s">
        <v>31</v>
      </c>
      <c r="C332" s="142" t="s">
        <v>32</v>
      </c>
      <c r="D332" s="132" t="s">
        <v>33</v>
      </c>
      <c r="E332" s="132" t="s">
        <v>34</v>
      </c>
      <c r="F332" s="132" t="s">
        <v>35</v>
      </c>
      <c r="G332" s="143" t="s">
        <v>10</v>
      </c>
    </row>
    <row r="333" spans="1:7" s="122" customFormat="1" ht="30" customHeight="1" x14ac:dyDescent="0.25">
      <c r="A333" s="198"/>
      <c r="B333" s="56" t="s">
        <v>36</v>
      </c>
      <c r="C333" s="45" t="s">
        <v>37</v>
      </c>
      <c r="D333" s="46" t="s">
        <v>85</v>
      </c>
      <c r="E333" s="46" t="s">
        <v>86</v>
      </c>
      <c r="F333" s="46"/>
      <c r="G333" s="47"/>
    </row>
    <row r="334" spans="1:7" s="122" customFormat="1" ht="45" customHeight="1" x14ac:dyDescent="0.25">
      <c r="A334" s="198"/>
      <c r="B334" s="57">
        <v>1</v>
      </c>
      <c r="C334" s="48" t="s">
        <v>39</v>
      </c>
      <c r="D334" s="49" t="s">
        <v>621</v>
      </c>
      <c r="E334" s="50"/>
      <c r="F334" s="46"/>
      <c r="G334" s="47"/>
    </row>
    <row r="335" spans="1:7" s="122" customFormat="1" ht="60" customHeight="1" x14ac:dyDescent="0.25">
      <c r="A335" s="198"/>
      <c r="B335" s="111">
        <v>2</v>
      </c>
      <c r="C335" s="52" t="s">
        <v>40</v>
      </c>
      <c r="D335" s="46" t="s">
        <v>462</v>
      </c>
      <c r="E335" s="50"/>
      <c r="F335" s="46" t="s">
        <v>623</v>
      </c>
      <c r="G335" s="47"/>
    </row>
    <row r="336" spans="1:7" s="122" customFormat="1" ht="30" x14ac:dyDescent="0.25">
      <c r="A336" s="198"/>
      <c r="B336" s="111">
        <v>3</v>
      </c>
      <c r="C336" s="52" t="s">
        <v>40</v>
      </c>
      <c r="D336" s="46" t="s">
        <v>379</v>
      </c>
      <c r="E336" s="50"/>
      <c r="F336" s="46" t="s">
        <v>461</v>
      </c>
      <c r="G336" s="47"/>
    </row>
    <row r="337" spans="1:7" s="122" customFormat="1" ht="30" customHeight="1" x14ac:dyDescent="0.25">
      <c r="A337" s="198"/>
      <c r="B337" s="107" t="s">
        <v>81</v>
      </c>
      <c r="C337" s="51" t="s">
        <v>82</v>
      </c>
      <c r="D337" s="46" t="s">
        <v>460</v>
      </c>
      <c r="E337" s="127"/>
      <c r="F337" s="46"/>
      <c r="G337" s="47" t="s">
        <v>47</v>
      </c>
    </row>
    <row r="338" spans="1:7" s="122" customFormat="1" ht="45" customHeight="1" x14ac:dyDescent="0.25">
      <c r="A338" s="198"/>
      <c r="B338" s="131">
        <v>4</v>
      </c>
      <c r="C338" s="48" t="s">
        <v>39</v>
      </c>
      <c r="D338" s="49" t="s">
        <v>649</v>
      </c>
      <c r="E338" s="50"/>
      <c r="F338" s="46"/>
      <c r="G338" s="47"/>
    </row>
    <row r="339" spans="1:7" s="122" customFormat="1" ht="45" x14ac:dyDescent="0.25">
      <c r="A339" s="198"/>
      <c r="B339" s="111">
        <v>5</v>
      </c>
      <c r="C339" s="52" t="s">
        <v>40</v>
      </c>
      <c r="D339" s="46" t="s">
        <v>459</v>
      </c>
      <c r="E339" s="50"/>
      <c r="F339" s="46" t="s">
        <v>458</v>
      </c>
      <c r="G339" s="47"/>
    </row>
    <row r="340" spans="1:7" s="122" customFormat="1" ht="45" customHeight="1" x14ac:dyDescent="0.25">
      <c r="A340" s="198"/>
      <c r="B340" s="111">
        <v>6</v>
      </c>
      <c r="C340" s="52" t="s">
        <v>40</v>
      </c>
      <c r="D340" s="46" t="s">
        <v>457</v>
      </c>
      <c r="E340" s="50" t="s">
        <v>394</v>
      </c>
      <c r="F340" s="46" t="s">
        <v>456</v>
      </c>
      <c r="G340" s="47"/>
    </row>
    <row r="341" spans="1:7" s="122" customFormat="1" ht="30" customHeight="1" x14ac:dyDescent="0.25">
      <c r="A341" s="198"/>
      <c r="B341" s="107" t="s">
        <v>81</v>
      </c>
      <c r="C341" s="51" t="s">
        <v>82</v>
      </c>
      <c r="D341" s="46" t="s">
        <v>387</v>
      </c>
      <c r="E341" s="127"/>
      <c r="F341" s="46"/>
      <c r="G341" s="47" t="s">
        <v>47</v>
      </c>
    </row>
    <row r="342" spans="1:7" s="122" customFormat="1" ht="30" x14ac:dyDescent="0.25">
      <c r="A342" s="198"/>
      <c r="B342" s="117" t="s">
        <v>36</v>
      </c>
      <c r="C342" s="45" t="s">
        <v>38</v>
      </c>
      <c r="D342" s="46" t="s">
        <v>455</v>
      </c>
      <c r="E342" s="46"/>
      <c r="F342" s="127"/>
      <c r="G342" s="47"/>
    </row>
    <row r="343" spans="1:7" s="122" customFormat="1" ht="30" customHeight="1" x14ac:dyDescent="0.25">
      <c r="A343" s="198"/>
      <c r="B343" s="111">
        <v>7</v>
      </c>
      <c r="C343" s="52" t="s">
        <v>40</v>
      </c>
      <c r="D343" s="46" t="s">
        <v>391</v>
      </c>
      <c r="E343" s="50"/>
      <c r="F343" s="46" t="s">
        <v>454</v>
      </c>
      <c r="G343" s="47"/>
    </row>
    <row r="344" spans="1:7" s="122" customFormat="1" ht="30" customHeight="1" x14ac:dyDescent="0.25">
      <c r="A344" s="198"/>
      <c r="B344" s="111">
        <v>8</v>
      </c>
      <c r="C344" s="52" t="s">
        <v>40</v>
      </c>
      <c r="D344" s="46" t="s">
        <v>389</v>
      </c>
      <c r="E344" s="50"/>
      <c r="F344" s="46" t="s">
        <v>453</v>
      </c>
      <c r="G344" s="47"/>
    </row>
    <row r="345" spans="1:7" s="122" customFormat="1" ht="30" customHeight="1" x14ac:dyDescent="0.25">
      <c r="A345" s="198"/>
      <c r="B345" s="107" t="s">
        <v>81</v>
      </c>
      <c r="C345" s="51" t="s">
        <v>82</v>
      </c>
      <c r="D345" s="46" t="s">
        <v>387</v>
      </c>
      <c r="E345" s="127"/>
      <c r="F345" s="46"/>
      <c r="G345" s="47" t="s">
        <v>47</v>
      </c>
    </row>
    <row r="346" spans="1:7" s="122" customFormat="1" ht="45" customHeight="1" x14ac:dyDescent="0.25">
      <c r="A346" s="198"/>
      <c r="B346" s="117" t="s">
        <v>36</v>
      </c>
      <c r="C346" s="45" t="s">
        <v>38</v>
      </c>
      <c r="D346" s="46" t="s">
        <v>452</v>
      </c>
      <c r="E346" s="46"/>
      <c r="F346" s="127"/>
      <c r="G346" s="47"/>
    </row>
    <row r="347" spans="1:7" s="122" customFormat="1" ht="45" customHeight="1" x14ac:dyDescent="0.25">
      <c r="A347" s="198"/>
      <c r="B347" s="111">
        <v>9</v>
      </c>
      <c r="C347" s="52" t="s">
        <v>40</v>
      </c>
      <c r="D347" s="46" t="s">
        <v>385</v>
      </c>
      <c r="E347" s="50"/>
      <c r="F347" s="46" t="s">
        <v>384</v>
      </c>
      <c r="G347" s="47"/>
    </row>
    <row r="348" spans="1:7" s="122" customFormat="1" ht="30" customHeight="1" x14ac:dyDescent="0.25">
      <c r="A348" s="198"/>
      <c r="B348" s="107" t="s">
        <v>81</v>
      </c>
      <c r="C348" s="51" t="s">
        <v>82</v>
      </c>
      <c r="D348" s="46" t="s">
        <v>451</v>
      </c>
      <c r="E348" s="127"/>
      <c r="F348" s="46"/>
      <c r="G348" s="47" t="s">
        <v>47</v>
      </c>
    </row>
    <row r="349" spans="1:7" s="122" customFormat="1" ht="60" customHeight="1" x14ac:dyDescent="0.25">
      <c r="A349" s="198"/>
      <c r="B349" s="111">
        <v>10</v>
      </c>
      <c r="C349" s="52" t="s">
        <v>40</v>
      </c>
      <c r="D349" s="46" t="s">
        <v>382</v>
      </c>
      <c r="E349" s="50"/>
      <c r="F349" s="46" t="s">
        <v>450</v>
      </c>
      <c r="G349" s="47"/>
    </row>
    <row r="350" spans="1:7" s="122" customFormat="1" ht="30" customHeight="1" x14ac:dyDescent="0.25">
      <c r="A350" s="198"/>
      <c r="B350" s="107" t="s">
        <v>81</v>
      </c>
      <c r="C350" s="51" t="s">
        <v>82</v>
      </c>
      <c r="D350" s="46" t="s">
        <v>449</v>
      </c>
      <c r="E350" s="127"/>
      <c r="F350" s="46"/>
      <c r="G350" s="47" t="s">
        <v>47</v>
      </c>
    </row>
    <row r="351" spans="1:7" s="122" customFormat="1" ht="45" customHeight="1" x14ac:dyDescent="0.25">
      <c r="A351" s="198"/>
      <c r="B351" s="111">
        <v>11</v>
      </c>
      <c r="C351" s="52" t="s">
        <v>40</v>
      </c>
      <c r="D351" s="46" t="s">
        <v>448</v>
      </c>
      <c r="E351" s="50"/>
      <c r="F351" s="46" t="s">
        <v>447</v>
      </c>
      <c r="G351" s="47"/>
    </row>
    <row r="352" spans="1:7" s="122" customFormat="1" ht="30" customHeight="1" x14ac:dyDescent="0.25">
      <c r="A352" s="198"/>
      <c r="B352" s="111">
        <v>12</v>
      </c>
      <c r="C352" s="52" t="s">
        <v>40</v>
      </c>
      <c r="D352" s="46" t="s">
        <v>446</v>
      </c>
      <c r="E352" s="50"/>
      <c r="F352" s="46" t="s">
        <v>380</v>
      </c>
      <c r="G352" s="47"/>
    </row>
    <row r="353" spans="1:7" s="122" customFormat="1" ht="15" customHeight="1" x14ac:dyDescent="0.25">
      <c r="A353" s="198"/>
      <c r="B353" s="111">
        <v>13</v>
      </c>
      <c r="C353" s="52" t="s">
        <v>40</v>
      </c>
      <c r="D353" s="46" t="s">
        <v>379</v>
      </c>
      <c r="E353" s="50"/>
      <c r="F353" s="46" t="s">
        <v>377</v>
      </c>
      <c r="G353" s="47"/>
    </row>
    <row r="354" spans="1:7" s="122" customFormat="1" ht="60" customHeight="1" thickBot="1" x14ac:dyDescent="0.3">
      <c r="A354" s="199"/>
      <c r="B354" s="121" t="s">
        <v>81</v>
      </c>
      <c r="C354" s="55" t="s">
        <v>82</v>
      </c>
      <c r="D354" s="136" t="s">
        <v>445</v>
      </c>
      <c r="E354" s="126"/>
      <c r="F354" s="136"/>
      <c r="G354" s="58" t="s">
        <v>47</v>
      </c>
    </row>
    <row r="355" spans="1:7" s="122" customFormat="1" ht="120" customHeight="1" thickBot="1" x14ac:dyDescent="0.3">
      <c r="A355" s="144" t="str">
        <f>TabellaTest!F32</f>
        <v>TF017.UC01</v>
      </c>
      <c r="B355" s="211" t="str">
        <f>TabellaTest!C32</f>
        <v>PAR. 2.3.5.4.1-033-17</v>
      </c>
      <c r="C355" s="223"/>
      <c r="D355" s="212" t="str">
        <f>TabellaTest!E32</f>
        <v>Verifica presenza nuovi Esiti</v>
      </c>
      <c r="E355" s="212"/>
      <c r="F355" s="212" t="str">
        <f>TabellaTest!G32</f>
        <v>Verifica: Verificare nel sottosistema SIUS la presenza per contenuto "Conversione / Rateizzazione Pena Pecuniaria" e per oggetti "Conversione pena pecuniaria" e "Rateizzazione pena pecuniaria" dei nuovi esiti "Dispone conversione in detenzione domiciliare sostitutiva", "Dispone conversione in semilibertà sostitutiva" e "Dispone conversione in lavoro di pubblica utilità sostitutivo"</v>
      </c>
      <c r="G355" s="224"/>
    </row>
    <row r="356" spans="1:7" s="122" customFormat="1" ht="30" customHeight="1" x14ac:dyDescent="0.25">
      <c r="A356" s="231"/>
      <c r="B356" s="146" t="s">
        <v>36</v>
      </c>
      <c r="C356" s="147" t="s">
        <v>37</v>
      </c>
      <c r="D356" s="148" t="s">
        <v>371</v>
      </c>
      <c r="E356" s="148" t="s">
        <v>370</v>
      </c>
      <c r="F356" s="149"/>
      <c r="G356" s="150"/>
    </row>
    <row r="357" spans="1:7" s="122" customFormat="1" ht="15" customHeight="1" x14ac:dyDescent="0.25">
      <c r="A357" s="232"/>
      <c r="B357" s="117" t="s">
        <v>36</v>
      </c>
      <c r="C357" s="45" t="s">
        <v>38</v>
      </c>
      <c r="D357" s="46" t="s">
        <v>369</v>
      </c>
      <c r="E357" s="46"/>
      <c r="F357" s="127"/>
      <c r="G357" s="47"/>
    </row>
    <row r="358" spans="1:7" s="122" customFormat="1" ht="30" customHeight="1" x14ac:dyDescent="0.25">
      <c r="A358" s="232"/>
      <c r="B358" s="131">
        <v>1</v>
      </c>
      <c r="C358" s="48" t="s">
        <v>39</v>
      </c>
      <c r="D358" s="49" t="s">
        <v>629</v>
      </c>
      <c r="E358" s="50"/>
      <c r="F358" s="46" t="s">
        <v>368</v>
      </c>
      <c r="G358" s="47"/>
    </row>
    <row r="359" spans="1:7" s="122" customFormat="1" ht="45" customHeight="1" x14ac:dyDescent="0.25">
      <c r="A359" s="232"/>
      <c r="B359" s="151">
        <v>2</v>
      </c>
      <c r="C359" s="52" t="s">
        <v>40</v>
      </c>
      <c r="D359" s="46" t="s">
        <v>367</v>
      </c>
      <c r="E359" s="50"/>
      <c r="F359" s="46" t="s">
        <v>366</v>
      </c>
      <c r="G359" s="47"/>
    </row>
    <row r="360" spans="1:7" s="122" customFormat="1" ht="30" customHeight="1" x14ac:dyDescent="0.25">
      <c r="A360" s="232"/>
      <c r="B360" s="151">
        <v>3</v>
      </c>
      <c r="C360" s="52" t="s">
        <v>40</v>
      </c>
      <c r="D360" s="46" t="s">
        <v>444</v>
      </c>
      <c r="E360" s="50"/>
      <c r="F360" s="46" t="s">
        <v>364</v>
      </c>
      <c r="G360" s="47"/>
    </row>
    <row r="361" spans="1:7" s="122" customFormat="1" ht="75" customHeight="1" x14ac:dyDescent="0.25">
      <c r="A361" s="232"/>
      <c r="B361" s="151">
        <v>4</v>
      </c>
      <c r="C361" s="52" t="s">
        <v>40</v>
      </c>
      <c r="D361" s="46" t="s">
        <v>630</v>
      </c>
      <c r="E361" s="50"/>
      <c r="F361" s="46"/>
      <c r="G361" s="47"/>
    </row>
    <row r="362" spans="1:7" s="122" customFormat="1" ht="30" customHeight="1" x14ac:dyDescent="0.25">
      <c r="A362" s="232"/>
      <c r="B362" s="131">
        <v>5</v>
      </c>
      <c r="C362" s="48" t="s">
        <v>39</v>
      </c>
      <c r="D362" s="49" t="s">
        <v>631</v>
      </c>
      <c r="E362" s="50"/>
      <c r="F362" s="46" t="s">
        <v>342</v>
      </c>
      <c r="G362" s="47"/>
    </row>
    <row r="363" spans="1:7" s="122" customFormat="1" ht="30" customHeight="1" x14ac:dyDescent="0.25">
      <c r="A363" s="232"/>
      <c r="B363" s="151">
        <v>6</v>
      </c>
      <c r="C363" s="52" t="s">
        <v>40</v>
      </c>
      <c r="D363" s="46" t="s">
        <v>341</v>
      </c>
      <c r="E363" s="50"/>
      <c r="F363" s="46" t="s">
        <v>340</v>
      </c>
      <c r="G363" s="47"/>
    </row>
    <row r="364" spans="1:7" s="122" customFormat="1" ht="75" customHeight="1" thickBot="1" x14ac:dyDescent="0.3">
      <c r="A364" s="233"/>
      <c r="B364" s="121" t="s">
        <v>81</v>
      </c>
      <c r="C364" s="55" t="s">
        <v>82</v>
      </c>
      <c r="D364" s="136" t="s">
        <v>443</v>
      </c>
      <c r="E364" s="126"/>
      <c r="F364" s="136"/>
      <c r="G364" s="58"/>
    </row>
    <row r="365" spans="1:7" s="122" customFormat="1" ht="30" customHeight="1" thickBot="1" x14ac:dyDescent="0.3">
      <c r="A365" s="128" t="str">
        <f>TabellaTest!F33</f>
        <v>TF018.UC01</v>
      </c>
      <c r="B365" s="207" t="str">
        <f>TabellaTest!C33</f>
        <v>PAR. 2.3.5.5-033-18</v>
      </c>
      <c r="C365" s="208"/>
      <c r="D365" s="209" t="str">
        <f>TabellaTest!E33</f>
        <v>Verifica inserimento "Definizione Procedimento"</v>
      </c>
      <c r="E365" s="210"/>
      <c r="F365" s="209" t="str">
        <f>TabellaTest!G33</f>
        <v>Verifica: Verificare nel sottosistema SIEP l'utilizzo della funzione "Definizione Procedimento"</v>
      </c>
      <c r="G365" s="214"/>
    </row>
    <row r="366" spans="1:7" s="122" customFormat="1" ht="30" customHeight="1" x14ac:dyDescent="0.25">
      <c r="A366" s="197"/>
      <c r="B366" s="146" t="s">
        <v>36</v>
      </c>
      <c r="C366" s="147" t="s">
        <v>37</v>
      </c>
      <c r="D366" s="148" t="s">
        <v>85</v>
      </c>
      <c r="E366" s="148" t="s">
        <v>86</v>
      </c>
      <c r="F366" s="148"/>
      <c r="G366" s="150"/>
    </row>
    <row r="367" spans="1:7" s="122" customFormat="1" ht="45" customHeight="1" x14ac:dyDescent="0.25">
      <c r="A367" s="198"/>
      <c r="B367" s="131">
        <v>1</v>
      </c>
      <c r="C367" s="48" t="s">
        <v>39</v>
      </c>
      <c r="D367" s="49" t="s">
        <v>632</v>
      </c>
      <c r="E367" s="50"/>
      <c r="F367" s="46"/>
      <c r="G367" s="47"/>
    </row>
    <row r="368" spans="1:7" s="122" customFormat="1" ht="45" customHeight="1" x14ac:dyDescent="0.25">
      <c r="A368" s="198"/>
      <c r="B368" s="111">
        <v>2</v>
      </c>
      <c r="C368" s="52" t="s">
        <v>40</v>
      </c>
      <c r="D368" s="46" t="s">
        <v>442</v>
      </c>
      <c r="E368" s="50"/>
      <c r="F368" s="46" t="s">
        <v>441</v>
      </c>
      <c r="G368" s="47"/>
    </row>
    <row r="369" spans="1:7" s="122" customFormat="1" ht="45" customHeight="1" x14ac:dyDescent="0.25">
      <c r="A369" s="198"/>
      <c r="B369" s="111">
        <v>3</v>
      </c>
      <c r="C369" s="52" t="s">
        <v>40</v>
      </c>
      <c r="D369" s="46" t="s">
        <v>359</v>
      </c>
      <c r="E369" s="50"/>
      <c r="F369" s="46" t="s">
        <v>438</v>
      </c>
      <c r="G369" s="47"/>
    </row>
    <row r="370" spans="1:7" s="122" customFormat="1" ht="30" customHeight="1" x14ac:dyDescent="0.25">
      <c r="A370" s="198"/>
      <c r="B370" s="107" t="s">
        <v>81</v>
      </c>
      <c r="C370" s="51" t="s">
        <v>82</v>
      </c>
      <c r="D370" s="46" t="s">
        <v>387</v>
      </c>
      <c r="E370" s="127"/>
      <c r="F370" s="46"/>
      <c r="G370" s="47" t="s">
        <v>47</v>
      </c>
    </row>
    <row r="371" spans="1:7" s="122" customFormat="1" ht="30" x14ac:dyDescent="0.25">
      <c r="A371" s="198"/>
      <c r="B371" s="117" t="s">
        <v>36</v>
      </c>
      <c r="C371" s="45" t="s">
        <v>38</v>
      </c>
      <c r="D371" s="46" t="s">
        <v>440</v>
      </c>
      <c r="E371" s="46"/>
      <c r="F371" s="127"/>
      <c r="G371" s="47"/>
    </row>
    <row r="372" spans="1:7" s="122" customFormat="1" ht="30" customHeight="1" x14ac:dyDescent="0.25">
      <c r="A372" s="198"/>
      <c r="B372" s="111">
        <v>4</v>
      </c>
      <c r="C372" s="52" t="s">
        <v>40</v>
      </c>
      <c r="D372" s="46" t="s">
        <v>391</v>
      </c>
      <c r="E372" s="50"/>
      <c r="F372" s="46" t="s">
        <v>439</v>
      </c>
      <c r="G372" s="47"/>
    </row>
    <row r="373" spans="1:7" s="122" customFormat="1" ht="45" customHeight="1" x14ac:dyDescent="0.25">
      <c r="A373" s="198"/>
      <c r="B373" s="111">
        <v>5</v>
      </c>
      <c r="C373" s="52" t="s">
        <v>40</v>
      </c>
      <c r="D373" s="46" t="s">
        <v>389</v>
      </c>
      <c r="E373" s="50"/>
      <c r="F373" s="46" t="s">
        <v>438</v>
      </c>
      <c r="G373" s="47"/>
    </row>
    <row r="374" spans="1:7" s="122" customFormat="1" ht="30" customHeight="1" x14ac:dyDescent="0.25">
      <c r="A374" s="198"/>
      <c r="B374" s="107" t="s">
        <v>81</v>
      </c>
      <c r="C374" s="51" t="s">
        <v>82</v>
      </c>
      <c r="D374" s="46" t="s">
        <v>387</v>
      </c>
      <c r="E374" s="127"/>
      <c r="F374" s="46"/>
      <c r="G374" s="47" t="s">
        <v>47</v>
      </c>
    </row>
    <row r="375" spans="1:7" s="122" customFormat="1" ht="45" customHeight="1" x14ac:dyDescent="0.25">
      <c r="A375" s="198"/>
      <c r="B375" s="117" t="s">
        <v>36</v>
      </c>
      <c r="C375" s="45" t="s">
        <v>38</v>
      </c>
      <c r="D375" s="46" t="s">
        <v>437</v>
      </c>
      <c r="E375" s="46"/>
      <c r="F375" s="127"/>
      <c r="G375" s="47"/>
    </row>
    <row r="376" spans="1:7" s="122" customFormat="1" ht="45" customHeight="1" x14ac:dyDescent="0.25">
      <c r="A376" s="198"/>
      <c r="B376" s="111">
        <v>6</v>
      </c>
      <c r="C376" s="52" t="s">
        <v>40</v>
      </c>
      <c r="D376" s="46" t="s">
        <v>385</v>
      </c>
      <c r="E376" s="50"/>
      <c r="F376" s="46" t="s">
        <v>384</v>
      </c>
      <c r="G376" s="47"/>
    </row>
    <row r="377" spans="1:7" s="122" customFormat="1" ht="30" customHeight="1" x14ac:dyDescent="0.25">
      <c r="A377" s="198"/>
      <c r="B377" s="107" t="s">
        <v>81</v>
      </c>
      <c r="C377" s="51" t="s">
        <v>82</v>
      </c>
      <c r="D377" s="46" t="s">
        <v>436</v>
      </c>
      <c r="E377" s="127"/>
      <c r="F377" s="46"/>
      <c r="G377" s="47" t="s">
        <v>47</v>
      </c>
    </row>
    <row r="378" spans="1:7" s="122" customFormat="1" ht="30" customHeight="1" x14ac:dyDescent="0.25">
      <c r="A378" s="198"/>
      <c r="B378" s="111">
        <v>7</v>
      </c>
      <c r="C378" s="52" t="s">
        <v>40</v>
      </c>
      <c r="D378" s="46" t="s">
        <v>382</v>
      </c>
      <c r="E378" s="50"/>
      <c r="F378" s="46" t="s">
        <v>435</v>
      </c>
      <c r="G378" s="47"/>
    </row>
    <row r="379" spans="1:7" s="122" customFormat="1" ht="30" customHeight="1" x14ac:dyDescent="0.25">
      <c r="A379" s="198"/>
      <c r="B379" s="107" t="s">
        <v>81</v>
      </c>
      <c r="C379" s="51" t="s">
        <v>82</v>
      </c>
      <c r="D379" s="46" t="s">
        <v>434</v>
      </c>
      <c r="E379" s="127"/>
      <c r="F379" s="46"/>
      <c r="G379" s="47" t="s">
        <v>47</v>
      </c>
    </row>
    <row r="380" spans="1:7" s="122" customFormat="1" ht="15" customHeight="1" x14ac:dyDescent="0.25">
      <c r="A380" s="198"/>
      <c r="B380" s="111">
        <v>8</v>
      </c>
      <c r="C380" s="52" t="s">
        <v>40</v>
      </c>
      <c r="D380" s="46" t="s">
        <v>378</v>
      </c>
      <c r="E380" s="50"/>
      <c r="F380" s="46" t="s">
        <v>377</v>
      </c>
      <c r="G380" s="47"/>
    </row>
    <row r="381" spans="1:7" s="122" customFormat="1" ht="45" customHeight="1" thickBot="1" x14ac:dyDescent="0.3">
      <c r="A381" s="199"/>
      <c r="B381" s="121" t="s">
        <v>81</v>
      </c>
      <c r="C381" s="55" t="s">
        <v>82</v>
      </c>
      <c r="D381" s="136" t="s">
        <v>433</v>
      </c>
      <c r="E381" s="126"/>
      <c r="F381" s="136"/>
      <c r="G381" s="58" t="s">
        <v>47</v>
      </c>
    </row>
    <row r="382" spans="1:7" s="122" customFormat="1" ht="45" customHeight="1" thickBot="1" x14ac:dyDescent="0.3">
      <c r="A382" s="140" t="str">
        <f>TabellaTest!F34</f>
        <v>TF019.UC01</v>
      </c>
      <c r="B382" s="226" t="str">
        <f>TabellaTest!C34</f>
        <v>PAR. 2.4-033-19</v>
      </c>
      <c r="C382" s="227"/>
      <c r="D382" s="228" t="str">
        <f>TabellaTest!E34</f>
        <v>Verifica presenza elenco provvedimenti in "Verifica Stato Bollettini"</v>
      </c>
      <c r="E382" s="229"/>
      <c r="F382" s="228" t="str">
        <f>TabellaTest!G34</f>
        <v>Verifica: Verificare nel sottosistema SIEP la presenza dell'elenco dei provvedimenti nella funzione "Verifica Stato Bollettini"</v>
      </c>
      <c r="G382" s="230"/>
    </row>
    <row r="383" spans="1:7" s="122" customFormat="1" ht="30" customHeight="1" x14ac:dyDescent="0.25">
      <c r="A383" s="197"/>
      <c r="B383" s="134" t="s">
        <v>31</v>
      </c>
      <c r="C383" s="44" t="s">
        <v>32</v>
      </c>
      <c r="D383" s="29" t="s">
        <v>33</v>
      </c>
      <c r="E383" s="29" t="s">
        <v>34</v>
      </c>
      <c r="F383" s="29" t="s">
        <v>35</v>
      </c>
      <c r="G383" s="30" t="s">
        <v>10</v>
      </c>
    </row>
    <row r="384" spans="1:7" s="122" customFormat="1" ht="30" customHeight="1" x14ac:dyDescent="0.25">
      <c r="A384" s="198"/>
      <c r="B384" s="117" t="s">
        <v>36</v>
      </c>
      <c r="C384" s="45" t="s">
        <v>37</v>
      </c>
      <c r="D384" s="46" t="s">
        <v>85</v>
      </c>
      <c r="E384" s="46" t="s">
        <v>86</v>
      </c>
      <c r="F384" s="46"/>
      <c r="G384" s="47"/>
    </row>
    <row r="385" spans="1:7" s="122" customFormat="1" ht="75" customHeight="1" x14ac:dyDescent="0.25">
      <c r="A385" s="198"/>
      <c r="B385" s="117" t="s">
        <v>36</v>
      </c>
      <c r="C385" s="45" t="s">
        <v>38</v>
      </c>
      <c r="D385" s="46" t="s">
        <v>432</v>
      </c>
      <c r="E385" s="46"/>
      <c r="F385" s="127"/>
      <c r="G385" s="47"/>
    </row>
    <row r="386" spans="1:7" s="122" customFormat="1" ht="60" customHeight="1" x14ac:dyDescent="0.25">
      <c r="A386" s="198"/>
      <c r="B386" s="131">
        <v>1</v>
      </c>
      <c r="C386" s="48" t="s">
        <v>39</v>
      </c>
      <c r="D386" s="49" t="s">
        <v>633</v>
      </c>
      <c r="E386" s="50"/>
      <c r="F386" s="46" t="s">
        <v>431</v>
      </c>
      <c r="G386" s="47"/>
    </row>
    <row r="387" spans="1:7" s="135" customFormat="1" ht="30" customHeight="1" x14ac:dyDescent="0.25">
      <c r="A387" s="198"/>
      <c r="B387" s="73" t="s">
        <v>81</v>
      </c>
      <c r="C387" s="70" t="s">
        <v>82</v>
      </c>
      <c r="D387" s="60" t="s">
        <v>634</v>
      </c>
      <c r="E387" s="129"/>
      <c r="F387" s="60"/>
      <c r="G387" s="53" t="s">
        <v>47</v>
      </c>
    </row>
    <row r="388" spans="1:7" s="122" customFormat="1" ht="45" customHeight="1" x14ac:dyDescent="0.25">
      <c r="A388" s="198"/>
      <c r="B388" s="62">
        <v>2</v>
      </c>
      <c r="C388" s="52" t="s">
        <v>40</v>
      </c>
      <c r="D388" s="46" t="s">
        <v>430</v>
      </c>
      <c r="E388" s="127"/>
      <c r="F388" s="46" t="s">
        <v>429</v>
      </c>
      <c r="G388" s="47"/>
    </row>
    <row r="389" spans="1:7" s="122" customFormat="1" ht="30" customHeight="1" thickBot="1" x14ac:dyDescent="0.3">
      <c r="A389" s="198"/>
      <c r="B389" s="73" t="s">
        <v>81</v>
      </c>
      <c r="C389" s="70" t="s">
        <v>82</v>
      </c>
      <c r="D389" s="60" t="s">
        <v>428</v>
      </c>
      <c r="E389" s="129"/>
      <c r="F389" s="60"/>
      <c r="G389" s="53" t="s">
        <v>47</v>
      </c>
    </row>
    <row r="390" spans="1:7" s="122" customFormat="1" ht="30" customHeight="1" thickBot="1" x14ac:dyDescent="0.3">
      <c r="A390" s="128" t="str">
        <f>TabellaTest!F35</f>
        <v>TF020.UC01</v>
      </c>
      <c r="B390" s="207" t="str">
        <f>TabellaTest!C35</f>
        <v>PAR. 2.5.1-033-20</v>
      </c>
      <c r="C390" s="210"/>
      <c r="D390" s="212" t="str">
        <f>TabellaTest!E35</f>
        <v>Verifica funzionalità "Scadenzario Stato Pagamenti"</v>
      </c>
      <c r="E390" s="213"/>
      <c r="F390" s="212" t="str">
        <f>TabellaTest!G35</f>
        <v>Verifica: Verificare nel sottosistema SIEP l'utilizzio della funzione di consultazione dello Scadenzario Stato Pagamenti</v>
      </c>
      <c r="G390" s="225"/>
    </row>
    <row r="391" spans="1:7" s="122" customFormat="1" ht="30" customHeight="1" x14ac:dyDescent="0.25">
      <c r="A391" s="197"/>
      <c r="B391" s="134" t="s">
        <v>31</v>
      </c>
      <c r="C391" s="44" t="s">
        <v>32</v>
      </c>
      <c r="D391" s="33" t="s">
        <v>33</v>
      </c>
      <c r="E391" s="33" t="s">
        <v>34</v>
      </c>
      <c r="F391" s="33" t="s">
        <v>35</v>
      </c>
      <c r="G391" s="34" t="s">
        <v>10</v>
      </c>
    </row>
    <row r="392" spans="1:7" s="122" customFormat="1" ht="30" customHeight="1" x14ac:dyDescent="0.25">
      <c r="A392" s="198"/>
      <c r="B392" s="117" t="s">
        <v>36</v>
      </c>
      <c r="C392" s="45" t="s">
        <v>37</v>
      </c>
      <c r="D392" s="46" t="s">
        <v>85</v>
      </c>
      <c r="E392" s="46" t="s">
        <v>86</v>
      </c>
      <c r="F392" s="46"/>
      <c r="G392" s="47"/>
    </row>
    <row r="393" spans="1:7" s="122" customFormat="1" ht="15" customHeight="1" x14ac:dyDescent="0.25">
      <c r="A393" s="198"/>
      <c r="B393" s="117" t="s">
        <v>36</v>
      </c>
      <c r="C393" s="45" t="s">
        <v>38</v>
      </c>
      <c r="D393" s="46" t="s">
        <v>411</v>
      </c>
      <c r="E393" s="46"/>
      <c r="F393" s="127"/>
      <c r="G393" s="47"/>
    </row>
    <row r="394" spans="1:7" s="122" customFormat="1" ht="45" x14ac:dyDescent="0.25">
      <c r="A394" s="198"/>
      <c r="B394" s="131">
        <v>1</v>
      </c>
      <c r="C394" s="48" t="s">
        <v>39</v>
      </c>
      <c r="D394" s="49" t="s">
        <v>635</v>
      </c>
      <c r="E394" s="50"/>
      <c r="F394" s="46" t="s">
        <v>427</v>
      </c>
      <c r="G394" s="47"/>
    </row>
    <row r="395" spans="1:7" s="122" customFormat="1" ht="30" customHeight="1" x14ac:dyDescent="0.25">
      <c r="A395" s="198"/>
      <c r="B395" s="152">
        <v>2</v>
      </c>
      <c r="C395" s="52" t="s">
        <v>40</v>
      </c>
      <c r="D395" s="46" t="s">
        <v>426</v>
      </c>
      <c r="E395" s="127"/>
      <c r="F395" s="46" t="s">
        <v>420</v>
      </c>
      <c r="G395" s="47"/>
    </row>
    <row r="396" spans="1:7" s="122" customFormat="1" ht="30" customHeight="1" x14ac:dyDescent="0.25">
      <c r="A396" s="198"/>
      <c r="B396" s="107" t="s">
        <v>81</v>
      </c>
      <c r="C396" s="51" t="s">
        <v>82</v>
      </c>
      <c r="D396" s="46" t="s">
        <v>425</v>
      </c>
      <c r="E396" s="127"/>
      <c r="F396" s="46"/>
      <c r="G396" s="47" t="s">
        <v>47</v>
      </c>
    </row>
    <row r="397" spans="1:7" s="122" customFormat="1" ht="30" customHeight="1" x14ac:dyDescent="0.25">
      <c r="A397" s="198"/>
      <c r="B397" s="152">
        <v>3</v>
      </c>
      <c r="C397" s="52" t="s">
        <v>40</v>
      </c>
      <c r="D397" s="46" t="s">
        <v>403</v>
      </c>
      <c r="E397" s="127"/>
      <c r="F397" s="46" t="s">
        <v>402</v>
      </c>
      <c r="G397" s="47"/>
    </row>
    <row r="398" spans="1:7" s="122" customFormat="1" ht="60" customHeight="1" x14ac:dyDescent="0.25">
      <c r="A398" s="198"/>
      <c r="B398" s="107" t="s">
        <v>81</v>
      </c>
      <c r="C398" s="51" t="s">
        <v>82</v>
      </c>
      <c r="D398" s="46" t="s">
        <v>401</v>
      </c>
      <c r="E398" s="127"/>
      <c r="F398" s="46"/>
      <c r="G398" s="47" t="s">
        <v>47</v>
      </c>
    </row>
    <row r="399" spans="1:7" s="122" customFormat="1" ht="30" customHeight="1" x14ac:dyDescent="0.25">
      <c r="A399" s="198"/>
      <c r="B399" s="152">
        <v>4</v>
      </c>
      <c r="C399" s="52" t="s">
        <v>40</v>
      </c>
      <c r="D399" s="46" t="s">
        <v>424</v>
      </c>
      <c r="E399" s="127"/>
      <c r="F399" s="46" t="s">
        <v>406</v>
      </c>
      <c r="G399" s="47"/>
    </row>
    <row r="400" spans="1:7" s="122" customFormat="1" ht="30" customHeight="1" x14ac:dyDescent="0.25">
      <c r="A400" s="198"/>
      <c r="B400" s="107" t="s">
        <v>81</v>
      </c>
      <c r="C400" s="51" t="s">
        <v>82</v>
      </c>
      <c r="D400" s="46" t="s">
        <v>423</v>
      </c>
      <c r="E400" s="127"/>
      <c r="F400" s="46"/>
      <c r="G400" s="47" t="s">
        <v>47</v>
      </c>
    </row>
    <row r="401" spans="1:7" s="122" customFormat="1" ht="15" customHeight="1" x14ac:dyDescent="0.25">
      <c r="A401" s="198"/>
      <c r="B401" s="153" t="s">
        <v>376</v>
      </c>
      <c r="C401" s="130" t="s">
        <v>375</v>
      </c>
      <c r="D401" s="46" t="s">
        <v>422</v>
      </c>
      <c r="E401" s="127"/>
      <c r="F401" s="46"/>
      <c r="G401" s="47"/>
    </row>
    <row r="402" spans="1:7" s="122" customFormat="1" ht="30" customHeight="1" x14ac:dyDescent="0.25">
      <c r="A402" s="198"/>
      <c r="B402" s="152">
        <v>5</v>
      </c>
      <c r="C402" s="52" t="s">
        <v>40</v>
      </c>
      <c r="D402" s="46" t="s">
        <v>421</v>
      </c>
      <c r="E402" s="127"/>
      <c r="F402" s="46" t="s">
        <v>420</v>
      </c>
      <c r="G402" s="47"/>
    </row>
    <row r="403" spans="1:7" s="122" customFormat="1" ht="30" customHeight="1" thickBot="1" x14ac:dyDescent="0.3">
      <c r="A403" s="199"/>
      <c r="B403" s="121" t="s">
        <v>81</v>
      </c>
      <c r="C403" s="55" t="s">
        <v>82</v>
      </c>
      <c r="D403" s="136" t="s">
        <v>419</v>
      </c>
      <c r="E403" s="126"/>
      <c r="F403" s="136"/>
      <c r="G403" s="58" t="s">
        <v>47</v>
      </c>
    </row>
    <row r="404" spans="1:7" s="122" customFormat="1" ht="45" customHeight="1" thickBot="1" x14ac:dyDescent="0.3">
      <c r="A404" s="154" t="str">
        <f>TabellaTest!F36</f>
        <v>TF021.UC01</v>
      </c>
      <c r="B404" s="215" t="str">
        <f>TabellaTest!C36</f>
        <v>PAR. 2.5.2-033-21</v>
      </c>
      <c r="C404" s="216"/>
      <c r="D404" s="216" t="str">
        <f>TabellaTest!E36</f>
        <v>Verifica funzionalità "Ricerca Stato Pagamenti" per "Procedimenti con pena pecuniaria totalmente pagata"</v>
      </c>
      <c r="E404" s="217"/>
      <c r="F404" s="216" t="str">
        <f>TabellaTest!G36</f>
        <v>Verifica: Verificare nel sottosistema SIEP l'utilizzo della funzione di "Ricerca Stato Pagamenti" per "Procedimenti con pena pecuniaria totalmente pagata"</v>
      </c>
      <c r="G404" s="218"/>
    </row>
    <row r="405" spans="1:7" s="122" customFormat="1" ht="30" customHeight="1" x14ac:dyDescent="0.25">
      <c r="A405" s="197"/>
      <c r="B405" s="134" t="s">
        <v>31</v>
      </c>
      <c r="C405" s="44" t="s">
        <v>32</v>
      </c>
      <c r="D405" s="33" t="s">
        <v>33</v>
      </c>
      <c r="E405" s="33" t="s">
        <v>34</v>
      </c>
      <c r="F405" s="33" t="s">
        <v>35</v>
      </c>
      <c r="G405" s="34" t="s">
        <v>10</v>
      </c>
    </row>
    <row r="406" spans="1:7" s="122" customFormat="1" ht="30" customHeight="1" x14ac:dyDescent="0.25">
      <c r="A406" s="198"/>
      <c r="B406" s="117" t="s">
        <v>36</v>
      </c>
      <c r="C406" s="45" t="s">
        <v>37</v>
      </c>
      <c r="D406" s="46" t="s">
        <v>85</v>
      </c>
      <c r="E406" s="46" t="s">
        <v>86</v>
      </c>
      <c r="F406" s="46"/>
      <c r="G406" s="47"/>
    </row>
    <row r="407" spans="1:7" s="122" customFormat="1" ht="15" customHeight="1" x14ac:dyDescent="0.25">
      <c r="A407" s="198"/>
      <c r="B407" s="117" t="s">
        <v>36</v>
      </c>
      <c r="C407" s="45" t="s">
        <v>38</v>
      </c>
      <c r="D407" s="46" t="s">
        <v>411</v>
      </c>
      <c r="E407" s="46"/>
      <c r="F407" s="127"/>
      <c r="G407" s="47"/>
    </row>
    <row r="408" spans="1:7" s="122" customFormat="1" ht="45" x14ac:dyDescent="0.25">
      <c r="A408" s="198"/>
      <c r="B408" s="131">
        <v>1</v>
      </c>
      <c r="C408" s="48" t="s">
        <v>39</v>
      </c>
      <c r="D408" s="49" t="s">
        <v>636</v>
      </c>
      <c r="E408" s="50"/>
      <c r="F408" s="46" t="s">
        <v>410</v>
      </c>
      <c r="G408" s="47"/>
    </row>
    <row r="409" spans="1:7" s="122" customFormat="1" ht="45" customHeight="1" x14ac:dyDescent="0.25">
      <c r="A409" s="198"/>
      <c r="B409" s="152">
        <v>2</v>
      </c>
      <c r="C409" s="52" t="s">
        <v>40</v>
      </c>
      <c r="D409" s="46" t="s">
        <v>418</v>
      </c>
      <c r="E409" s="127"/>
      <c r="F409" s="46" t="s">
        <v>417</v>
      </c>
      <c r="G409" s="47"/>
    </row>
    <row r="410" spans="1:7" s="122" customFormat="1" ht="30" customHeight="1" x14ac:dyDescent="0.25">
      <c r="A410" s="198"/>
      <c r="B410" s="152">
        <v>3</v>
      </c>
      <c r="C410" s="52" t="s">
        <v>40</v>
      </c>
      <c r="D410" s="46" t="s">
        <v>407</v>
      </c>
      <c r="E410" s="127"/>
      <c r="F410" s="46" t="s">
        <v>406</v>
      </c>
      <c r="G410" s="47"/>
    </row>
    <row r="411" spans="1:7" s="122" customFormat="1" ht="30" customHeight="1" x14ac:dyDescent="0.25">
      <c r="A411" s="198"/>
      <c r="B411" s="107" t="s">
        <v>81</v>
      </c>
      <c r="C411" s="51" t="s">
        <v>82</v>
      </c>
      <c r="D411" s="46" t="s">
        <v>416</v>
      </c>
      <c r="E411" s="127"/>
      <c r="F411" s="46"/>
      <c r="G411" s="47" t="s">
        <v>47</v>
      </c>
    </row>
    <row r="412" spans="1:7" s="122" customFormat="1" ht="30" x14ac:dyDescent="0.25">
      <c r="A412" s="198"/>
      <c r="B412" s="117" t="s">
        <v>36</v>
      </c>
      <c r="C412" s="45" t="s">
        <v>38</v>
      </c>
      <c r="D412" s="46" t="s">
        <v>412</v>
      </c>
      <c r="E412" s="46"/>
      <c r="F412" s="127"/>
      <c r="G412" s="47"/>
    </row>
    <row r="413" spans="1:7" s="122" customFormat="1" ht="30" customHeight="1" x14ac:dyDescent="0.25">
      <c r="A413" s="198"/>
      <c r="B413" s="152">
        <v>4</v>
      </c>
      <c r="C413" s="52" t="s">
        <v>40</v>
      </c>
      <c r="D413" s="46" t="s">
        <v>403</v>
      </c>
      <c r="E413" s="127"/>
      <c r="F413" s="46" t="s">
        <v>402</v>
      </c>
      <c r="G413" s="47"/>
    </row>
    <row r="414" spans="1:7" s="122" customFormat="1" ht="60" customHeight="1" thickBot="1" x14ac:dyDescent="0.3">
      <c r="A414" s="199"/>
      <c r="B414" s="121" t="s">
        <v>81</v>
      </c>
      <c r="C414" s="55" t="s">
        <v>82</v>
      </c>
      <c r="D414" s="136" t="s">
        <v>401</v>
      </c>
      <c r="E414" s="126"/>
      <c r="F414" s="136"/>
      <c r="G414" s="58" t="s">
        <v>47</v>
      </c>
    </row>
    <row r="415" spans="1:7" s="122" customFormat="1" ht="45" customHeight="1" thickBot="1" x14ac:dyDescent="0.3">
      <c r="A415" s="155" t="str">
        <f>TabellaTest!F37</f>
        <v>TF021.UC02</v>
      </c>
      <c r="B415" s="211" t="str">
        <f>TabellaTest!C37</f>
        <v>PAR. 2.5.2-033-21</v>
      </c>
      <c r="C415" s="212"/>
      <c r="D415" s="212" t="str">
        <f>TabellaTest!E37</f>
        <v>Verifica funzionalità "Ricerca Stato Pagamenti" per "Procedimenti con pagamento rateizzato con rate non pagate"</v>
      </c>
      <c r="E415" s="213"/>
      <c r="F415" s="212" t="str">
        <f>TabellaTest!G37</f>
        <v>Verifica: Verificare nel sottosistema SIEP l'utilizzo della funzione di "Ricerca Stato Pagamenti" per "Procedimenti con pagamento rateizzato con rate non pagate"</v>
      </c>
      <c r="G415" s="225"/>
    </row>
    <row r="416" spans="1:7" s="122" customFormat="1" ht="30" customHeight="1" x14ac:dyDescent="0.25">
      <c r="A416" s="197"/>
      <c r="B416" s="134" t="s">
        <v>31</v>
      </c>
      <c r="C416" s="44" t="s">
        <v>32</v>
      </c>
      <c r="D416" s="33" t="s">
        <v>33</v>
      </c>
      <c r="E416" s="33" t="s">
        <v>34</v>
      </c>
      <c r="F416" s="33" t="s">
        <v>35</v>
      </c>
      <c r="G416" s="34" t="s">
        <v>10</v>
      </c>
    </row>
    <row r="417" spans="1:7" s="122" customFormat="1" ht="30" customHeight="1" x14ac:dyDescent="0.25">
      <c r="A417" s="198"/>
      <c r="B417" s="117" t="s">
        <v>36</v>
      </c>
      <c r="C417" s="45" t="s">
        <v>37</v>
      </c>
      <c r="D417" s="46" t="s">
        <v>85</v>
      </c>
      <c r="E417" s="46" t="s">
        <v>86</v>
      </c>
      <c r="F417" s="46"/>
      <c r="G417" s="47"/>
    </row>
    <row r="418" spans="1:7" s="122" customFormat="1" ht="15" customHeight="1" x14ac:dyDescent="0.25">
      <c r="A418" s="198"/>
      <c r="B418" s="117" t="s">
        <v>36</v>
      </c>
      <c r="C418" s="45" t="s">
        <v>38</v>
      </c>
      <c r="D418" s="46" t="s">
        <v>411</v>
      </c>
      <c r="E418" s="46"/>
      <c r="F418" s="127"/>
      <c r="G418" s="47"/>
    </row>
    <row r="419" spans="1:7" s="122" customFormat="1" ht="45" x14ac:dyDescent="0.25">
      <c r="A419" s="198"/>
      <c r="B419" s="131">
        <v>1</v>
      </c>
      <c r="C419" s="48" t="s">
        <v>39</v>
      </c>
      <c r="D419" s="49" t="s">
        <v>636</v>
      </c>
      <c r="E419" s="50"/>
      <c r="F419" s="46" t="s">
        <v>410</v>
      </c>
      <c r="G419" s="47"/>
    </row>
    <row r="420" spans="1:7" s="122" customFormat="1" ht="60" customHeight="1" x14ac:dyDescent="0.25">
      <c r="A420" s="198"/>
      <c r="B420" s="152">
        <v>2</v>
      </c>
      <c r="C420" s="52" t="s">
        <v>40</v>
      </c>
      <c r="D420" s="46" t="s">
        <v>415</v>
      </c>
      <c r="E420" s="127"/>
      <c r="F420" s="46" t="s">
        <v>414</v>
      </c>
      <c r="G420" s="47"/>
    </row>
    <row r="421" spans="1:7" s="122" customFormat="1" ht="30" customHeight="1" x14ac:dyDescent="0.25">
      <c r="A421" s="198"/>
      <c r="B421" s="152">
        <v>3</v>
      </c>
      <c r="C421" s="52" t="s">
        <v>40</v>
      </c>
      <c r="D421" s="46" t="s">
        <v>407</v>
      </c>
      <c r="E421" s="127"/>
      <c r="F421" s="46" t="s">
        <v>406</v>
      </c>
      <c r="G421" s="47"/>
    </row>
    <row r="422" spans="1:7" s="122" customFormat="1" ht="45" customHeight="1" x14ac:dyDescent="0.25">
      <c r="A422" s="198"/>
      <c r="B422" s="107" t="s">
        <v>81</v>
      </c>
      <c r="C422" s="51" t="s">
        <v>82</v>
      </c>
      <c r="D422" s="46" t="s">
        <v>413</v>
      </c>
      <c r="E422" s="127"/>
      <c r="F422" s="46"/>
      <c r="G422" s="47" t="s">
        <v>47</v>
      </c>
    </row>
    <row r="423" spans="1:7" s="122" customFormat="1" ht="30" x14ac:dyDescent="0.25">
      <c r="A423" s="198"/>
      <c r="B423" s="117" t="s">
        <v>36</v>
      </c>
      <c r="C423" s="45" t="s">
        <v>38</v>
      </c>
      <c r="D423" s="46" t="s">
        <v>412</v>
      </c>
      <c r="E423" s="46"/>
      <c r="F423" s="127"/>
      <c r="G423" s="47"/>
    </row>
    <row r="424" spans="1:7" s="122" customFormat="1" ht="30" customHeight="1" x14ac:dyDescent="0.25">
      <c r="A424" s="198"/>
      <c r="B424" s="152">
        <v>4</v>
      </c>
      <c r="C424" s="52" t="s">
        <v>40</v>
      </c>
      <c r="D424" s="46" t="s">
        <v>403</v>
      </c>
      <c r="E424" s="127"/>
      <c r="F424" s="46" t="s">
        <v>402</v>
      </c>
      <c r="G424" s="47"/>
    </row>
    <row r="425" spans="1:7" s="122" customFormat="1" ht="60" customHeight="1" thickBot="1" x14ac:dyDescent="0.3">
      <c r="A425" s="198"/>
      <c r="B425" s="156" t="s">
        <v>81</v>
      </c>
      <c r="C425" s="70" t="s">
        <v>82</v>
      </c>
      <c r="D425" s="60" t="s">
        <v>401</v>
      </c>
      <c r="E425" s="129"/>
      <c r="F425" s="60"/>
      <c r="G425" s="53" t="s">
        <v>47</v>
      </c>
    </row>
    <row r="426" spans="1:7" s="122" customFormat="1" ht="45" customHeight="1" thickBot="1" x14ac:dyDescent="0.3">
      <c r="A426" s="144" t="str">
        <f>TabellaTest!F38</f>
        <v>TF021.UC03</v>
      </c>
      <c r="B426" s="211" t="str">
        <f>TabellaTest!C38</f>
        <v>PAR. 2.5.2-033-21</v>
      </c>
      <c r="C426" s="212"/>
      <c r="D426" s="212" t="str">
        <f>TabellaTest!E38</f>
        <v>Verifica funzionalità "Ricerca Stato Pagamenti" per "Procedimenti con pagamento in unica soluzione non pagata"</v>
      </c>
      <c r="E426" s="213"/>
      <c r="F426" s="212" t="str">
        <f>TabellaTest!G38</f>
        <v>Verifica: Verificare nel sottosistema SIEP l'utilizzo della funzione di "Ricerca Stato Pagamenti" per "Procedimenti con pagamento in unica soluzione non pagata"</v>
      </c>
      <c r="G426" s="225"/>
    </row>
    <row r="427" spans="1:7" s="122" customFormat="1" ht="30" customHeight="1" x14ac:dyDescent="0.25">
      <c r="A427" s="197"/>
      <c r="B427" s="134" t="s">
        <v>31</v>
      </c>
      <c r="C427" s="44" t="s">
        <v>32</v>
      </c>
      <c r="D427" s="33" t="s">
        <v>33</v>
      </c>
      <c r="E427" s="33" t="s">
        <v>34</v>
      </c>
      <c r="F427" s="33" t="s">
        <v>35</v>
      </c>
      <c r="G427" s="34" t="s">
        <v>10</v>
      </c>
    </row>
    <row r="428" spans="1:7" s="122" customFormat="1" ht="30" customHeight="1" x14ac:dyDescent="0.25">
      <c r="A428" s="198"/>
      <c r="B428" s="117" t="s">
        <v>36</v>
      </c>
      <c r="C428" s="45" t="s">
        <v>37</v>
      </c>
      <c r="D428" s="46" t="s">
        <v>85</v>
      </c>
      <c r="E428" s="46" t="s">
        <v>86</v>
      </c>
      <c r="F428" s="46"/>
      <c r="G428" s="47"/>
    </row>
    <row r="429" spans="1:7" s="122" customFormat="1" ht="15" customHeight="1" x14ac:dyDescent="0.25">
      <c r="A429" s="198"/>
      <c r="B429" s="117" t="s">
        <v>36</v>
      </c>
      <c r="C429" s="45" t="s">
        <v>38</v>
      </c>
      <c r="D429" s="46" t="s">
        <v>411</v>
      </c>
      <c r="E429" s="46"/>
      <c r="F429" s="127"/>
      <c r="G429" s="47"/>
    </row>
    <row r="430" spans="1:7" s="122" customFormat="1" ht="45" x14ac:dyDescent="0.25">
      <c r="A430" s="198"/>
      <c r="B430" s="131">
        <v>1</v>
      </c>
      <c r="C430" s="48" t="s">
        <v>39</v>
      </c>
      <c r="D430" s="49" t="s">
        <v>636</v>
      </c>
      <c r="E430" s="50"/>
      <c r="F430" s="46" t="s">
        <v>410</v>
      </c>
      <c r="G430" s="47"/>
    </row>
    <row r="431" spans="1:7" s="122" customFormat="1" ht="60" customHeight="1" x14ac:dyDescent="0.25">
      <c r="A431" s="198"/>
      <c r="B431" s="152">
        <v>2</v>
      </c>
      <c r="C431" s="52" t="s">
        <v>40</v>
      </c>
      <c r="D431" s="46" t="s">
        <v>409</v>
      </c>
      <c r="E431" s="127"/>
      <c r="F431" s="46" t="s">
        <v>408</v>
      </c>
      <c r="G431" s="47"/>
    </row>
    <row r="432" spans="1:7" s="122" customFormat="1" ht="30" customHeight="1" x14ac:dyDescent="0.25">
      <c r="A432" s="198"/>
      <c r="B432" s="152">
        <v>3</v>
      </c>
      <c r="C432" s="52" t="s">
        <v>40</v>
      </c>
      <c r="D432" s="46" t="s">
        <v>407</v>
      </c>
      <c r="E432" s="127"/>
      <c r="F432" s="46" t="s">
        <v>406</v>
      </c>
      <c r="G432" s="47"/>
    </row>
    <row r="433" spans="1:7" s="122" customFormat="1" ht="45" customHeight="1" x14ac:dyDescent="0.25">
      <c r="A433" s="198"/>
      <c r="B433" s="107" t="s">
        <v>81</v>
      </c>
      <c r="C433" s="51" t="s">
        <v>82</v>
      </c>
      <c r="D433" s="46" t="s">
        <v>405</v>
      </c>
      <c r="E433" s="127"/>
      <c r="F433" s="46"/>
      <c r="G433" s="47" t="s">
        <v>47</v>
      </c>
    </row>
    <row r="434" spans="1:7" s="122" customFormat="1" ht="30" x14ac:dyDescent="0.25">
      <c r="A434" s="198"/>
      <c r="B434" s="117" t="s">
        <v>36</v>
      </c>
      <c r="C434" s="45" t="s">
        <v>38</v>
      </c>
      <c r="D434" s="46" t="s">
        <v>404</v>
      </c>
      <c r="E434" s="46"/>
      <c r="F434" s="127"/>
      <c r="G434" s="47"/>
    </row>
    <row r="435" spans="1:7" s="122" customFormat="1" ht="30" customHeight="1" x14ac:dyDescent="0.25">
      <c r="A435" s="198"/>
      <c r="B435" s="152">
        <v>4</v>
      </c>
      <c r="C435" s="52" t="s">
        <v>40</v>
      </c>
      <c r="D435" s="46" t="s">
        <v>403</v>
      </c>
      <c r="E435" s="127"/>
      <c r="F435" s="46" t="s">
        <v>402</v>
      </c>
      <c r="G435" s="47"/>
    </row>
    <row r="436" spans="1:7" s="122" customFormat="1" ht="60" customHeight="1" thickBot="1" x14ac:dyDescent="0.3">
      <c r="A436" s="199"/>
      <c r="B436" s="121" t="s">
        <v>81</v>
      </c>
      <c r="C436" s="55" t="s">
        <v>82</v>
      </c>
      <c r="D436" s="136" t="s">
        <v>401</v>
      </c>
      <c r="E436" s="126"/>
      <c r="F436" s="136"/>
      <c r="G436" s="58" t="s">
        <v>47</v>
      </c>
    </row>
    <row r="437" spans="1:7" s="122" customFormat="1" ht="30" customHeight="1" thickBot="1" x14ac:dyDescent="0.3">
      <c r="A437" s="144" t="str">
        <f>TabellaTest!F39</f>
        <v>TF022.UC01</v>
      </c>
      <c r="B437" s="219" t="str">
        <f>TabellaTest!C39</f>
        <v>PAR. 2.6.1.1-033-22</v>
      </c>
      <c r="C437" s="220"/>
      <c r="D437" s="220" t="str">
        <f>TabellaTest!E39</f>
        <v>Verifica inserimento "Trasmissione Atti per Esecuzione"</v>
      </c>
      <c r="E437" s="221"/>
      <c r="F437" s="220" t="str">
        <f>TabellaTest!G39</f>
        <v>Verifica: Verificare nel sottosistema SIEP l'utilizzo della funzione "Trasmissione Atti per Esecuzione"</v>
      </c>
      <c r="G437" s="222"/>
    </row>
    <row r="438" spans="1:7" s="122" customFormat="1" ht="30" x14ac:dyDescent="0.25">
      <c r="A438" s="197"/>
      <c r="B438" s="157" t="s">
        <v>31</v>
      </c>
      <c r="C438" s="158" t="s">
        <v>32</v>
      </c>
      <c r="D438" s="158" t="s">
        <v>33</v>
      </c>
      <c r="E438" s="158" t="s">
        <v>34</v>
      </c>
      <c r="F438" s="158" t="s">
        <v>35</v>
      </c>
      <c r="G438" s="159" t="s">
        <v>10</v>
      </c>
    </row>
    <row r="439" spans="1:7" s="122" customFormat="1" ht="30" customHeight="1" x14ac:dyDescent="0.25">
      <c r="A439" s="198"/>
      <c r="B439" s="117" t="s">
        <v>36</v>
      </c>
      <c r="C439" s="45" t="s">
        <v>37</v>
      </c>
      <c r="D439" s="46" t="s">
        <v>85</v>
      </c>
      <c r="E439" s="46" t="s">
        <v>86</v>
      </c>
      <c r="F439" s="46"/>
      <c r="G439" s="47"/>
    </row>
    <row r="440" spans="1:7" s="122" customFormat="1" ht="45" customHeight="1" x14ac:dyDescent="0.25">
      <c r="A440" s="198"/>
      <c r="B440" s="117" t="s">
        <v>36</v>
      </c>
      <c r="C440" s="45" t="s">
        <v>37</v>
      </c>
      <c r="D440" s="46" t="s">
        <v>400</v>
      </c>
      <c r="E440" s="46"/>
      <c r="F440" s="46"/>
      <c r="G440" s="47"/>
    </row>
    <row r="441" spans="1:7" s="122" customFormat="1" ht="60" customHeight="1" x14ac:dyDescent="0.25">
      <c r="A441" s="198"/>
      <c r="B441" s="131">
        <v>1</v>
      </c>
      <c r="C441" s="48" t="s">
        <v>39</v>
      </c>
      <c r="D441" s="49" t="s">
        <v>637</v>
      </c>
      <c r="E441" s="50"/>
      <c r="F441" s="46" t="s">
        <v>399</v>
      </c>
      <c r="G441" s="47"/>
    </row>
    <row r="442" spans="1:7" s="122" customFormat="1" ht="30" x14ac:dyDescent="0.25">
      <c r="A442" s="198"/>
      <c r="B442" s="111">
        <v>2</v>
      </c>
      <c r="C442" s="52" t="s">
        <v>40</v>
      </c>
      <c r="D442" s="46" t="s">
        <v>379</v>
      </c>
      <c r="E442" s="50"/>
      <c r="F442" s="46" t="s">
        <v>398</v>
      </c>
      <c r="G442" s="47"/>
    </row>
    <row r="443" spans="1:7" s="122" customFormat="1" ht="30" x14ac:dyDescent="0.25">
      <c r="A443" s="198"/>
      <c r="B443" s="111">
        <v>3</v>
      </c>
      <c r="C443" s="52" t="s">
        <v>40</v>
      </c>
      <c r="D443" s="46" t="s">
        <v>397</v>
      </c>
      <c r="E443" s="50"/>
      <c r="F443" s="46" t="s">
        <v>638</v>
      </c>
      <c r="G443" s="47"/>
    </row>
    <row r="444" spans="1:7" s="122" customFormat="1" ht="45" customHeight="1" x14ac:dyDescent="0.25">
      <c r="A444" s="198"/>
      <c r="B444" s="107" t="s">
        <v>81</v>
      </c>
      <c r="C444" s="51" t="s">
        <v>82</v>
      </c>
      <c r="D444" s="46" t="s">
        <v>396</v>
      </c>
      <c r="E444" s="127"/>
      <c r="F444" s="46"/>
      <c r="G444" s="47" t="s">
        <v>47</v>
      </c>
    </row>
    <row r="445" spans="1:7" s="122" customFormat="1" ht="30" customHeight="1" x14ac:dyDescent="0.25">
      <c r="A445" s="198"/>
      <c r="B445" s="111">
        <v>4</v>
      </c>
      <c r="C445" s="52" t="s">
        <v>40</v>
      </c>
      <c r="D445" s="46" t="s">
        <v>395</v>
      </c>
      <c r="E445" s="50" t="s">
        <v>394</v>
      </c>
      <c r="F445" s="46" t="s">
        <v>393</v>
      </c>
      <c r="G445" s="47"/>
    </row>
    <row r="446" spans="1:7" s="122" customFormat="1" ht="30" customHeight="1" x14ac:dyDescent="0.25">
      <c r="A446" s="198"/>
      <c r="B446" s="107" t="s">
        <v>81</v>
      </c>
      <c r="C446" s="51" t="s">
        <v>82</v>
      </c>
      <c r="D446" s="46" t="s">
        <v>392</v>
      </c>
      <c r="E446" s="127"/>
      <c r="F446" s="46"/>
      <c r="G446" s="47" t="s">
        <v>47</v>
      </c>
    </row>
    <row r="447" spans="1:7" s="122" customFormat="1" ht="30" x14ac:dyDescent="0.25">
      <c r="A447" s="198"/>
      <c r="B447" s="117" t="s">
        <v>36</v>
      </c>
      <c r="C447" s="45" t="s">
        <v>38</v>
      </c>
      <c r="D447" s="46" t="s">
        <v>386</v>
      </c>
      <c r="E447" s="46"/>
      <c r="F447" s="127"/>
      <c r="G447" s="47"/>
    </row>
    <row r="448" spans="1:7" s="122" customFormat="1" ht="30" customHeight="1" x14ac:dyDescent="0.25">
      <c r="A448" s="198"/>
      <c r="B448" s="111">
        <v>5</v>
      </c>
      <c r="C448" s="52" t="s">
        <v>40</v>
      </c>
      <c r="D448" s="46" t="s">
        <v>391</v>
      </c>
      <c r="E448" s="50"/>
      <c r="F448" s="46" t="s">
        <v>390</v>
      </c>
      <c r="G448" s="47"/>
    </row>
    <row r="449" spans="1:7" s="122" customFormat="1" ht="30" customHeight="1" x14ac:dyDescent="0.25">
      <c r="A449" s="198"/>
      <c r="B449" s="111">
        <v>6</v>
      </c>
      <c r="C449" s="52" t="s">
        <v>40</v>
      </c>
      <c r="D449" s="46" t="s">
        <v>389</v>
      </c>
      <c r="E449" s="50"/>
      <c r="F449" s="46" t="s">
        <v>388</v>
      </c>
      <c r="G449" s="47"/>
    </row>
    <row r="450" spans="1:7" s="122" customFormat="1" ht="30" customHeight="1" x14ac:dyDescent="0.25">
      <c r="A450" s="198"/>
      <c r="B450" s="107" t="s">
        <v>81</v>
      </c>
      <c r="C450" s="51" t="s">
        <v>82</v>
      </c>
      <c r="D450" s="46" t="s">
        <v>387</v>
      </c>
      <c r="E450" s="127"/>
      <c r="F450" s="46"/>
      <c r="G450" s="47" t="s">
        <v>47</v>
      </c>
    </row>
    <row r="451" spans="1:7" s="122" customFormat="1" ht="30" customHeight="1" x14ac:dyDescent="0.25">
      <c r="A451" s="198"/>
      <c r="B451" s="117" t="s">
        <v>36</v>
      </c>
      <c r="C451" s="45" t="s">
        <v>38</v>
      </c>
      <c r="D451" s="46" t="s">
        <v>386</v>
      </c>
      <c r="E451" s="46"/>
      <c r="F451" s="127"/>
      <c r="G451" s="47"/>
    </row>
    <row r="452" spans="1:7" s="122" customFormat="1" ht="45" customHeight="1" x14ac:dyDescent="0.25">
      <c r="A452" s="198"/>
      <c r="B452" s="111">
        <v>7</v>
      </c>
      <c r="C452" s="52" t="s">
        <v>40</v>
      </c>
      <c r="D452" s="46" t="s">
        <v>385</v>
      </c>
      <c r="E452" s="50"/>
      <c r="F452" s="46" t="s">
        <v>384</v>
      </c>
      <c r="G452" s="47"/>
    </row>
    <row r="453" spans="1:7" s="122" customFormat="1" ht="30" customHeight="1" x14ac:dyDescent="0.25">
      <c r="A453" s="198"/>
      <c r="B453" s="107" t="s">
        <v>81</v>
      </c>
      <c r="C453" s="51" t="s">
        <v>82</v>
      </c>
      <c r="D453" s="46" t="s">
        <v>383</v>
      </c>
      <c r="E453" s="127"/>
      <c r="F453" s="46"/>
      <c r="G453" s="47" t="s">
        <v>47</v>
      </c>
    </row>
    <row r="454" spans="1:7" s="122" customFormat="1" ht="60" customHeight="1" x14ac:dyDescent="0.25">
      <c r="A454" s="198"/>
      <c r="B454" s="111">
        <v>8</v>
      </c>
      <c r="C454" s="52" t="s">
        <v>40</v>
      </c>
      <c r="D454" s="46" t="s">
        <v>382</v>
      </c>
      <c r="E454" s="50"/>
      <c r="F454" s="46" t="s">
        <v>639</v>
      </c>
      <c r="G454" s="47"/>
    </row>
    <row r="455" spans="1:7" s="122" customFormat="1" ht="30" customHeight="1" x14ac:dyDescent="0.25">
      <c r="A455" s="198"/>
      <c r="B455" s="107" t="s">
        <v>81</v>
      </c>
      <c r="C455" s="51" t="s">
        <v>82</v>
      </c>
      <c r="D455" s="46" t="s">
        <v>640</v>
      </c>
      <c r="E455" s="127"/>
      <c r="F455" s="46"/>
      <c r="G455" s="47" t="s">
        <v>47</v>
      </c>
    </row>
    <row r="456" spans="1:7" s="122" customFormat="1" ht="30" customHeight="1" x14ac:dyDescent="0.25">
      <c r="A456" s="198"/>
      <c r="B456" s="111">
        <v>9</v>
      </c>
      <c r="C456" s="52" t="s">
        <v>40</v>
      </c>
      <c r="D456" s="46" t="s">
        <v>381</v>
      </c>
      <c r="E456" s="50"/>
      <c r="F456" s="46" t="s">
        <v>380</v>
      </c>
      <c r="G456" s="47"/>
    </row>
    <row r="457" spans="1:7" s="122" customFormat="1" ht="15" customHeight="1" x14ac:dyDescent="0.25">
      <c r="A457" s="198"/>
      <c r="B457" s="111">
        <v>10</v>
      </c>
      <c r="C457" s="52" t="s">
        <v>40</v>
      </c>
      <c r="D457" s="46" t="s">
        <v>379</v>
      </c>
      <c r="E457" s="50"/>
      <c r="F457" s="46" t="s">
        <v>377</v>
      </c>
      <c r="G457" s="47"/>
    </row>
    <row r="458" spans="1:7" s="122" customFormat="1" ht="30" customHeight="1" x14ac:dyDescent="0.25">
      <c r="A458" s="198"/>
      <c r="B458" s="107" t="s">
        <v>81</v>
      </c>
      <c r="C458" s="51" t="s">
        <v>82</v>
      </c>
      <c r="D458" s="46" t="s">
        <v>641</v>
      </c>
      <c r="E458" s="127"/>
      <c r="F458" s="46"/>
      <c r="G458" s="47" t="s">
        <v>47</v>
      </c>
    </row>
    <row r="459" spans="1:7" s="122" customFormat="1" ht="15" customHeight="1" x14ac:dyDescent="0.25">
      <c r="A459" s="198"/>
      <c r="B459" s="111">
        <v>11</v>
      </c>
      <c r="C459" s="52" t="s">
        <v>40</v>
      </c>
      <c r="D459" s="46" t="s">
        <v>378</v>
      </c>
      <c r="E459" s="50"/>
      <c r="F459" s="46" t="s">
        <v>377</v>
      </c>
      <c r="G459" s="47"/>
    </row>
    <row r="460" spans="1:7" s="122" customFormat="1" ht="45" customHeight="1" x14ac:dyDescent="0.25">
      <c r="A460" s="198"/>
      <c r="B460" s="107" t="s">
        <v>81</v>
      </c>
      <c r="C460" s="51" t="s">
        <v>82</v>
      </c>
      <c r="D460" s="46" t="s">
        <v>642</v>
      </c>
      <c r="E460" s="127"/>
      <c r="F460" s="46"/>
      <c r="G460" s="47" t="s">
        <v>47</v>
      </c>
    </row>
    <row r="461" spans="1:7" s="122" customFormat="1" ht="120" customHeight="1" x14ac:dyDescent="0.25">
      <c r="A461" s="198"/>
      <c r="B461" s="153" t="s">
        <v>376</v>
      </c>
      <c r="C461" s="130" t="s">
        <v>375</v>
      </c>
      <c r="D461" s="46" t="s">
        <v>374</v>
      </c>
      <c r="E461" s="127" t="s">
        <v>373</v>
      </c>
      <c r="F461" s="46"/>
      <c r="G461" s="47"/>
    </row>
    <row r="462" spans="1:7" s="122" customFormat="1" ht="75" customHeight="1" x14ac:dyDescent="0.25">
      <c r="A462" s="198"/>
      <c r="B462" s="107" t="s">
        <v>81</v>
      </c>
      <c r="C462" s="51" t="s">
        <v>82</v>
      </c>
      <c r="D462" s="46" t="s">
        <v>372</v>
      </c>
      <c r="E462" s="127"/>
      <c r="F462" s="46"/>
      <c r="G462" s="47" t="s">
        <v>47</v>
      </c>
    </row>
    <row r="463" spans="1:7" s="122" customFormat="1" ht="30" customHeight="1" thickBot="1" x14ac:dyDescent="0.3">
      <c r="A463" s="199"/>
      <c r="B463" s="121" t="s">
        <v>81</v>
      </c>
      <c r="C463" s="55" t="s">
        <v>82</v>
      </c>
      <c r="D463" s="136" t="s">
        <v>643</v>
      </c>
      <c r="E463" s="126"/>
      <c r="F463" s="136"/>
      <c r="G463" s="58" t="s">
        <v>47</v>
      </c>
    </row>
    <row r="464" spans="1:7" s="122" customFormat="1" ht="120" customHeight="1" thickBot="1" x14ac:dyDescent="0.3">
      <c r="A464" s="144" t="str">
        <f>TabellaTest!F40</f>
        <v>TF023.UC01</v>
      </c>
      <c r="B464" s="211" t="str">
        <f>TabellaTest!C40</f>
        <v>PAR. 2.6.1.1.1-033-23</v>
      </c>
      <c r="C464" s="223"/>
      <c r="D464" s="212" t="str">
        <f>TabellaTest!E40</f>
        <v>Verifica presenza nuovi Contenuti, Oggetti ed Esiti</v>
      </c>
      <c r="E464" s="212"/>
      <c r="F464" s="212" t="str">
        <f>TabellaTest!G40</f>
        <v>Verifica: Verificare nel sottosistema SIUS la presenza del nuovo contenuto "Applicazione Pene Sostitutive" con Oggetti "Semilibertà sostitutiva (art. 55 - 62 L. 689/1981)" e "Detenzione domiciliare sostitutiva (art. 56 - 62 L. 689/1981)" ed Esiti "Determina le modalità di esecuzione", "Dichiara N.D.P./ N.L.P", "Dichiara inammissibilità", "Dichiara la propria incompetenza" e "Dispone restituzione atti al PM"</v>
      </c>
      <c r="G464" s="224"/>
    </row>
    <row r="465" spans="1:7" s="122" customFormat="1" ht="30" customHeight="1" x14ac:dyDescent="0.25">
      <c r="A465" s="231"/>
      <c r="B465" s="146" t="s">
        <v>36</v>
      </c>
      <c r="C465" s="147" t="s">
        <v>37</v>
      </c>
      <c r="D465" s="148" t="s">
        <v>371</v>
      </c>
      <c r="E465" s="148" t="s">
        <v>370</v>
      </c>
      <c r="F465" s="149"/>
      <c r="G465" s="150"/>
    </row>
    <row r="466" spans="1:7" s="122" customFormat="1" ht="15" customHeight="1" x14ac:dyDescent="0.25">
      <c r="A466" s="232"/>
      <c r="B466" s="117" t="s">
        <v>36</v>
      </c>
      <c r="C466" s="45" t="s">
        <v>38</v>
      </c>
      <c r="D466" s="46" t="s">
        <v>369</v>
      </c>
      <c r="E466" s="46"/>
      <c r="F466" s="127"/>
      <c r="G466" s="47"/>
    </row>
    <row r="467" spans="1:7" s="122" customFormat="1" ht="30" customHeight="1" x14ac:dyDescent="0.25">
      <c r="A467" s="232"/>
      <c r="B467" s="131">
        <v>1</v>
      </c>
      <c r="C467" s="48" t="s">
        <v>39</v>
      </c>
      <c r="D467" s="49" t="s">
        <v>629</v>
      </c>
      <c r="E467" s="50"/>
      <c r="F467" s="46" t="s">
        <v>368</v>
      </c>
      <c r="G467" s="47"/>
    </row>
    <row r="468" spans="1:7" s="122" customFormat="1" ht="45" customHeight="1" x14ac:dyDescent="0.25">
      <c r="A468" s="232"/>
      <c r="B468" s="151">
        <v>2</v>
      </c>
      <c r="C468" s="52" t="s">
        <v>40</v>
      </c>
      <c r="D468" s="46" t="s">
        <v>367</v>
      </c>
      <c r="E468" s="50"/>
      <c r="F468" s="46" t="s">
        <v>366</v>
      </c>
      <c r="G468" s="47"/>
    </row>
    <row r="469" spans="1:7" s="122" customFormat="1" ht="45" customHeight="1" x14ac:dyDescent="0.25">
      <c r="A469" s="232"/>
      <c r="B469" s="151">
        <v>3</v>
      </c>
      <c r="C469" s="52" t="s">
        <v>40</v>
      </c>
      <c r="D469" s="46" t="s">
        <v>365</v>
      </c>
      <c r="E469" s="50"/>
      <c r="F469" s="46" t="s">
        <v>364</v>
      </c>
      <c r="G469" s="47"/>
    </row>
    <row r="470" spans="1:7" s="122" customFormat="1" ht="75" customHeight="1" x14ac:dyDescent="0.25">
      <c r="A470" s="232"/>
      <c r="B470" s="151">
        <v>4</v>
      </c>
      <c r="C470" s="52" t="s">
        <v>40</v>
      </c>
      <c r="D470" s="46" t="s">
        <v>363</v>
      </c>
      <c r="E470" s="50"/>
      <c r="F470" s="46"/>
      <c r="G470" s="47"/>
    </row>
    <row r="471" spans="1:7" s="122" customFormat="1" ht="30" customHeight="1" x14ac:dyDescent="0.25">
      <c r="A471" s="232"/>
      <c r="B471" s="131">
        <v>5</v>
      </c>
      <c r="C471" s="48" t="s">
        <v>39</v>
      </c>
      <c r="D471" s="49" t="s">
        <v>631</v>
      </c>
      <c r="E471" s="50"/>
      <c r="F471" s="46" t="s">
        <v>342</v>
      </c>
      <c r="G471" s="47"/>
    </row>
    <row r="472" spans="1:7" s="122" customFormat="1" ht="30" customHeight="1" x14ac:dyDescent="0.25">
      <c r="A472" s="232"/>
      <c r="B472" s="151">
        <v>6</v>
      </c>
      <c r="C472" s="52" t="s">
        <v>40</v>
      </c>
      <c r="D472" s="46" t="s">
        <v>341</v>
      </c>
      <c r="E472" s="50"/>
      <c r="F472" s="46" t="s">
        <v>340</v>
      </c>
      <c r="G472" s="47"/>
    </row>
    <row r="473" spans="1:7" s="122" customFormat="1" ht="105" customHeight="1" thickBot="1" x14ac:dyDescent="0.3">
      <c r="A473" s="233"/>
      <c r="B473" s="121" t="s">
        <v>81</v>
      </c>
      <c r="C473" s="55" t="s">
        <v>82</v>
      </c>
      <c r="D473" s="136" t="s">
        <v>608</v>
      </c>
      <c r="E473" s="126"/>
      <c r="F473" s="136"/>
      <c r="G473" s="58" t="s">
        <v>337</v>
      </c>
    </row>
    <row r="474" spans="1:7" s="122" customFormat="1" ht="30" customHeight="1" thickBot="1" x14ac:dyDescent="0.3">
      <c r="A474" s="144" t="str">
        <f>TabellaTest!F41</f>
        <v>TF024.UC01</v>
      </c>
      <c r="B474" s="211" t="str">
        <f>TabellaTest!C41</f>
        <v>PAR. 2.8.1-033-24</v>
      </c>
      <c r="C474" s="223"/>
      <c r="D474" s="223" t="str">
        <f>TabellaTest!E41</f>
        <v>Verifica aggiornamento template "Fissazione Udienza"</v>
      </c>
      <c r="E474" s="223"/>
      <c r="F474" s="223" t="str">
        <f>TabellaTest!G41</f>
        <v>Verifica: Verificare nel sottosistema SIGE la stampa del template di "Fissazione Udienza"</v>
      </c>
      <c r="G474" s="223"/>
    </row>
    <row r="475" spans="1:7" s="122" customFormat="1" ht="30" customHeight="1" x14ac:dyDescent="0.25">
      <c r="A475" s="231"/>
      <c r="B475" s="146" t="s">
        <v>36</v>
      </c>
      <c r="C475" s="147" t="s">
        <v>37</v>
      </c>
      <c r="D475" s="148" t="s">
        <v>351</v>
      </c>
      <c r="E475" s="148" t="s">
        <v>644</v>
      </c>
      <c r="F475" s="149"/>
      <c r="G475" s="150"/>
    </row>
    <row r="476" spans="1:7" s="122" customFormat="1" ht="30" customHeight="1" x14ac:dyDescent="0.25">
      <c r="A476" s="232"/>
      <c r="B476" s="117" t="s">
        <v>36</v>
      </c>
      <c r="C476" s="45" t="s">
        <v>38</v>
      </c>
      <c r="D476" s="46" t="s">
        <v>362</v>
      </c>
      <c r="E476" s="46"/>
      <c r="F476" s="127"/>
      <c r="G476" s="47"/>
    </row>
    <row r="477" spans="1:7" s="122" customFormat="1" ht="30" customHeight="1" x14ac:dyDescent="0.25">
      <c r="A477" s="232"/>
      <c r="B477" s="131">
        <v>1</v>
      </c>
      <c r="C477" s="48" t="s">
        <v>39</v>
      </c>
      <c r="D477" s="49" t="s">
        <v>361</v>
      </c>
      <c r="E477" s="50"/>
      <c r="F477" s="46" t="s">
        <v>360</v>
      </c>
      <c r="G477" s="47"/>
    </row>
    <row r="478" spans="1:7" s="122" customFormat="1" ht="30" customHeight="1" x14ac:dyDescent="0.25">
      <c r="A478" s="232"/>
      <c r="B478" s="151">
        <v>2</v>
      </c>
      <c r="C478" s="52" t="s">
        <v>40</v>
      </c>
      <c r="D478" s="46" t="s">
        <v>359</v>
      </c>
      <c r="E478" s="50"/>
      <c r="F478" s="46" t="s">
        <v>358</v>
      </c>
      <c r="G478" s="47"/>
    </row>
    <row r="479" spans="1:7" s="122" customFormat="1" ht="45" customHeight="1" x14ac:dyDescent="0.25">
      <c r="A479" s="232"/>
      <c r="B479" s="151">
        <v>3</v>
      </c>
      <c r="C479" s="52" t="s">
        <v>40</v>
      </c>
      <c r="D479" s="46" t="s">
        <v>357</v>
      </c>
      <c r="E479" s="50"/>
      <c r="F479" s="46" t="s">
        <v>356</v>
      </c>
      <c r="G479" s="47"/>
    </row>
    <row r="480" spans="1:7" s="122" customFormat="1" ht="240" customHeight="1" x14ac:dyDescent="0.25">
      <c r="A480" s="232"/>
      <c r="B480" s="107" t="s">
        <v>81</v>
      </c>
      <c r="C480" s="51" t="s">
        <v>82</v>
      </c>
      <c r="D480" s="46" t="s">
        <v>645</v>
      </c>
      <c r="E480" s="127"/>
      <c r="F480" s="46"/>
      <c r="G480" s="47" t="s">
        <v>337</v>
      </c>
    </row>
    <row r="481" spans="1:7" s="122" customFormat="1" ht="15" customHeight="1" x14ac:dyDescent="0.25">
      <c r="A481" s="232"/>
      <c r="B481" s="117" t="s">
        <v>36</v>
      </c>
      <c r="C481" s="45" t="s">
        <v>38</v>
      </c>
      <c r="D481" s="46" t="s">
        <v>355</v>
      </c>
      <c r="E481" s="46"/>
      <c r="F481" s="127"/>
      <c r="G481" s="47"/>
    </row>
    <row r="482" spans="1:7" s="122" customFormat="1" ht="45" customHeight="1" x14ac:dyDescent="0.25">
      <c r="A482" s="232"/>
      <c r="B482" s="151">
        <v>4</v>
      </c>
      <c r="C482" s="52" t="s">
        <v>40</v>
      </c>
      <c r="D482" s="46" t="s">
        <v>354</v>
      </c>
      <c r="E482" s="50"/>
      <c r="F482" s="46" t="s">
        <v>353</v>
      </c>
      <c r="G482" s="47"/>
    </row>
    <row r="483" spans="1:7" s="122" customFormat="1" ht="240" customHeight="1" thickBot="1" x14ac:dyDescent="0.3">
      <c r="A483" s="232"/>
      <c r="B483" s="121" t="s">
        <v>81</v>
      </c>
      <c r="C483" s="55" t="s">
        <v>82</v>
      </c>
      <c r="D483" s="136" t="s">
        <v>645</v>
      </c>
      <c r="E483" s="126"/>
      <c r="F483" s="136"/>
      <c r="G483" s="58" t="s">
        <v>337</v>
      </c>
    </row>
    <row r="484" spans="1:7" s="122" customFormat="1" ht="180" customHeight="1" thickBot="1" x14ac:dyDescent="0.3">
      <c r="A484" s="144" t="str">
        <f>TabellaTest!F42</f>
        <v>TF025.UC01</v>
      </c>
      <c r="B484" s="211" t="str">
        <f>TabellaTest!C42</f>
        <v>PAR. 2.8.2.1-033-25</v>
      </c>
      <c r="C484" s="223"/>
      <c r="D484" s="212" t="str">
        <f>TabellaTest!E42</f>
        <v>Verifica presenza nuovi Contenuti, Oggetti ed Esiti</v>
      </c>
      <c r="E484" s="212"/>
      <c r="F484" s="212" t="str">
        <f>TabellaTest!G42</f>
        <v>Verifica: Verificare nel sottosistema SIUSla presenza del nuovo contenuto "Applicazione pene sostitutive delle pene detentive brevi art. 95. D.lgs. 150/22" con Oggetti "Applicazione della pena in semilibertà sostitutiva", "Applicazione della pena in detenzione domiciliare sostitutiva", "Applicazione della pena il lavoro di pubblica utilità sostitutivo" e "Applicazione della pena la pena pecuniaria sostitutiva" ed Esiti "Applica la Pena sostitutiva breve", "Rigetta l’istanza", "Dichiara il non luogo a provvedere", "Dichiara il non doversi procedere", "Dichiara l’inammissibilità" e "Dichiara la propria la propria incompetenza"</v>
      </c>
      <c r="G484" s="224"/>
    </row>
    <row r="485" spans="1:7" s="122" customFormat="1" ht="30" customHeight="1" x14ac:dyDescent="0.25">
      <c r="A485" s="231"/>
      <c r="B485" s="146" t="s">
        <v>36</v>
      </c>
      <c r="C485" s="147" t="s">
        <v>37</v>
      </c>
      <c r="D485" s="148" t="s">
        <v>351</v>
      </c>
      <c r="E485" s="148" t="s">
        <v>644</v>
      </c>
      <c r="F485" s="149"/>
      <c r="G485" s="150"/>
    </row>
    <row r="486" spans="1:7" s="122" customFormat="1" ht="45" customHeight="1" x14ac:dyDescent="0.25">
      <c r="A486" s="232"/>
      <c r="B486" s="117" t="s">
        <v>36</v>
      </c>
      <c r="C486" s="45" t="s">
        <v>38</v>
      </c>
      <c r="D486" s="46" t="s">
        <v>350</v>
      </c>
      <c r="E486" s="46"/>
      <c r="F486" s="127"/>
      <c r="G486" s="47"/>
    </row>
    <row r="487" spans="1:7" s="122" customFormat="1" ht="30" customHeight="1" x14ac:dyDescent="0.25">
      <c r="A487" s="232"/>
      <c r="B487" s="151">
        <v>1</v>
      </c>
      <c r="C487" s="52" t="s">
        <v>40</v>
      </c>
      <c r="D487" s="46" t="s">
        <v>349</v>
      </c>
      <c r="E487" s="50"/>
      <c r="F487" s="46" t="s">
        <v>348</v>
      </c>
      <c r="G487" s="47"/>
    </row>
    <row r="488" spans="1:7" s="122" customFormat="1" ht="30" customHeight="1" x14ac:dyDescent="0.25">
      <c r="A488" s="232"/>
      <c r="B488" s="151">
        <v>2</v>
      </c>
      <c r="C488" s="52" t="s">
        <v>40</v>
      </c>
      <c r="D488" s="46" t="s">
        <v>347</v>
      </c>
      <c r="E488" s="50"/>
      <c r="F488" s="46" t="s">
        <v>346</v>
      </c>
      <c r="G488" s="47"/>
    </row>
    <row r="489" spans="1:7" s="122" customFormat="1" ht="120" customHeight="1" x14ac:dyDescent="0.25">
      <c r="A489" s="232"/>
      <c r="B489" s="107" t="s">
        <v>81</v>
      </c>
      <c r="C489" s="51" t="s">
        <v>82</v>
      </c>
      <c r="D489" s="46" t="s">
        <v>646</v>
      </c>
      <c r="E489" s="127"/>
      <c r="F489" s="46"/>
      <c r="G489" s="47" t="s">
        <v>337</v>
      </c>
    </row>
    <row r="490" spans="1:7" s="122" customFormat="1" ht="30" customHeight="1" x14ac:dyDescent="0.25">
      <c r="A490" s="232"/>
      <c r="B490" s="151">
        <v>3</v>
      </c>
      <c r="C490" s="52" t="s">
        <v>40</v>
      </c>
      <c r="D490" s="46" t="s">
        <v>352</v>
      </c>
      <c r="E490" s="50"/>
      <c r="F490" s="46" t="s">
        <v>343</v>
      </c>
      <c r="G490" s="47"/>
    </row>
    <row r="491" spans="1:7" s="122" customFormat="1" ht="30" customHeight="1" x14ac:dyDescent="0.25">
      <c r="A491" s="232"/>
      <c r="B491" s="131">
        <v>4</v>
      </c>
      <c r="C491" s="48" t="s">
        <v>39</v>
      </c>
      <c r="D491" s="49" t="s">
        <v>631</v>
      </c>
      <c r="E491" s="50"/>
      <c r="F491" s="46" t="s">
        <v>342</v>
      </c>
      <c r="G491" s="47"/>
    </row>
    <row r="492" spans="1:7" s="122" customFormat="1" ht="30" customHeight="1" x14ac:dyDescent="0.25">
      <c r="A492" s="232"/>
      <c r="B492" s="151">
        <v>5</v>
      </c>
      <c r="C492" s="52" t="s">
        <v>40</v>
      </c>
      <c r="D492" s="46" t="s">
        <v>341</v>
      </c>
      <c r="E492" s="50"/>
      <c r="F492" s="46" t="s">
        <v>340</v>
      </c>
      <c r="G492" s="47"/>
    </row>
    <row r="493" spans="1:7" s="122" customFormat="1" ht="15" customHeight="1" x14ac:dyDescent="0.25">
      <c r="A493" s="232"/>
      <c r="B493" s="151">
        <v>6</v>
      </c>
      <c r="C493" s="52" t="s">
        <v>40</v>
      </c>
      <c r="D493" s="46" t="s">
        <v>339</v>
      </c>
      <c r="E493" s="50"/>
      <c r="F493" s="46" t="s">
        <v>338</v>
      </c>
      <c r="G493" s="47"/>
    </row>
    <row r="494" spans="1:7" s="122" customFormat="1" ht="120" customHeight="1" thickBot="1" x14ac:dyDescent="0.3">
      <c r="A494" s="233"/>
      <c r="B494" s="121" t="s">
        <v>81</v>
      </c>
      <c r="C494" s="55" t="s">
        <v>82</v>
      </c>
      <c r="D494" s="136" t="s">
        <v>609</v>
      </c>
      <c r="E494" s="126"/>
      <c r="F494" s="136"/>
      <c r="G494" s="58" t="s">
        <v>337</v>
      </c>
    </row>
    <row r="495" spans="1:7" s="122" customFormat="1" ht="120" customHeight="1" thickBot="1" x14ac:dyDescent="0.3">
      <c r="A495" s="128" t="str">
        <f>TabellaTest!F43</f>
        <v>TF026.UC01</v>
      </c>
      <c r="B495" s="207" t="str">
        <f>TabellaTest!C43</f>
        <v>PAR. 2.8.2.2-033-26</v>
      </c>
      <c r="C495" s="208"/>
      <c r="D495" s="209" t="str">
        <f>TabellaTest!E43</f>
        <v>Verifica presenza nuovi Contenuti, Oggetti ed Esiti</v>
      </c>
      <c r="E495" s="210"/>
      <c r="F495" s="209" t="str">
        <f>TabellaTest!G43</f>
        <v>Verifica: Verificare nel sottosistema SIGE la presenza del nuovo contenuto "Riduzione della pena articolo 442, comma 2-bis" con Oggetti "Riduzione della pena articolo 442, comma 2-bis" ed Esiti "Applica riduzione pena", "Rigetta l’istanza", "Dichiara il non luogo a provvedere", "Dichiara il non doversi procedere", "Dichiara l’inammissibilità" e "Dichiara la propria la propria incompetenza"</v>
      </c>
      <c r="G495" s="214"/>
    </row>
    <row r="496" spans="1:7" s="122" customFormat="1" ht="30" customHeight="1" x14ac:dyDescent="0.25">
      <c r="A496" s="231"/>
      <c r="B496" s="146" t="s">
        <v>36</v>
      </c>
      <c r="C496" s="147" t="s">
        <v>37</v>
      </c>
      <c r="D496" s="148" t="s">
        <v>351</v>
      </c>
      <c r="E496" s="148" t="s">
        <v>644</v>
      </c>
      <c r="F496" s="149"/>
      <c r="G496" s="150"/>
    </row>
    <row r="497" spans="1:7" s="122" customFormat="1" ht="60" customHeight="1" x14ac:dyDescent="0.25">
      <c r="A497" s="232"/>
      <c r="B497" s="117" t="s">
        <v>36</v>
      </c>
      <c r="C497" s="45" t="s">
        <v>38</v>
      </c>
      <c r="D497" s="46" t="s">
        <v>647</v>
      </c>
      <c r="E497" s="46"/>
      <c r="F497" s="127"/>
      <c r="G497" s="47"/>
    </row>
    <row r="498" spans="1:7" s="122" customFormat="1" ht="30" customHeight="1" x14ac:dyDescent="0.25">
      <c r="A498" s="232"/>
      <c r="B498" s="151">
        <v>1</v>
      </c>
      <c r="C498" s="52" t="s">
        <v>40</v>
      </c>
      <c r="D498" s="46" t="s">
        <v>349</v>
      </c>
      <c r="E498" s="50"/>
      <c r="F498" s="46" t="s">
        <v>348</v>
      </c>
      <c r="G498" s="47"/>
    </row>
    <row r="499" spans="1:7" s="122" customFormat="1" ht="45" customHeight="1" x14ac:dyDescent="0.25">
      <c r="A499" s="232"/>
      <c r="B499" s="151">
        <v>2</v>
      </c>
      <c r="C499" s="52" t="s">
        <v>40</v>
      </c>
      <c r="D499" s="46" t="s">
        <v>347</v>
      </c>
      <c r="E499" s="50"/>
      <c r="F499" s="46" t="s">
        <v>346</v>
      </c>
      <c r="G499" s="47"/>
    </row>
    <row r="500" spans="1:7" s="122" customFormat="1" ht="60" customHeight="1" x14ac:dyDescent="0.25">
      <c r="A500" s="232"/>
      <c r="B500" s="107" t="s">
        <v>81</v>
      </c>
      <c r="C500" s="51" t="s">
        <v>82</v>
      </c>
      <c r="D500" s="46" t="s">
        <v>345</v>
      </c>
      <c r="E500" s="127"/>
      <c r="F500" s="46"/>
      <c r="G500" s="47" t="s">
        <v>337</v>
      </c>
    </row>
    <row r="501" spans="1:7" s="122" customFormat="1" ht="30" customHeight="1" x14ac:dyDescent="0.25">
      <c r="A501" s="232"/>
      <c r="B501" s="151">
        <v>3</v>
      </c>
      <c r="C501" s="52" t="s">
        <v>40</v>
      </c>
      <c r="D501" s="46" t="s">
        <v>344</v>
      </c>
      <c r="E501" s="50"/>
      <c r="F501" s="46" t="s">
        <v>648</v>
      </c>
      <c r="G501" s="47"/>
    </row>
    <row r="502" spans="1:7" s="122" customFormat="1" ht="30" customHeight="1" x14ac:dyDescent="0.25">
      <c r="A502" s="232"/>
      <c r="B502" s="131">
        <v>4</v>
      </c>
      <c r="C502" s="48" t="s">
        <v>39</v>
      </c>
      <c r="D502" s="49" t="s">
        <v>631</v>
      </c>
      <c r="E502" s="50"/>
      <c r="F502" s="46" t="s">
        <v>342</v>
      </c>
      <c r="G502" s="47"/>
    </row>
    <row r="503" spans="1:7" s="122" customFormat="1" ht="30" customHeight="1" x14ac:dyDescent="0.25">
      <c r="A503" s="232"/>
      <c r="B503" s="151">
        <v>5</v>
      </c>
      <c r="C503" s="52" t="s">
        <v>40</v>
      </c>
      <c r="D503" s="46" t="s">
        <v>341</v>
      </c>
      <c r="E503" s="50"/>
      <c r="F503" s="46" t="s">
        <v>340</v>
      </c>
      <c r="G503" s="47"/>
    </row>
    <row r="504" spans="1:7" s="122" customFormat="1" ht="15" customHeight="1" x14ac:dyDescent="0.25">
      <c r="A504" s="232"/>
      <c r="B504" s="151">
        <v>6</v>
      </c>
      <c r="C504" s="52" t="s">
        <v>40</v>
      </c>
      <c r="D504" s="46" t="s">
        <v>339</v>
      </c>
      <c r="E504" s="50"/>
      <c r="F504" s="46" t="s">
        <v>338</v>
      </c>
      <c r="G504" s="47"/>
    </row>
    <row r="505" spans="1:7" s="122" customFormat="1" ht="120" customHeight="1" thickBot="1" x14ac:dyDescent="0.3">
      <c r="A505" s="233"/>
      <c r="B505" s="121" t="s">
        <v>81</v>
      </c>
      <c r="C505" s="55" t="s">
        <v>82</v>
      </c>
      <c r="D505" s="136" t="s">
        <v>610</v>
      </c>
      <c r="E505" s="126"/>
      <c r="F505" s="136"/>
      <c r="G505" s="58" t="s">
        <v>337</v>
      </c>
    </row>
    <row r="506" spans="1:7" ht="30" customHeight="1" thickBot="1" x14ac:dyDescent="0.3">
      <c r="A506" s="103" t="str">
        <f>TabellaTest!F44</f>
        <v>TF027.UC01</v>
      </c>
      <c r="B506" s="176" t="str">
        <f>TabellaTest!C44</f>
        <v>PAR. 2.9.1-033-27</v>
      </c>
      <c r="C506" s="187"/>
      <c r="D506" s="188" t="str">
        <f>TabellaTest!E44</f>
        <v>Verifica funzionalità "Cruscotto per funzionalità Batch"</v>
      </c>
      <c r="E506" s="189"/>
      <c r="F506" s="188" t="str">
        <f>TabellaTest!G44</f>
        <v>Verifica: Verificare nel sottosistema SIEP l'utilizzo della funzione "Cruscotto per funzionalità Batch"</v>
      </c>
      <c r="G506" s="190"/>
    </row>
    <row r="507" spans="1:7" ht="30.75" thickBot="1" x14ac:dyDescent="0.3">
      <c r="A507" s="191"/>
      <c r="B507" s="35" t="s">
        <v>31</v>
      </c>
      <c r="C507" s="32" t="s">
        <v>32</v>
      </c>
      <c r="D507" s="29" t="s">
        <v>33</v>
      </c>
      <c r="E507" s="29" t="s">
        <v>34</v>
      </c>
      <c r="F507" s="29" t="s">
        <v>35</v>
      </c>
      <c r="G507" s="30" t="s">
        <v>10</v>
      </c>
    </row>
    <row r="508" spans="1:7" ht="30" customHeight="1" thickBot="1" x14ac:dyDescent="0.3">
      <c r="A508" s="191"/>
      <c r="B508" s="56" t="s">
        <v>36</v>
      </c>
      <c r="C508" s="45" t="s">
        <v>37</v>
      </c>
      <c r="D508" s="46" t="s">
        <v>317</v>
      </c>
      <c r="E508" s="46" t="s">
        <v>316</v>
      </c>
      <c r="F508" s="46"/>
      <c r="G508" s="47"/>
    </row>
    <row r="509" spans="1:7" ht="15" customHeight="1" thickBot="1" x14ac:dyDescent="0.3">
      <c r="A509" s="191"/>
      <c r="B509" s="56" t="s">
        <v>36</v>
      </c>
      <c r="C509" s="45" t="s">
        <v>38</v>
      </c>
      <c r="D509" s="46" t="s">
        <v>280</v>
      </c>
      <c r="E509" s="46"/>
      <c r="F509" s="67" t="s">
        <v>282</v>
      </c>
      <c r="G509" s="47"/>
    </row>
    <row r="510" spans="1:7" ht="30" customHeight="1" thickBot="1" x14ac:dyDescent="0.3">
      <c r="A510" s="191"/>
      <c r="B510" s="57">
        <v>1</v>
      </c>
      <c r="C510" s="48" t="s">
        <v>39</v>
      </c>
      <c r="D510" s="49" t="s">
        <v>281</v>
      </c>
      <c r="E510" s="102" t="s">
        <v>293</v>
      </c>
      <c r="F510" s="46" t="s">
        <v>295</v>
      </c>
      <c r="G510" s="47"/>
    </row>
    <row r="511" spans="1:7" ht="30" customHeight="1" thickBot="1" x14ac:dyDescent="0.3">
      <c r="A511" s="191"/>
      <c r="B511" s="105">
        <v>2</v>
      </c>
      <c r="C511" s="106" t="s">
        <v>40</v>
      </c>
      <c r="D511" s="60" t="s">
        <v>294</v>
      </c>
      <c r="E511" s="102"/>
      <c r="F511" s="46" t="s">
        <v>296</v>
      </c>
      <c r="G511" s="47"/>
    </row>
    <row r="512" spans="1:7" ht="30" customHeight="1" thickBot="1" x14ac:dyDescent="0.3">
      <c r="A512" s="191"/>
      <c r="B512" s="97">
        <v>3</v>
      </c>
      <c r="C512" s="52" t="s">
        <v>40</v>
      </c>
      <c r="D512" s="46" t="s">
        <v>330</v>
      </c>
      <c r="E512" s="102"/>
      <c r="F512" s="46" t="s">
        <v>283</v>
      </c>
      <c r="G512" s="47"/>
    </row>
    <row r="513" spans="1:7" ht="30" customHeight="1" thickBot="1" x14ac:dyDescent="0.3">
      <c r="A513" s="191"/>
      <c r="B513" s="105">
        <v>4</v>
      </c>
      <c r="C513" s="106" t="s">
        <v>40</v>
      </c>
      <c r="D513" s="60" t="s">
        <v>284</v>
      </c>
      <c r="E513" s="102" t="s">
        <v>285</v>
      </c>
      <c r="F513" s="46" t="s">
        <v>286</v>
      </c>
      <c r="G513" s="47"/>
    </row>
    <row r="514" spans="1:7" ht="15" customHeight="1" thickBot="1" x14ac:dyDescent="0.3">
      <c r="A514" s="191"/>
      <c r="B514" s="111">
        <v>5</v>
      </c>
      <c r="C514" s="52" t="s">
        <v>40</v>
      </c>
      <c r="D514" s="60" t="s">
        <v>287</v>
      </c>
      <c r="E514" s="102" t="s">
        <v>285</v>
      </c>
      <c r="F514" s="46" t="s">
        <v>288</v>
      </c>
      <c r="G514" s="53"/>
    </row>
    <row r="515" spans="1:7" ht="15" customHeight="1" thickBot="1" x14ac:dyDescent="0.3">
      <c r="A515" s="191"/>
      <c r="B515" s="108">
        <v>6</v>
      </c>
      <c r="C515" s="109" t="s">
        <v>40</v>
      </c>
      <c r="D515" s="60" t="s">
        <v>289</v>
      </c>
      <c r="E515" s="110"/>
      <c r="F515" s="60" t="s">
        <v>290</v>
      </c>
      <c r="G515" s="53"/>
    </row>
    <row r="516" spans="1:7" ht="30" customHeight="1" thickBot="1" x14ac:dyDescent="0.3">
      <c r="A516" s="191"/>
      <c r="B516" s="107" t="s">
        <v>81</v>
      </c>
      <c r="C516" s="51" t="s">
        <v>82</v>
      </c>
      <c r="D516" s="60" t="s">
        <v>292</v>
      </c>
      <c r="E516" s="110" t="s">
        <v>291</v>
      </c>
      <c r="F516" s="60" t="s">
        <v>290</v>
      </c>
      <c r="G516" s="53"/>
    </row>
    <row r="517" spans="1:7" ht="90" customHeight="1" thickBot="1" x14ac:dyDescent="0.3">
      <c r="A517" s="191"/>
      <c r="B517" s="57">
        <v>7</v>
      </c>
      <c r="C517" s="48" t="s">
        <v>39</v>
      </c>
      <c r="D517" s="49" t="s">
        <v>297</v>
      </c>
      <c r="E517" s="102" t="s">
        <v>325</v>
      </c>
      <c r="F517" s="46" t="s">
        <v>298</v>
      </c>
      <c r="G517" s="47"/>
    </row>
    <row r="518" spans="1:7" ht="30" customHeight="1" thickBot="1" x14ac:dyDescent="0.3">
      <c r="A518" s="191"/>
      <c r="B518" s="111">
        <v>8</v>
      </c>
      <c r="C518" s="52" t="s">
        <v>40</v>
      </c>
      <c r="D518" s="46" t="s">
        <v>299</v>
      </c>
      <c r="E518" s="110"/>
      <c r="F518" s="60" t="s">
        <v>300</v>
      </c>
      <c r="G518" s="53"/>
    </row>
    <row r="519" spans="1:7" ht="75" customHeight="1" thickBot="1" x14ac:dyDescent="0.3">
      <c r="A519" s="191"/>
      <c r="B519" s="114">
        <v>9</v>
      </c>
      <c r="C519" s="115" t="s">
        <v>40</v>
      </c>
      <c r="D519" s="60" t="s">
        <v>301</v>
      </c>
      <c r="E519" s="110" t="s">
        <v>303</v>
      </c>
      <c r="F519" s="46" t="s">
        <v>302</v>
      </c>
      <c r="G519" s="116"/>
    </row>
    <row r="520" spans="1:7" ht="30" customHeight="1" thickBot="1" x14ac:dyDescent="0.3">
      <c r="A520" s="191"/>
      <c r="B520" s="73" t="s">
        <v>81</v>
      </c>
      <c r="C520" s="70" t="s">
        <v>82</v>
      </c>
      <c r="D520" s="60" t="s">
        <v>305</v>
      </c>
      <c r="E520" s="69"/>
      <c r="F520" s="60" t="s">
        <v>302</v>
      </c>
      <c r="G520" s="53"/>
    </row>
    <row r="521" spans="1:7" ht="30" customHeight="1" thickBot="1" x14ac:dyDescent="0.3">
      <c r="A521" s="191"/>
      <c r="B521" s="111">
        <v>10</v>
      </c>
      <c r="C521" s="52" t="s">
        <v>40</v>
      </c>
      <c r="D521" s="46" t="s">
        <v>304</v>
      </c>
      <c r="E521" s="102"/>
      <c r="F521" s="46" t="s">
        <v>302</v>
      </c>
      <c r="G521" s="47"/>
    </row>
    <row r="522" spans="1:7" ht="30" customHeight="1" thickBot="1" x14ac:dyDescent="0.3">
      <c r="A522" s="191"/>
      <c r="B522" s="107" t="s">
        <v>81</v>
      </c>
      <c r="C522" s="51" t="s">
        <v>82</v>
      </c>
      <c r="D522" s="46" t="s">
        <v>306</v>
      </c>
      <c r="E522" s="67"/>
      <c r="F522" s="46" t="s">
        <v>302</v>
      </c>
      <c r="G522" s="47"/>
    </row>
    <row r="523" spans="1:7" ht="30" customHeight="1" thickBot="1" x14ac:dyDescent="0.3">
      <c r="A523" s="191"/>
      <c r="B523" s="111">
        <v>11</v>
      </c>
      <c r="C523" s="52" t="s">
        <v>40</v>
      </c>
      <c r="D523" s="46" t="s">
        <v>307</v>
      </c>
      <c r="E523" s="102"/>
      <c r="F523" s="46" t="s">
        <v>302</v>
      </c>
      <c r="G523" s="47"/>
    </row>
    <row r="524" spans="1:7" ht="30" customHeight="1" thickBot="1" x14ac:dyDescent="0.3">
      <c r="A524" s="191"/>
      <c r="B524" s="107" t="s">
        <v>81</v>
      </c>
      <c r="C524" s="51" t="s">
        <v>82</v>
      </c>
      <c r="D524" s="46" t="s">
        <v>308</v>
      </c>
      <c r="E524" s="67"/>
      <c r="F524" s="46" t="s">
        <v>302</v>
      </c>
      <c r="G524" s="47"/>
    </row>
    <row r="525" spans="1:7" ht="15" customHeight="1" thickBot="1" x14ac:dyDescent="0.3">
      <c r="A525" s="191"/>
      <c r="B525" s="97">
        <v>12</v>
      </c>
      <c r="C525" s="52" t="s">
        <v>40</v>
      </c>
      <c r="D525" s="46" t="s">
        <v>309</v>
      </c>
      <c r="E525" s="102"/>
      <c r="F525" s="67" t="s">
        <v>282</v>
      </c>
      <c r="G525" s="47"/>
    </row>
    <row r="526" spans="1:7" ht="45" customHeight="1" thickBot="1" x14ac:dyDescent="0.3">
      <c r="A526" s="191"/>
      <c r="B526" s="73" t="s">
        <v>81</v>
      </c>
      <c r="C526" s="70" t="s">
        <v>82</v>
      </c>
      <c r="D526" s="60" t="s">
        <v>310</v>
      </c>
      <c r="E526" s="110" t="s">
        <v>311</v>
      </c>
      <c r="F526" s="60" t="s">
        <v>282</v>
      </c>
      <c r="G526" s="53"/>
    </row>
    <row r="527" spans="1:7" ht="30" customHeight="1" thickBot="1" x14ac:dyDescent="0.3">
      <c r="A527" s="191"/>
      <c r="B527" s="117" t="s">
        <v>36</v>
      </c>
      <c r="C527" s="45" t="s">
        <v>37</v>
      </c>
      <c r="D527" s="46" t="s">
        <v>85</v>
      </c>
      <c r="E527" s="46" t="s">
        <v>86</v>
      </c>
      <c r="F527" s="46"/>
      <c r="G527" s="47"/>
    </row>
    <row r="528" spans="1:7" ht="15" customHeight="1" thickBot="1" x14ac:dyDescent="0.3">
      <c r="A528" s="191"/>
      <c r="B528" s="56" t="s">
        <v>36</v>
      </c>
      <c r="C528" s="45" t="s">
        <v>38</v>
      </c>
      <c r="D528" s="46" t="s">
        <v>280</v>
      </c>
      <c r="E528" s="46"/>
      <c r="F528" s="67" t="s">
        <v>282</v>
      </c>
      <c r="G528" s="47"/>
    </row>
    <row r="529" spans="1:7" ht="15" customHeight="1" thickBot="1" x14ac:dyDescent="0.3">
      <c r="A529" s="191"/>
      <c r="B529" s="97">
        <v>13</v>
      </c>
      <c r="C529" s="52" t="s">
        <v>40</v>
      </c>
      <c r="D529" s="46" t="s">
        <v>309</v>
      </c>
      <c r="E529" s="102"/>
      <c r="F529" s="67" t="s">
        <v>282</v>
      </c>
      <c r="G529" s="47"/>
    </row>
    <row r="530" spans="1:7" ht="45" customHeight="1" thickBot="1" x14ac:dyDescent="0.3">
      <c r="A530" s="191"/>
      <c r="B530" s="54" t="s">
        <v>81</v>
      </c>
      <c r="C530" s="55" t="s">
        <v>82</v>
      </c>
      <c r="D530" s="104" t="s">
        <v>312</v>
      </c>
      <c r="E530" s="101" t="s">
        <v>313</v>
      </c>
      <c r="F530" s="104" t="s">
        <v>282</v>
      </c>
      <c r="G530" s="58"/>
    </row>
    <row r="531" spans="1:7" ht="30" customHeight="1" thickBot="1" x14ac:dyDescent="0.3">
      <c r="A531" s="112" t="str">
        <f>TabellaTest!F45</f>
        <v>TF028.UC01</v>
      </c>
      <c r="B531" s="176" t="str">
        <f>TabellaTest!C45</f>
        <v>PAR. 2.9.2-033-28</v>
      </c>
      <c r="C531" s="187"/>
      <c r="D531" s="188" t="str">
        <f>TabellaTest!E45</f>
        <v>Verifica funzionalità "Cruscotto per funzionalità web"</v>
      </c>
      <c r="E531" s="189"/>
      <c r="F531" s="188" t="str">
        <f>TabellaTest!G45</f>
        <v>Verifica: Verificare nel sottosistema SIEP l'utilizzo della funzione "Cruscotto per funzionalità web"</v>
      </c>
      <c r="G531" s="190"/>
    </row>
    <row r="532" spans="1:7" ht="30.75" thickBot="1" x14ac:dyDescent="0.3">
      <c r="A532" s="191"/>
      <c r="B532" s="35" t="s">
        <v>31</v>
      </c>
      <c r="C532" s="32" t="s">
        <v>32</v>
      </c>
      <c r="D532" s="29" t="s">
        <v>33</v>
      </c>
      <c r="E532" s="29" t="s">
        <v>34</v>
      </c>
      <c r="F532" s="29" t="s">
        <v>35</v>
      </c>
      <c r="G532" s="30" t="s">
        <v>10</v>
      </c>
    </row>
    <row r="533" spans="1:7" ht="30" customHeight="1" thickBot="1" x14ac:dyDescent="0.3">
      <c r="A533" s="191"/>
      <c r="B533" s="56" t="s">
        <v>36</v>
      </c>
      <c r="C533" s="45" t="s">
        <v>37</v>
      </c>
      <c r="D533" s="46" t="s">
        <v>85</v>
      </c>
      <c r="E533" s="46" t="s">
        <v>86</v>
      </c>
      <c r="F533" s="46"/>
      <c r="G533" s="47"/>
    </row>
    <row r="534" spans="1:7" ht="15" customHeight="1" thickBot="1" x14ac:dyDescent="0.3">
      <c r="A534" s="191"/>
      <c r="B534" s="56" t="s">
        <v>36</v>
      </c>
      <c r="C534" s="45" t="s">
        <v>38</v>
      </c>
      <c r="D534" s="46" t="s">
        <v>280</v>
      </c>
      <c r="E534" s="46"/>
      <c r="F534" s="67" t="s">
        <v>282</v>
      </c>
      <c r="G534" s="47"/>
    </row>
    <row r="535" spans="1:7" ht="30" customHeight="1" thickBot="1" x14ac:dyDescent="0.3">
      <c r="A535" s="191"/>
      <c r="B535" s="57">
        <v>1</v>
      </c>
      <c r="C535" s="48" t="s">
        <v>39</v>
      </c>
      <c r="D535" s="49" t="s">
        <v>314</v>
      </c>
      <c r="E535" s="102" t="s">
        <v>315</v>
      </c>
      <c r="F535" s="46" t="s">
        <v>321</v>
      </c>
      <c r="G535" s="47"/>
    </row>
    <row r="536" spans="1:7" ht="30" customHeight="1" thickBot="1" x14ac:dyDescent="0.3">
      <c r="A536" s="191"/>
      <c r="B536" s="105">
        <v>2</v>
      </c>
      <c r="C536" s="106" t="s">
        <v>40</v>
      </c>
      <c r="D536" s="60" t="s">
        <v>294</v>
      </c>
      <c r="E536" s="102"/>
      <c r="F536" s="46" t="s">
        <v>322</v>
      </c>
      <c r="G536" s="47"/>
    </row>
    <row r="537" spans="1:7" ht="30" customHeight="1" thickBot="1" x14ac:dyDescent="0.3">
      <c r="A537" s="191"/>
      <c r="B537" s="97">
        <v>3</v>
      </c>
      <c r="C537" s="52" t="s">
        <v>40</v>
      </c>
      <c r="D537" s="46" t="s">
        <v>330</v>
      </c>
      <c r="E537" s="102"/>
      <c r="F537" s="46" t="s">
        <v>206</v>
      </c>
      <c r="G537" s="47"/>
    </row>
    <row r="538" spans="1:7" ht="30" customHeight="1" thickBot="1" x14ac:dyDescent="0.3">
      <c r="A538" s="191"/>
      <c r="B538" s="105">
        <v>4</v>
      </c>
      <c r="C538" s="106" t="s">
        <v>40</v>
      </c>
      <c r="D538" s="46" t="s">
        <v>324</v>
      </c>
      <c r="E538" s="102"/>
      <c r="F538" s="46" t="s">
        <v>206</v>
      </c>
      <c r="G538" s="47"/>
    </row>
    <row r="539" spans="1:7" ht="30" customHeight="1" thickBot="1" x14ac:dyDescent="0.3">
      <c r="A539" s="191"/>
      <c r="B539" s="107" t="s">
        <v>81</v>
      </c>
      <c r="C539" s="51" t="s">
        <v>82</v>
      </c>
      <c r="D539" s="60" t="s">
        <v>327</v>
      </c>
      <c r="E539" s="110" t="s">
        <v>326</v>
      </c>
      <c r="F539" s="60" t="s">
        <v>328</v>
      </c>
      <c r="G539" s="53"/>
    </row>
    <row r="540" spans="1:7" ht="30" customHeight="1" thickBot="1" x14ac:dyDescent="0.3">
      <c r="A540" s="191"/>
      <c r="B540" s="111">
        <v>5</v>
      </c>
      <c r="C540" s="52" t="s">
        <v>40</v>
      </c>
      <c r="D540" s="46" t="s">
        <v>329</v>
      </c>
      <c r="E540" s="110" t="s">
        <v>331</v>
      </c>
      <c r="F540" s="60" t="s">
        <v>322</v>
      </c>
      <c r="G540" s="53"/>
    </row>
    <row r="541" spans="1:7" ht="30" customHeight="1" thickBot="1" x14ac:dyDescent="0.3">
      <c r="A541" s="191"/>
      <c r="B541" s="73" t="s">
        <v>81</v>
      </c>
      <c r="C541" s="70" t="s">
        <v>82</v>
      </c>
      <c r="D541" s="60" t="s">
        <v>332</v>
      </c>
      <c r="E541" s="69"/>
      <c r="F541" s="60" t="s">
        <v>322</v>
      </c>
      <c r="G541" s="53"/>
    </row>
    <row r="542" spans="1:7" ht="30" customHeight="1" thickBot="1" x14ac:dyDescent="0.3">
      <c r="A542" s="191"/>
      <c r="B542" s="56" t="s">
        <v>36</v>
      </c>
      <c r="C542" s="45" t="s">
        <v>37</v>
      </c>
      <c r="D542" s="46" t="s">
        <v>319</v>
      </c>
      <c r="E542" s="46" t="s">
        <v>320</v>
      </c>
      <c r="F542" s="46"/>
      <c r="G542" s="47"/>
    </row>
    <row r="543" spans="1:7" ht="15" customHeight="1" thickBot="1" x14ac:dyDescent="0.3">
      <c r="A543" s="191"/>
      <c r="B543" s="56" t="s">
        <v>36</v>
      </c>
      <c r="C543" s="45" t="s">
        <v>38</v>
      </c>
      <c r="D543" s="46" t="s">
        <v>280</v>
      </c>
      <c r="E543" s="46"/>
      <c r="F543" s="67" t="s">
        <v>282</v>
      </c>
      <c r="G543" s="47"/>
    </row>
    <row r="544" spans="1:7" ht="30" customHeight="1" thickBot="1" x14ac:dyDescent="0.3">
      <c r="A544" s="191"/>
      <c r="B544" s="118"/>
      <c r="C544" s="119" t="s">
        <v>39</v>
      </c>
      <c r="D544" s="120" t="s">
        <v>318</v>
      </c>
      <c r="E544" s="101" t="s">
        <v>323</v>
      </c>
      <c r="F544" s="113" t="s">
        <v>321</v>
      </c>
      <c r="G544" s="58"/>
    </row>
    <row r="545" spans="1:7" ht="30" customHeight="1" thickBot="1" x14ac:dyDescent="0.3">
      <c r="A545" s="112" t="str">
        <f>TabellaTest!F46</f>
        <v>TF029.UC01</v>
      </c>
      <c r="B545" s="176" t="str">
        <f>TabellaTest!C46</f>
        <v>PAR. 2.10-033-29</v>
      </c>
      <c r="C545" s="187"/>
      <c r="D545" s="188" t="str">
        <f>TabellaTest!E46</f>
        <v>Verifica funzionalità "Test di Sistema"</v>
      </c>
      <c r="E545" s="189"/>
      <c r="F545" s="188" t="str">
        <f>TabellaTest!G46</f>
        <v>Verifica: Verificare nel sottosistema SIEP la presenza nella funzione "Test di Sistema" di due nuovi controlli</v>
      </c>
      <c r="G545" s="190"/>
    </row>
    <row r="546" spans="1:7" ht="30.75" thickBot="1" x14ac:dyDescent="0.3">
      <c r="A546" s="191"/>
      <c r="B546" s="35" t="s">
        <v>31</v>
      </c>
      <c r="C546" s="32" t="s">
        <v>32</v>
      </c>
      <c r="D546" s="29" t="s">
        <v>33</v>
      </c>
      <c r="E546" s="29" t="s">
        <v>34</v>
      </c>
      <c r="F546" s="29" t="s">
        <v>35</v>
      </c>
      <c r="G546" s="30" t="s">
        <v>10</v>
      </c>
    </row>
    <row r="547" spans="1:7" ht="30" customHeight="1" thickBot="1" x14ac:dyDescent="0.3">
      <c r="A547" s="191"/>
      <c r="B547" s="56" t="s">
        <v>36</v>
      </c>
      <c r="C547" s="45" t="s">
        <v>37</v>
      </c>
      <c r="D547" s="46" t="s">
        <v>317</v>
      </c>
      <c r="E547" s="46" t="s">
        <v>316</v>
      </c>
      <c r="F547" s="46"/>
      <c r="G547" s="47"/>
    </row>
    <row r="548" spans="1:7" ht="15" customHeight="1" thickBot="1" x14ac:dyDescent="0.3">
      <c r="A548" s="191"/>
      <c r="B548" s="56" t="s">
        <v>36</v>
      </c>
      <c r="C548" s="45" t="s">
        <v>38</v>
      </c>
      <c r="D548" s="46" t="s">
        <v>280</v>
      </c>
      <c r="E548" s="46"/>
      <c r="F548" s="67" t="s">
        <v>282</v>
      </c>
      <c r="G548" s="47"/>
    </row>
    <row r="549" spans="1:7" ht="15" customHeight="1" thickBot="1" x14ac:dyDescent="0.3">
      <c r="A549" s="191"/>
      <c r="B549" s="57">
        <v>1</v>
      </c>
      <c r="C549" s="48" t="s">
        <v>39</v>
      </c>
      <c r="D549" s="49" t="s">
        <v>333</v>
      </c>
      <c r="E549" s="102"/>
      <c r="F549" s="46"/>
      <c r="G549" s="47"/>
    </row>
    <row r="550" spans="1:7" ht="15" customHeight="1" thickBot="1" x14ac:dyDescent="0.3">
      <c r="A550" s="191"/>
      <c r="B550" s="105">
        <v>2</v>
      </c>
      <c r="C550" s="106" t="s">
        <v>40</v>
      </c>
      <c r="D550" s="60" t="s">
        <v>335</v>
      </c>
      <c r="E550" s="102"/>
      <c r="F550" s="46" t="s">
        <v>334</v>
      </c>
      <c r="G550" s="47"/>
    </row>
    <row r="551" spans="1:7" ht="90" customHeight="1" thickBot="1" x14ac:dyDescent="0.3">
      <c r="A551" s="191"/>
      <c r="B551" s="121" t="s">
        <v>81</v>
      </c>
      <c r="C551" s="55" t="s">
        <v>82</v>
      </c>
      <c r="D551" s="113" t="s">
        <v>336</v>
      </c>
      <c r="E551" s="101"/>
      <c r="F551" s="113"/>
      <c r="G551" s="58"/>
    </row>
    <row r="552" spans="1:7" ht="30" customHeight="1" thickBot="1" x14ac:dyDescent="0.3">
      <c r="A552" s="169" t="str">
        <f>TabellaTest!F47</f>
        <v>TF030.UC01</v>
      </c>
      <c r="B552" s="176" t="str">
        <f>TabellaTest!C47</f>
        <v>PAR. 2.7-033-30</v>
      </c>
      <c r="C552" s="177"/>
      <c r="D552" s="178" t="str">
        <f>TabellaTest!E47</f>
        <v>Verifica funzione Batch Di Verifica Stato Del Pagamento</v>
      </c>
      <c r="E552" s="179"/>
      <c r="F552" s="178" t="str">
        <f>TabellaTest!G47</f>
        <v>Verifica: Verificare nel sottosistema SIEP l'utilizzo della funzione Batch Di Verifica Stato Del Pagamento</v>
      </c>
      <c r="G552" s="180"/>
    </row>
    <row r="553" spans="1:7" ht="30" x14ac:dyDescent="0.25">
      <c r="A553" s="181"/>
      <c r="B553" s="35" t="s">
        <v>31</v>
      </c>
      <c r="C553" s="32" t="s">
        <v>32</v>
      </c>
      <c r="D553" s="29" t="s">
        <v>33</v>
      </c>
      <c r="E553" s="29" t="s">
        <v>34</v>
      </c>
      <c r="F553" s="29" t="s">
        <v>35</v>
      </c>
      <c r="G553" s="30" t="s">
        <v>10</v>
      </c>
    </row>
    <row r="554" spans="1:7" ht="30" customHeight="1" x14ac:dyDescent="0.25">
      <c r="A554" s="182"/>
      <c r="B554" s="56" t="s">
        <v>36</v>
      </c>
      <c r="C554" s="45" t="s">
        <v>37</v>
      </c>
      <c r="D554" s="46" t="s">
        <v>85</v>
      </c>
      <c r="E554" s="46" t="s">
        <v>86</v>
      </c>
      <c r="F554" s="46"/>
      <c r="G554" s="47"/>
    </row>
    <row r="555" spans="1:7" ht="60" customHeight="1" x14ac:dyDescent="0.25">
      <c r="A555" s="182"/>
      <c r="B555" s="56" t="s">
        <v>36</v>
      </c>
      <c r="C555" s="45" t="s">
        <v>38</v>
      </c>
      <c r="D555" s="46" t="s">
        <v>654</v>
      </c>
      <c r="E555" s="102" t="s">
        <v>661</v>
      </c>
      <c r="F555" s="67"/>
      <c r="G555" s="47"/>
    </row>
    <row r="556" spans="1:7" ht="45" customHeight="1" x14ac:dyDescent="0.25">
      <c r="A556" s="182"/>
      <c r="B556" s="57">
        <v>1</v>
      </c>
      <c r="C556" s="48" t="s">
        <v>39</v>
      </c>
      <c r="D556" s="49" t="s">
        <v>656</v>
      </c>
      <c r="E556" s="102"/>
      <c r="F556" s="46"/>
      <c r="G556" s="47"/>
    </row>
    <row r="557" spans="1:7" ht="45" customHeight="1" x14ac:dyDescent="0.25">
      <c r="A557" s="182"/>
      <c r="B557" s="105">
        <v>2</v>
      </c>
      <c r="C557" s="106" t="s">
        <v>40</v>
      </c>
      <c r="D557" s="60" t="s">
        <v>658</v>
      </c>
      <c r="E557" s="102" t="s">
        <v>657</v>
      </c>
      <c r="F557" s="60" t="s">
        <v>206</v>
      </c>
      <c r="G557" s="53"/>
    </row>
    <row r="558" spans="1:7" ht="30" customHeight="1" x14ac:dyDescent="0.25">
      <c r="A558" s="182"/>
      <c r="B558" s="105">
        <v>3</v>
      </c>
      <c r="C558" s="106" t="s">
        <v>40</v>
      </c>
      <c r="D558" s="60" t="s">
        <v>659</v>
      </c>
      <c r="E558" s="110"/>
      <c r="F558" s="60"/>
      <c r="G558" s="53"/>
    </row>
    <row r="559" spans="1:7" ht="30" customHeight="1" x14ac:dyDescent="0.25">
      <c r="A559" s="182"/>
      <c r="B559" s="108">
        <v>4</v>
      </c>
      <c r="C559" s="109" t="s">
        <v>40</v>
      </c>
      <c r="D559" s="60" t="s">
        <v>660</v>
      </c>
      <c r="E559" s="110"/>
      <c r="F559" s="60"/>
      <c r="G559" s="53"/>
    </row>
    <row r="560" spans="1:7" ht="75" customHeight="1" thickBot="1" x14ac:dyDescent="0.3">
      <c r="A560" s="183"/>
      <c r="B560" s="54" t="s">
        <v>81</v>
      </c>
      <c r="C560" s="55" t="s">
        <v>82</v>
      </c>
      <c r="D560" s="160" t="s">
        <v>655</v>
      </c>
      <c r="E560" s="101"/>
      <c r="F560" s="161" t="s">
        <v>662</v>
      </c>
      <c r="G560" s="58"/>
    </row>
  </sheetData>
  <autoFilter ref="A3:G3">
    <filterColumn colId="1" showButton="0"/>
    <filterColumn colId="3" showButton="0"/>
    <filterColumn colId="5" showButton="0"/>
  </autoFilter>
  <mergeCells count="183">
    <mergeCell ref="A496:A505"/>
    <mergeCell ref="A263:A283"/>
    <mergeCell ref="A285:A308"/>
    <mergeCell ref="A427:A436"/>
    <mergeCell ref="A438:A463"/>
    <mergeCell ref="A366:A381"/>
    <mergeCell ref="A332:A354"/>
    <mergeCell ref="A391:A403"/>
    <mergeCell ref="A405:A414"/>
    <mergeCell ref="A356:A364"/>
    <mergeCell ref="B484:C484"/>
    <mergeCell ref="D484:E484"/>
    <mergeCell ref="F484:G484"/>
    <mergeCell ref="A485:A494"/>
    <mergeCell ref="B495:C495"/>
    <mergeCell ref="D495:E495"/>
    <mergeCell ref="F495:G495"/>
    <mergeCell ref="A465:A473"/>
    <mergeCell ref="B474:C474"/>
    <mergeCell ref="D474:E474"/>
    <mergeCell ref="F474:G474"/>
    <mergeCell ref="A475:A483"/>
    <mergeCell ref="F464:G464"/>
    <mergeCell ref="A383:A389"/>
    <mergeCell ref="B390:C390"/>
    <mergeCell ref="D390:E390"/>
    <mergeCell ref="F390:G390"/>
    <mergeCell ref="B426:C426"/>
    <mergeCell ref="D426:E426"/>
    <mergeCell ref="F426:G426"/>
    <mergeCell ref="A416:A425"/>
    <mergeCell ref="B160:C160"/>
    <mergeCell ref="D160:E160"/>
    <mergeCell ref="F160:G160"/>
    <mergeCell ref="B199:C199"/>
    <mergeCell ref="A216:A229"/>
    <mergeCell ref="D199:E199"/>
    <mergeCell ref="F199:G199"/>
    <mergeCell ref="A200:A214"/>
    <mergeCell ref="B215:C215"/>
    <mergeCell ref="D215:E215"/>
    <mergeCell ref="F215:G215"/>
    <mergeCell ref="B179:C179"/>
    <mergeCell ref="D179:E179"/>
    <mergeCell ref="F179:G179"/>
    <mergeCell ref="F331:G331"/>
    <mergeCell ref="B355:C355"/>
    <mergeCell ref="D355:E355"/>
    <mergeCell ref="F355:G355"/>
    <mergeCell ref="A180:A198"/>
    <mergeCell ref="A231:A246"/>
    <mergeCell ref="A161:A165"/>
    <mergeCell ref="B166:C166"/>
    <mergeCell ref="D166:E166"/>
    <mergeCell ref="F166:G166"/>
    <mergeCell ref="A167:A178"/>
    <mergeCell ref="F230:G230"/>
    <mergeCell ref="B262:C262"/>
    <mergeCell ref="D262:E262"/>
    <mergeCell ref="F262:G262"/>
    <mergeCell ref="B284:C284"/>
    <mergeCell ref="D284:E284"/>
    <mergeCell ref="F284:G284"/>
    <mergeCell ref="B247:C247"/>
    <mergeCell ref="D247:E247"/>
    <mergeCell ref="F247:G247"/>
    <mergeCell ref="A248:A261"/>
    <mergeCell ref="B230:C230"/>
    <mergeCell ref="D230:E230"/>
    <mergeCell ref="F365:G365"/>
    <mergeCell ref="B309:C309"/>
    <mergeCell ref="D309:E309"/>
    <mergeCell ref="F309:G309"/>
    <mergeCell ref="A310:A330"/>
    <mergeCell ref="A85:A89"/>
    <mergeCell ref="A145:A159"/>
    <mergeCell ref="A98:A112"/>
    <mergeCell ref="B113:C113"/>
    <mergeCell ref="D113:E113"/>
    <mergeCell ref="B97:C97"/>
    <mergeCell ref="D97:E97"/>
    <mergeCell ref="D128:E128"/>
    <mergeCell ref="B128:C128"/>
    <mergeCell ref="A114:A127"/>
    <mergeCell ref="A129:A143"/>
    <mergeCell ref="B144:C144"/>
    <mergeCell ref="D144:E144"/>
    <mergeCell ref="B90:C90"/>
    <mergeCell ref="B331:C331"/>
    <mergeCell ref="D331:E331"/>
    <mergeCell ref="A546:A551"/>
    <mergeCell ref="B531:C531"/>
    <mergeCell ref="D531:E531"/>
    <mergeCell ref="F531:G531"/>
    <mergeCell ref="A532:A544"/>
    <mergeCell ref="B545:C545"/>
    <mergeCell ref="D545:E545"/>
    <mergeCell ref="F545:G545"/>
    <mergeCell ref="B365:C365"/>
    <mergeCell ref="D365:E365"/>
    <mergeCell ref="B382:C382"/>
    <mergeCell ref="D382:E382"/>
    <mergeCell ref="F382:G382"/>
    <mergeCell ref="B404:C404"/>
    <mergeCell ref="D404:E404"/>
    <mergeCell ref="F404:G404"/>
    <mergeCell ref="B415:C415"/>
    <mergeCell ref="D415:E415"/>
    <mergeCell ref="F415:G415"/>
    <mergeCell ref="B437:C437"/>
    <mergeCell ref="D437:E437"/>
    <mergeCell ref="F437:G437"/>
    <mergeCell ref="B464:C464"/>
    <mergeCell ref="D464:E464"/>
    <mergeCell ref="B84:C84"/>
    <mergeCell ref="D84:E84"/>
    <mergeCell ref="F84:G84"/>
    <mergeCell ref="F144:G144"/>
    <mergeCell ref="F128:G128"/>
    <mergeCell ref="F97:G97"/>
    <mergeCell ref="D90:E90"/>
    <mergeCell ref="F90:G90"/>
    <mergeCell ref="F113:G113"/>
    <mergeCell ref="A42:A45"/>
    <mergeCell ref="A47:A50"/>
    <mergeCell ref="F12:G12"/>
    <mergeCell ref="A13:A19"/>
    <mergeCell ref="F78:G78"/>
    <mergeCell ref="D69:E69"/>
    <mergeCell ref="F69:G69"/>
    <mergeCell ref="D36:E36"/>
    <mergeCell ref="B41:C41"/>
    <mergeCell ref="D41:E41"/>
    <mergeCell ref="B46:C46"/>
    <mergeCell ref="D46:E46"/>
    <mergeCell ref="F28:G28"/>
    <mergeCell ref="A70:A77"/>
    <mergeCell ref="B78:C78"/>
    <mergeCell ref="D78:E78"/>
    <mergeCell ref="A1:C1"/>
    <mergeCell ref="D1:G1"/>
    <mergeCell ref="A2:C2"/>
    <mergeCell ref="D2:G2"/>
    <mergeCell ref="B3:C3"/>
    <mergeCell ref="D3:E3"/>
    <mergeCell ref="F3:G3"/>
    <mergeCell ref="F36:G36"/>
    <mergeCell ref="B51:C51"/>
    <mergeCell ref="D51:E51"/>
    <mergeCell ref="F51:G51"/>
    <mergeCell ref="F41:G41"/>
    <mergeCell ref="A21:A27"/>
    <mergeCell ref="B20:C20"/>
    <mergeCell ref="D20:E20"/>
    <mergeCell ref="F20:G20"/>
    <mergeCell ref="F4:G4"/>
    <mergeCell ref="A5:A11"/>
    <mergeCell ref="B12:C12"/>
    <mergeCell ref="D12:E12"/>
    <mergeCell ref="B552:C552"/>
    <mergeCell ref="D552:E552"/>
    <mergeCell ref="F552:G552"/>
    <mergeCell ref="A553:A560"/>
    <mergeCell ref="B4:C4"/>
    <mergeCell ref="D4:E4"/>
    <mergeCell ref="B506:C506"/>
    <mergeCell ref="D506:E506"/>
    <mergeCell ref="F506:G506"/>
    <mergeCell ref="A507:A530"/>
    <mergeCell ref="A29:A35"/>
    <mergeCell ref="A91:A96"/>
    <mergeCell ref="B60:C60"/>
    <mergeCell ref="D60:E60"/>
    <mergeCell ref="F60:G60"/>
    <mergeCell ref="A79:A83"/>
    <mergeCell ref="A61:A68"/>
    <mergeCell ref="B69:C69"/>
    <mergeCell ref="F46:G46"/>
    <mergeCell ref="A37:A40"/>
    <mergeCell ref="A52:A59"/>
    <mergeCell ref="B36:C36"/>
    <mergeCell ref="B28:C28"/>
    <mergeCell ref="D28:E28"/>
  </mergeCells>
  <phoneticPr fontId="21" type="noConversion"/>
  <pageMargins left="0.70866141732283472" right="0.70866141732283472" top="0.74803149606299213" bottom="0.74803149606299213" header="0.31496062992125984" footer="0.31496062992125984"/>
  <pageSetup paperSize="9" scale="9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zoomScaleNormal="100" workbookViewId="0">
      <selection sqref="A1:XFD1048576"/>
    </sheetView>
  </sheetViews>
  <sheetFormatPr defaultRowHeight="12.75" x14ac:dyDescent="0.25"/>
  <cols>
    <col min="1" max="1" width="4" style="7" bestFit="1" customWidth="1"/>
    <col min="2" max="2" width="21.28515625" style="7" customWidth="1"/>
    <col min="3" max="3" width="22.7109375" style="7" bestFit="1" customWidth="1"/>
    <col min="4" max="4" width="32.5703125" style="7" customWidth="1"/>
    <col min="5" max="5" width="57.28515625" style="7" customWidth="1"/>
    <col min="6" max="6" width="15.5703125" style="7" customWidth="1"/>
    <col min="7" max="7" width="17.7109375" style="7" customWidth="1"/>
    <col min="8" max="254" width="9.140625" style="7"/>
    <col min="255" max="255" width="4" style="7" bestFit="1" customWidth="1"/>
    <col min="256" max="256" width="26.7109375" style="7" bestFit="1" customWidth="1"/>
    <col min="257" max="257" width="22.7109375" style="7" bestFit="1" customWidth="1"/>
    <col min="258" max="258" width="32.5703125" style="7" customWidth="1"/>
    <col min="259" max="259" width="57.28515625" style="7" customWidth="1"/>
    <col min="260" max="260" width="15.5703125" style="7" customWidth="1"/>
    <col min="261" max="261" width="16.7109375" style="7" customWidth="1"/>
    <col min="262" max="510" width="9.140625" style="7"/>
    <col min="511" max="511" width="4" style="7" bestFit="1" customWidth="1"/>
    <col min="512" max="512" width="26.7109375" style="7" bestFit="1" customWidth="1"/>
    <col min="513" max="513" width="22.7109375" style="7" bestFit="1" customWidth="1"/>
    <col min="514" max="514" width="32.5703125" style="7" customWidth="1"/>
    <col min="515" max="515" width="57.28515625" style="7" customWidth="1"/>
    <col min="516" max="516" width="15.5703125" style="7" customWidth="1"/>
    <col min="517" max="517" width="16.7109375" style="7" customWidth="1"/>
    <col min="518" max="766" width="9.140625" style="7"/>
    <col min="767" max="767" width="4" style="7" bestFit="1" customWidth="1"/>
    <col min="768" max="768" width="26.7109375" style="7" bestFit="1" customWidth="1"/>
    <col min="769" max="769" width="22.7109375" style="7" bestFit="1" customWidth="1"/>
    <col min="770" max="770" width="32.5703125" style="7" customWidth="1"/>
    <col min="771" max="771" width="57.28515625" style="7" customWidth="1"/>
    <col min="772" max="772" width="15.5703125" style="7" customWidth="1"/>
    <col min="773" max="773" width="16.7109375" style="7" customWidth="1"/>
    <col min="774" max="1022" width="9.140625" style="7"/>
    <col min="1023" max="1023" width="4" style="7" bestFit="1" customWidth="1"/>
    <col min="1024" max="1024" width="26.7109375" style="7" bestFit="1" customWidth="1"/>
    <col min="1025" max="1025" width="22.7109375" style="7" bestFit="1" customWidth="1"/>
    <col min="1026" max="1026" width="32.5703125" style="7" customWidth="1"/>
    <col min="1027" max="1027" width="57.28515625" style="7" customWidth="1"/>
    <col min="1028" max="1028" width="15.5703125" style="7" customWidth="1"/>
    <col min="1029" max="1029" width="16.7109375" style="7" customWidth="1"/>
    <col min="1030" max="1278" width="9.140625" style="7"/>
    <col min="1279" max="1279" width="4" style="7" bestFit="1" customWidth="1"/>
    <col min="1280" max="1280" width="26.7109375" style="7" bestFit="1" customWidth="1"/>
    <col min="1281" max="1281" width="22.7109375" style="7" bestFit="1" customWidth="1"/>
    <col min="1282" max="1282" width="32.5703125" style="7" customWidth="1"/>
    <col min="1283" max="1283" width="57.28515625" style="7" customWidth="1"/>
    <col min="1284" max="1284" width="15.5703125" style="7" customWidth="1"/>
    <col min="1285" max="1285" width="16.7109375" style="7" customWidth="1"/>
    <col min="1286" max="1534" width="9.140625" style="7"/>
    <col min="1535" max="1535" width="4" style="7" bestFit="1" customWidth="1"/>
    <col min="1536" max="1536" width="26.7109375" style="7" bestFit="1" customWidth="1"/>
    <col min="1537" max="1537" width="22.7109375" style="7" bestFit="1" customWidth="1"/>
    <col min="1538" max="1538" width="32.5703125" style="7" customWidth="1"/>
    <col min="1539" max="1539" width="57.28515625" style="7" customWidth="1"/>
    <col min="1540" max="1540" width="15.5703125" style="7" customWidth="1"/>
    <col min="1541" max="1541" width="16.7109375" style="7" customWidth="1"/>
    <col min="1542" max="1790" width="9.140625" style="7"/>
    <col min="1791" max="1791" width="4" style="7" bestFit="1" customWidth="1"/>
    <col min="1792" max="1792" width="26.7109375" style="7" bestFit="1" customWidth="1"/>
    <col min="1793" max="1793" width="22.7109375" style="7" bestFit="1" customWidth="1"/>
    <col min="1794" max="1794" width="32.5703125" style="7" customWidth="1"/>
    <col min="1795" max="1795" width="57.28515625" style="7" customWidth="1"/>
    <col min="1796" max="1796" width="15.5703125" style="7" customWidth="1"/>
    <col min="1797" max="1797" width="16.7109375" style="7" customWidth="1"/>
    <col min="1798" max="2046" width="9.140625" style="7"/>
    <col min="2047" max="2047" width="4" style="7" bestFit="1" customWidth="1"/>
    <col min="2048" max="2048" width="26.7109375" style="7" bestFit="1" customWidth="1"/>
    <col min="2049" max="2049" width="22.7109375" style="7" bestFit="1" customWidth="1"/>
    <col min="2050" max="2050" width="32.5703125" style="7" customWidth="1"/>
    <col min="2051" max="2051" width="57.28515625" style="7" customWidth="1"/>
    <col min="2052" max="2052" width="15.5703125" style="7" customWidth="1"/>
    <col min="2053" max="2053" width="16.7109375" style="7" customWidth="1"/>
    <col min="2054" max="2302" width="9.140625" style="7"/>
    <col min="2303" max="2303" width="4" style="7" bestFit="1" customWidth="1"/>
    <col min="2304" max="2304" width="26.7109375" style="7" bestFit="1" customWidth="1"/>
    <col min="2305" max="2305" width="22.7109375" style="7" bestFit="1" customWidth="1"/>
    <col min="2306" max="2306" width="32.5703125" style="7" customWidth="1"/>
    <col min="2307" max="2307" width="57.28515625" style="7" customWidth="1"/>
    <col min="2308" max="2308" width="15.5703125" style="7" customWidth="1"/>
    <col min="2309" max="2309" width="16.7109375" style="7" customWidth="1"/>
    <col min="2310" max="2558" width="9.140625" style="7"/>
    <col min="2559" max="2559" width="4" style="7" bestFit="1" customWidth="1"/>
    <col min="2560" max="2560" width="26.7109375" style="7" bestFit="1" customWidth="1"/>
    <col min="2561" max="2561" width="22.7109375" style="7" bestFit="1" customWidth="1"/>
    <col min="2562" max="2562" width="32.5703125" style="7" customWidth="1"/>
    <col min="2563" max="2563" width="57.28515625" style="7" customWidth="1"/>
    <col min="2564" max="2564" width="15.5703125" style="7" customWidth="1"/>
    <col min="2565" max="2565" width="16.7109375" style="7" customWidth="1"/>
    <col min="2566" max="2814" width="9.140625" style="7"/>
    <col min="2815" max="2815" width="4" style="7" bestFit="1" customWidth="1"/>
    <col min="2816" max="2816" width="26.7109375" style="7" bestFit="1" customWidth="1"/>
    <col min="2817" max="2817" width="22.7109375" style="7" bestFit="1" customWidth="1"/>
    <col min="2818" max="2818" width="32.5703125" style="7" customWidth="1"/>
    <col min="2819" max="2819" width="57.28515625" style="7" customWidth="1"/>
    <col min="2820" max="2820" width="15.5703125" style="7" customWidth="1"/>
    <col min="2821" max="2821" width="16.7109375" style="7" customWidth="1"/>
    <col min="2822" max="3070" width="9.140625" style="7"/>
    <col min="3071" max="3071" width="4" style="7" bestFit="1" customWidth="1"/>
    <col min="3072" max="3072" width="26.7109375" style="7" bestFit="1" customWidth="1"/>
    <col min="3073" max="3073" width="22.7109375" style="7" bestFit="1" customWidth="1"/>
    <col min="3074" max="3074" width="32.5703125" style="7" customWidth="1"/>
    <col min="3075" max="3075" width="57.28515625" style="7" customWidth="1"/>
    <col min="3076" max="3076" width="15.5703125" style="7" customWidth="1"/>
    <col min="3077" max="3077" width="16.7109375" style="7" customWidth="1"/>
    <col min="3078" max="3326" width="9.140625" style="7"/>
    <col min="3327" max="3327" width="4" style="7" bestFit="1" customWidth="1"/>
    <col min="3328" max="3328" width="26.7109375" style="7" bestFit="1" customWidth="1"/>
    <col min="3329" max="3329" width="22.7109375" style="7" bestFit="1" customWidth="1"/>
    <col min="3330" max="3330" width="32.5703125" style="7" customWidth="1"/>
    <col min="3331" max="3331" width="57.28515625" style="7" customWidth="1"/>
    <col min="3332" max="3332" width="15.5703125" style="7" customWidth="1"/>
    <col min="3333" max="3333" width="16.7109375" style="7" customWidth="1"/>
    <col min="3334" max="3582" width="9.140625" style="7"/>
    <col min="3583" max="3583" width="4" style="7" bestFit="1" customWidth="1"/>
    <col min="3584" max="3584" width="26.7109375" style="7" bestFit="1" customWidth="1"/>
    <col min="3585" max="3585" width="22.7109375" style="7" bestFit="1" customWidth="1"/>
    <col min="3586" max="3586" width="32.5703125" style="7" customWidth="1"/>
    <col min="3587" max="3587" width="57.28515625" style="7" customWidth="1"/>
    <col min="3588" max="3588" width="15.5703125" style="7" customWidth="1"/>
    <col min="3589" max="3589" width="16.7109375" style="7" customWidth="1"/>
    <col min="3590" max="3838" width="9.140625" style="7"/>
    <col min="3839" max="3839" width="4" style="7" bestFit="1" customWidth="1"/>
    <col min="3840" max="3840" width="26.7109375" style="7" bestFit="1" customWidth="1"/>
    <col min="3841" max="3841" width="22.7109375" style="7" bestFit="1" customWidth="1"/>
    <col min="3842" max="3842" width="32.5703125" style="7" customWidth="1"/>
    <col min="3843" max="3843" width="57.28515625" style="7" customWidth="1"/>
    <col min="3844" max="3844" width="15.5703125" style="7" customWidth="1"/>
    <col min="3845" max="3845" width="16.7109375" style="7" customWidth="1"/>
    <col min="3846" max="4094" width="9.140625" style="7"/>
    <col min="4095" max="4095" width="4" style="7" bestFit="1" customWidth="1"/>
    <col min="4096" max="4096" width="26.7109375" style="7" bestFit="1" customWidth="1"/>
    <col min="4097" max="4097" width="22.7109375" style="7" bestFit="1" customWidth="1"/>
    <col min="4098" max="4098" width="32.5703125" style="7" customWidth="1"/>
    <col min="4099" max="4099" width="57.28515625" style="7" customWidth="1"/>
    <col min="4100" max="4100" width="15.5703125" style="7" customWidth="1"/>
    <col min="4101" max="4101" width="16.7109375" style="7" customWidth="1"/>
    <col min="4102" max="4350" width="9.140625" style="7"/>
    <col min="4351" max="4351" width="4" style="7" bestFit="1" customWidth="1"/>
    <col min="4352" max="4352" width="26.7109375" style="7" bestFit="1" customWidth="1"/>
    <col min="4353" max="4353" width="22.7109375" style="7" bestFit="1" customWidth="1"/>
    <col min="4354" max="4354" width="32.5703125" style="7" customWidth="1"/>
    <col min="4355" max="4355" width="57.28515625" style="7" customWidth="1"/>
    <col min="4356" max="4356" width="15.5703125" style="7" customWidth="1"/>
    <col min="4357" max="4357" width="16.7109375" style="7" customWidth="1"/>
    <col min="4358" max="4606" width="9.140625" style="7"/>
    <col min="4607" max="4607" width="4" style="7" bestFit="1" customWidth="1"/>
    <col min="4608" max="4608" width="26.7109375" style="7" bestFit="1" customWidth="1"/>
    <col min="4609" max="4609" width="22.7109375" style="7" bestFit="1" customWidth="1"/>
    <col min="4610" max="4610" width="32.5703125" style="7" customWidth="1"/>
    <col min="4611" max="4611" width="57.28515625" style="7" customWidth="1"/>
    <col min="4612" max="4612" width="15.5703125" style="7" customWidth="1"/>
    <col min="4613" max="4613" width="16.7109375" style="7" customWidth="1"/>
    <col min="4614" max="4862" width="9.140625" style="7"/>
    <col min="4863" max="4863" width="4" style="7" bestFit="1" customWidth="1"/>
    <col min="4864" max="4864" width="26.7109375" style="7" bestFit="1" customWidth="1"/>
    <col min="4865" max="4865" width="22.7109375" style="7" bestFit="1" customWidth="1"/>
    <col min="4866" max="4866" width="32.5703125" style="7" customWidth="1"/>
    <col min="4867" max="4867" width="57.28515625" style="7" customWidth="1"/>
    <col min="4868" max="4868" width="15.5703125" style="7" customWidth="1"/>
    <col min="4869" max="4869" width="16.7109375" style="7" customWidth="1"/>
    <col min="4870" max="5118" width="9.140625" style="7"/>
    <col min="5119" max="5119" width="4" style="7" bestFit="1" customWidth="1"/>
    <col min="5120" max="5120" width="26.7109375" style="7" bestFit="1" customWidth="1"/>
    <col min="5121" max="5121" width="22.7109375" style="7" bestFit="1" customWidth="1"/>
    <col min="5122" max="5122" width="32.5703125" style="7" customWidth="1"/>
    <col min="5123" max="5123" width="57.28515625" style="7" customWidth="1"/>
    <col min="5124" max="5124" width="15.5703125" style="7" customWidth="1"/>
    <col min="5125" max="5125" width="16.7109375" style="7" customWidth="1"/>
    <col min="5126" max="5374" width="9.140625" style="7"/>
    <col min="5375" max="5375" width="4" style="7" bestFit="1" customWidth="1"/>
    <col min="5376" max="5376" width="26.7109375" style="7" bestFit="1" customWidth="1"/>
    <col min="5377" max="5377" width="22.7109375" style="7" bestFit="1" customWidth="1"/>
    <col min="5378" max="5378" width="32.5703125" style="7" customWidth="1"/>
    <col min="5379" max="5379" width="57.28515625" style="7" customWidth="1"/>
    <col min="5380" max="5380" width="15.5703125" style="7" customWidth="1"/>
    <col min="5381" max="5381" width="16.7109375" style="7" customWidth="1"/>
    <col min="5382" max="5630" width="9.140625" style="7"/>
    <col min="5631" max="5631" width="4" style="7" bestFit="1" customWidth="1"/>
    <col min="5632" max="5632" width="26.7109375" style="7" bestFit="1" customWidth="1"/>
    <col min="5633" max="5633" width="22.7109375" style="7" bestFit="1" customWidth="1"/>
    <col min="5634" max="5634" width="32.5703125" style="7" customWidth="1"/>
    <col min="5635" max="5635" width="57.28515625" style="7" customWidth="1"/>
    <col min="5636" max="5636" width="15.5703125" style="7" customWidth="1"/>
    <col min="5637" max="5637" width="16.7109375" style="7" customWidth="1"/>
    <col min="5638" max="5886" width="9.140625" style="7"/>
    <col min="5887" max="5887" width="4" style="7" bestFit="1" customWidth="1"/>
    <col min="5888" max="5888" width="26.7109375" style="7" bestFit="1" customWidth="1"/>
    <col min="5889" max="5889" width="22.7109375" style="7" bestFit="1" customWidth="1"/>
    <col min="5890" max="5890" width="32.5703125" style="7" customWidth="1"/>
    <col min="5891" max="5891" width="57.28515625" style="7" customWidth="1"/>
    <col min="5892" max="5892" width="15.5703125" style="7" customWidth="1"/>
    <col min="5893" max="5893" width="16.7109375" style="7" customWidth="1"/>
    <col min="5894" max="6142" width="9.140625" style="7"/>
    <col min="6143" max="6143" width="4" style="7" bestFit="1" customWidth="1"/>
    <col min="6144" max="6144" width="26.7109375" style="7" bestFit="1" customWidth="1"/>
    <col min="6145" max="6145" width="22.7109375" style="7" bestFit="1" customWidth="1"/>
    <col min="6146" max="6146" width="32.5703125" style="7" customWidth="1"/>
    <col min="6147" max="6147" width="57.28515625" style="7" customWidth="1"/>
    <col min="6148" max="6148" width="15.5703125" style="7" customWidth="1"/>
    <col min="6149" max="6149" width="16.7109375" style="7" customWidth="1"/>
    <col min="6150" max="6398" width="9.140625" style="7"/>
    <col min="6399" max="6399" width="4" style="7" bestFit="1" customWidth="1"/>
    <col min="6400" max="6400" width="26.7109375" style="7" bestFit="1" customWidth="1"/>
    <col min="6401" max="6401" width="22.7109375" style="7" bestFit="1" customWidth="1"/>
    <col min="6402" max="6402" width="32.5703125" style="7" customWidth="1"/>
    <col min="6403" max="6403" width="57.28515625" style="7" customWidth="1"/>
    <col min="6404" max="6404" width="15.5703125" style="7" customWidth="1"/>
    <col min="6405" max="6405" width="16.7109375" style="7" customWidth="1"/>
    <col min="6406" max="6654" width="9.140625" style="7"/>
    <col min="6655" max="6655" width="4" style="7" bestFit="1" customWidth="1"/>
    <col min="6656" max="6656" width="26.7109375" style="7" bestFit="1" customWidth="1"/>
    <col min="6657" max="6657" width="22.7109375" style="7" bestFit="1" customWidth="1"/>
    <col min="6658" max="6658" width="32.5703125" style="7" customWidth="1"/>
    <col min="6659" max="6659" width="57.28515625" style="7" customWidth="1"/>
    <col min="6660" max="6660" width="15.5703125" style="7" customWidth="1"/>
    <col min="6661" max="6661" width="16.7109375" style="7" customWidth="1"/>
    <col min="6662" max="6910" width="9.140625" style="7"/>
    <col min="6911" max="6911" width="4" style="7" bestFit="1" customWidth="1"/>
    <col min="6912" max="6912" width="26.7109375" style="7" bestFit="1" customWidth="1"/>
    <col min="6913" max="6913" width="22.7109375" style="7" bestFit="1" customWidth="1"/>
    <col min="6914" max="6914" width="32.5703125" style="7" customWidth="1"/>
    <col min="6915" max="6915" width="57.28515625" style="7" customWidth="1"/>
    <col min="6916" max="6916" width="15.5703125" style="7" customWidth="1"/>
    <col min="6917" max="6917" width="16.7109375" style="7" customWidth="1"/>
    <col min="6918" max="7166" width="9.140625" style="7"/>
    <col min="7167" max="7167" width="4" style="7" bestFit="1" customWidth="1"/>
    <col min="7168" max="7168" width="26.7109375" style="7" bestFit="1" customWidth="1"/>
    <col min="7169" max="7169" width="22.7109375" style="7" bestFit="1" customWidth="1"/>
    <col min="7170" max="7170" width="32.5703125" style="7" customWidth="1"/>
    <col min="7171" max="7171" width="57.28515625" style="7" customWidth="1"/>
    <col min="7172" max="7172" width="15.5703125" style="7" customWidth="1"/>
    <col min="7173" max="7173" width="16.7109375" style="7" customWidth="1"/>
    <col min="7174" max="7422" width="9.140625" style="7"/>
    <col min="7423" max="7423" width="4" style="7" bestFit="1" customWidth="1"/>
    <col min="7424" max="7424" width="26.7109375" style="7" bestFit="1" customWidth="1"/>
    <col min="7425" max="7425" width="22.7109375" style="7" bestFit="1" customWidth="1"/>
    <col min="7426" max="7426" width="32.5703125" style="7" customWidth="1"/>
    <col min="7427" max="7427" width="57.28515625" style="7" customWidth="1"/>
    <col min="7428" max="7428" width="15.5703125" style="7" customWidth="1"/>
    <col min="7429" max="7429" width="16.7109375" style="7" customWidth="1"/>
    <col min="7430" max="7678" width="9.140625" style="7"/>
    <col min="7679" max="7679" width="4" style="7" bestFit="1" customWidth="1"/>
    <col min="7680" max="7680" width="26.7109375" style="7" bestFit="1" customWidth="1"/>
    <col min="7681" max="7681" width="22.7109375" style="7" bestFit="1" customWidth="1"/>
    <col min="7682" max="7682" width="32.5703125" style="7" customWidth="1"/>
    <col min="7683" max="7683" width="57.28515625" style="7" customWidth="1"/>
    <col min="7684" max="7684" width="15.5703125" style="7" customWidth="1"/>
    <col min="7685" max="7685" width="16.7109375" style="7" customWidth="1"/>
    <col min="7686" max="7934" width="9.140625" style="7"/>
    <col min="7935" max="7935" width="4" style="7" bestFit="1" customWidth="1"/>
    <col min="7936" max="7936" width="26.7109375" style="7" bestFit="1" customWidth="1"/>
    <col min="7937" max="7937" width="22.7109375" style="7" bestFit="1" customWidth="1"/>
    <col min="7938" max="7938" width="32.5703125" style="7" customWidth="1"/>
    <col min="7939" max="7939" width="57.28515625" style="7" customWidth="1"/>
    <col min="7940" max="7940" width="15.5703125" style="7" customWidth="1"/>
    <col min="7941" max="7941" width="16.7109375" style="7" customWidth="1"/>
    <col min="7942" max="8190" width="9.140625" style="7"/>
    <col min="8191" max="8191" width="4" style="7" bestFit="1" customWidth="1"/>
    <col min="8192" max="8192" width="26.7109375" style="7" bestFit="1" customWidth="1"/>
    <col min="8193" max="8193" width="22.7109375" style="7" bestFit="1" customWidth="1"/>
    <col min="8194" max="8194" width="32.5703125" style="7" customWidth="1"/>
    <col min="8195" max="8195" width="57.28515625" style="7" customWidth="1"/>
    <col min="8196" max="8196" width="15.5703125" style="7" customWidth="1"/>
    <col min="8197" max="8197" width="16.7109375" style="7" customWidth="1"/>
    <col min="8198" max="8446" width="9.140625" style="7"/>
    <col min="8447" max="8447" width="4" style="7" bestFit="1" customWidth="1"/>
    <col min="8448" max="8448" width="26.7109375" style="7" bestFit="1" customWidth="1"/>
    <col min="8449" max="8449" width="22.7109375" style="7" bestFit="1" customWidth="1"/>
    <col min="8450" max="8450" width="32.5703125" style="7" customWidth="1"/>
    <col min="8451" max="8451" width="57.28515625" style="7" customWidth="1"/>
    <col min="8452" max="8452" width="15.5703125" style="7" customWidth="1"/>
    <col min="8453" max="8453" width="16.7109375" style="7" customWidth="1"/>
    <col min="8454" max="8702" width="9.140625" style="7"/>
    <col min="8703" max="8703" width="4" style="7" bestFit="1" customWidth="1"/>
    <col min="8704" max="8704" width="26.7109375" style="7" bestFit="1" customWidth="1"/>
    <col min="8705" max="8705" width="22.7109375" style="7" bestFit="1" customWidth="1"/>
    <col min="8706" max="8706" width="32.5703125" style="7" customWidth="1"/>
    <col min="8707" max="8707" width="57.28515625" style="7" customWidth="1"/>
    <col min="8708" max="8708" width="15.5703125" style="7" customWidth="1"/>
    <col min="8709" max="8709" width="16.7109375" style="7" customWidth="1"/>
    <col min="8710" max="8958" width="9.140625" style="7"/>
    <col min="8959" max="8959" width="4" style="7" bestFit="1" customWidth="1"/>
    <col min="8960" max="8960" width="26.7109375" style="7" bestFit="1" customWidth="1"/>
    <col min="8961" max="8961" width="22.7109375" style="7" bestFit="1" customWidth="1"/>
    <col min="8962" max="8962" width="32.5703125" style="7" customWidth="1"/>
    <col min="8963" max="8963" width="57.28515625" style="7" customWidth="1"/>
    <col min="8964" max="8964" width="15.5703125" style="7" customWidth="1"/>
    <col min="8965" max="8965" width="16.7109375" style="7" customWidth="1"/>
    <col min="8966" max="9214" width="9.140625" style="7"/>
    <col min="9215" max="9215" width="4" style="7" bestFit="1" customWidth="1"/>
    <col min="9216" max="9216" width="26.7109375" style="7" bestFit="1" customWidth="1"/>
    <col min="9217" max="9217" width="22.7109375" style="7" bestFit="1" customWidth="1"/>
    <col min="9218" max="9218" width="32.5703125" style="7" customWidth="1"/>
    <col min="9219" max="9219" width="57.28515625" style="7" customWidth="1"/>
    <col min="9220" max="9220" width="15.5703125" style="7" customWidth="1"/>
    <col min="9221" max="9221" width="16.7109375" style="7" customWidth="1"/>
    <col min="9222" max="9470" width="9.140625" style="7"/>
    <col min="9471" max="9471" width="4" style="7" bestFit="1" customWidth="1"/>
    <col min="9472" max="9472" width="26.7109375" style="7" bestFit="1" customWidth="1"/>
    <col min="9473" max="9473" width="22.7109375" style="7" bestFit="1" customWidth="1"/>
    <col min="9474" max="9474" width="32.5703125" style="7" customWidth="1"/>
    <col min="9475" max="9475" width="57.28515625" style="7" customWidth="1"/>
    <col min="9476" max="9476" width="15.5703125" style="7" customWidth="1"/>
    <col min="9477" max="9477" width="16.7109375" style="7" customWidth="1"/>
    <col min="9478" max="9726" width="9.140625" style="7"/>
    <col min="9727" max="9727" width="4" style="7" bestFit="1" customWidth="1"/>
    <col min="9728" max="9728" width="26.7109375" style="7" bestFit="1" customWidth="1"/>
    <col min="9729" max="9729" width="22.7109375" style="7" bestFit="1" customWidth="1"/>
    <col min="9730" max="9730" width="32.5703125" style="7" customWidth="1"/>
    <col min="9731" max="9731" width="57.28515625" style="7" customWidth="1"/>
    <col min="9732" max="9732" width="15.5703125" style="7" customWidth="1"/>
    <col min="9733" max="9733" width="16.7109375" style="7" customWidth="1"/>
    <col min="9734" max="9982" width="9.140625" style="7"/>
    <col min="9983" max="9983" width="4" style="7" bestFit="1" customWidth="1"/>
    <col min="9984" max="9984" width="26.7109375" style="7" bestFit="1" customWidth="1"/>
    <col min="9985" max="9985" width="22.7109375" style="7" bestFit="1" customWidth="1"/>
    <col min="9986" max="9986" width="32.5703125" style="7" customWidth="1"/>
    <col min="9987" max="9987" width="57.28515625" style="7" customWidth="1"/>
    <col min="9988" max="9988" width="15.5703125" style="7" customWidth="1"/>
    <col min="9989" max="9989" width="16.7109375" style="7" customWidth="1"/>
    <col min="9990" max="10238" width="9.140625" style="7"/>
    <col min="10239" max="10239" width="4" style="7" bestFit="1" customWidth="1"/>
    <col min="10240" max="10240" width="26.7109375" style="7" bestFit="1" customWidth="1"/>
    <col min="10241" max="10241" width="22.7109375" style="7" bestFit="1" customWidth="1"/>
    <col min="10242" max="10242" width="32.5703125" style="7" customWidth="1"/>
    <col min="10243" max="10243" width="57.28515625" style="7" customWidth="1"/>
    <col min="10244" max="10244" width="15.5703125" style="7" customWidth="1"/>
    <col min="10245" max="10245" width="16.7109375" style="7" customWidth="1"/>
    <col min="10246" max="10494" width="9.140625" style="7"/>
    <col min="10495" max="10495" width="4" style="7" bestFit="1" customWidth="1"/>
    <col min="10496" max="10496" width="26.7109375" style="7" bestFit="1" customWidth="1"/>
    <col min="10497" max="10497" width="22.7109375" style="7" bestFit="1" customWidth="1"/>
    <col min="10498" max="10498" width="32.5703125" style="7" customWidth="1"/>
    <col min="10499" max="10499" width="57.28515625" style="7" customWidth="1"/>
    <col min="10500" max="10500" width="15.5703125" style="7" customWidth="1"/>
    <col min="10501" max="10501" width="16.7109375" style="7" customWidth="1"/>
    <col min="10502" max="10750" width="9.140625" style="7"/>
    <col min="10751" max="10751" width="4" style="7" bestFit="1" customWidth="1"/>
    <col min="10752" max="10752" width="26.7109375" style="7" bestFit="1" customWidth="1"/>
    <col min="10753" max="10753" width="22.7109375" style="7" bestFit="1" customWidth="1"/>
    <col min="10754" max="10754" width="32.5703125" style="7" customWidth="1"/>
    <col min="10755" max="10755" width="57.28515625" style="7" customWidth="1"/>
    <col min="10756" max="10756" width="15.5703125" style="7" customWidth="1"/>
    <col min="10757" max="10757" width="16.7109375" style="7" customWidth="1"/>
    <col min="10758" max="11006" width="9.140625" style="7"/>
    <col min="11007" max="11007" width="4" style="7" bestFit="1" customWidth="1"/>
    <col min="11008" max="11008" width="26.7109375" style="7" bestFit="1" customWidth="1"/>
    <col min="11009" max="11009" width="22.7109375" style="7" bestFit="1" customWidth="1"/>
    <col min="11010" max="11010" width="32.5703125" style="7" customWidth="1"/>
    <col min="11011" max="11011" width="57.28515625" style="7" customWidth="1"/>
    <col min="11012" max="11012" width="15.5703125" style="7" customWidth="1"/>
    <col min="11013" max="11013" width="16.7109375" style="7" customWidth="1"/>
    <col min="11014" max="11262" width="9.140625" style="7"/>
    <col min="11263" max="11263" width="4" style="7" bestFit="1" customWidth="1"/>
    <col min="11264" max="11264" width="26.7109375" style="7" bestFit="1" customWidth="1"/>
    <col min="11265" max="11265" width="22.7109375" style="7" bestFit="1" customWidth="1"/>
    <col min="11266" max="11266" width="32.5703125" style="7" customWidth="1"/>
    <col min="11267" max="11267" width="57.28515625" style="7" customWidth="1"/>
    <col min="11268" max="11268" width="15.5703125" style="7" customWidth="1"/>
    <col min="11269" max="11269" width="16.7109375" style="7" customWidth="1"/>
    <col min="11270" max="11518" width="9.140625" style="7"/>
    <col min="11519" max="11519" width="4" style="7" bestFit="1" customWidth="1"/>
    <col min="11520" max="11520" width="26.7109375" style="7" bestFit="1" customWidth="1"/>
    <col min="11521" max="11521" width="22.7109375" style="7" bestFit="1" customWidth="1"/>
    <col min="11522" max="11522" width="32.5703125" style="7" customWidth="1"/>
    <col min="11523" max="11523" width="57.28515625" style="7" customWidth="1"/>
    <col min="11524" max="11524" width="15.5703125" style="7" customWidth="1"/>
    <col min="11525" max="11525" width="16.7109375" style="7" customWidth="1"/>
    <col min="11526" max="11774" width="9.140625" style="7"/>
    <col min="11775" max="11775" width="4" style="7" bestFit="1" customWidth="1"/>
    <col min="11776" max="11776" width="26.7109375" style="7" bestFit="1" customWidth="1"/>
    <col min="11777" max="11777" width="22.7109375" style="7" bestFit="1" customWidth="1"/>
    <col min="11778" max="11778" width="32.5703125" style="7" customWidth="1"/>
    <col min="11779" max="11779" width="57.28515625" style="7" customWidth="1"/>
    <col min="11780" max="11780" width="15.5703125" style="7" customWidth="1"/>
    <col min="11781" max="11781" width="16.7109375" style="7" customWidth="1"/>
    <col min="11782" max="12030" width="9.140625" style="7"/>
    <col min="12031" max="12031" width="4" style="7" bestFit="1" customWidth="1"/>
    <col min="12032" max="12032" width="26.7109375" style="7" bestFit="1" customWidth="1"/>
    <col min="12033" max="12033" width="22.7109375" style="7" bestFit="1" customWidth="1"/>
    <col min="12034" max="12034" width="32.5703125" style="7" customWidth="1"/>
    <col min="12035" max="12035" width="57.28515625" style="7" customWidth="1"/>
    <col min="12036" max="12036" width="15.5703125" style="7" customWidth="1"/>
    <col min="12037" max="12037" width="16.7109375" style="7" customWidth="1"/>
    <col min="12038" max="12286" width="9.140625" style="7"/>
    <col min="12287" max="12287" width="4" style="7" bestFit="1" customWidth="1"/>
    <col min="12288" max="12288" width="26.7109375" style="7" bestFit="1" customWidth="1"/>
    <col min="12289" max="12289" width="22.7109375" style="7" bestFit="1" customWidth="1"/>
    <col min="12290" max="12290" width="32.5703125" style="7" customWidth="1"/>
    <col min="12291" max="12291" width="57.28515625" style="7" customWidth="1"/>
    <col min="12292" max="12292" width="15.5703125" style="7" customWidth="1"/>
    <col min="12293" max="12293" width="16.7109375" style="7" customWidth="1"/>
    <col min="12294" max="12542" width="9.140625" style="7"/>
    <col min="12543" max="12543" width="4" style="7" bestFit="1" customWidth="1"/>
    <col min="12544" max="12544" width="26.7109375" style="7" bestFit="1" customWidth="1"/>
    <col min="12545" max="12545" width="22.7109375" style="7" bestFit="1" customWidth="1"/>
    <col min="12546" max="12546" width="32.5703125" style="7" customWidth="1"/>
    <col min="12547" max="12547" width="57.28515625" style="7" customWidth="1"/>
    <col min="12548" max="12548" width="15.5703125" style="7" customWidth="1"/>
    <col min="12549" max="12549" width="16.7109375" style="7" customWidth="1"/>
    <col min="12550" max="12798" width="9.140625" style="7"/>
    <col min="12799" max="12799" width="4" style="7" bestFit="1" customWidth="1"/>
    <col min="12800" max="12800" width="26.7109375" style="7" bestFit="1" customWidth="1"/>
    <col min="12801" max="12801" width="22.7109375" style="7" bestFit="1" customWidth="1"/>
    <col min="12802" max="12802" width="32.5703125" style="7" customWidth="1"/>
    <col min="12803" max="12803" width="57.28515625" style="7" customWidth="1"/>
    <col min="12804" max="12804" width="15.5703125" style="7" customWidth="1"/>
    <col min="12805" max="12805" width="16.7109375" style="7" customWidth="1"/>
    <col min="12806" max="13054" width="9.140625" style="7"/>
    <col min="13055" max="13055" width="4" style="7" bestFit="1" customWidth="1"/>
    <col min="13056" max="13056" width="26.7109375" style="7" bestFit="1" customWidth="1"/>
    <col min="13057" max="13057" width="22.7109375" style="7" bestFit="1" customWidth="1"/>
    <col min="13058" max="13058" width="32.5703125" style="7" customWidth="1"/>
    <col min="13059" max="13059" width="57.28515625" style="7" customWidth="1"/>
    <col min="13060" max="13060" width="15.5703125" style="7" customWidth="1"/>
    <col min="13061" max="13061" width="16.7109375" style="7" customWidth="1"/>
    <col min="13062" max="13310" width="9.140625" style="7"/>
    <col min="13311" max="13311" width="4" style="7" bestFit="1" customWidth="1"/>
    <col min="13312" max="13312" width="26.7109375" style="7" bestFit="1" customWidth="1"/>
    <col min="13313" max="13313" width="22.7109375" style="7" bestFit="1" customWidth="1"/>
    <col min="13314" max="13314" width="32.5703125" style="7" customWidth="1"/>
    <col min="13315" max="13315" width="57.28515625" style="7" customWidth="1"/>
    <col min="13316" max="13316" width="15.5703125" style="7" customWidth="1"/>
    <col min="13317" max="13317" width="16.7109375" style="7" customWidth="1"/>
    <col min="13318" max="13566" width="9.140625" style="7"/>
    <col min="13567" max="13567" width="4" style="7" bestFit="1" customWidth="1"/>
    <col min="13568" max="13568" width="26.7109375" style="7" bestFit="1" customWidth="1"/>
    <col min="13569" max="13569" width="22.7109375" style="7" bestFit="1" customWidth="1"/>
    <col min="13570" max="13570" width="32.5703125" style="7" customWidth="1"/>
    <col min="13571" max="13571" width="57.28515625" style="7" customWidth="1"/>
    <col min="13572" max="13572" width="15.5703125" style="7" customWidth="1"/>
    <col min="13573" max="13573" width="16.7109375" style="7" customWidth="1"/>
    <col min="13574" max="13822" width="9.140625" style="7"/>
    <col min="13823" max="13823" width="4" style="7" bestFit="1" customWidth="1"/>
    <col min="13824" max="13824" width="26.7109375" style="7" bestFit="1" customWidth="1"/>
    <col min="13825" max="13825" width="22.7109375" style="7" bestFit="1" customWidth="1"/>
    <col min="13826" max="13826" width="32.5703125" style="7" customWidth="1"/>
    <col min="13827" max="13827" width="57.28515625" style="7" customWidth="1"/>
    <col min="13828" max="13828" width="15.5703125" style="7" customWidth="1"/>
    <col min="13829" max="13829" width="16.7109375" style="7" customWidth="1"/>
    <col min="13830" max="14078" width="9.140625" style="7"/>
    <col min="14079" max="14079" width="4" style="7" bestFit="1" customWidth="1"/>
    <col min="14080" max="14080" width="26.7109375" style="7" bestFit="1" customWidth="1"/>
    <col min="14081" max="14081" width="22.7109375" style="7" bestFit="1" customWidth="1"/>
    <col min="14082" max="14082" width="32.5703125" style="7" customWidth="1"/>
    <col min="14083" max="14083" width="57.28515625" style="7" customWidth="1"/>
    <col min="14084" max="14084" width="15.5703125" style="7" customWidth="1"/>
    <col min="14085" max="14085" width="16.7109375" style="7" customWidth="1"/>
    <col min="14086" max="14334" width="9.140625" style="7"/>
    <col min="14335" max="14335" width="4" style="7" bestFit="1" customWidth="1"/>
    <col min="14336" max="14336" width="26.7109375" style="7" bestFit="1" customWidth="1"/>
    <col min="14337" max="14337" width="22.7109375" style="7" bestFit="1" customWidth="1"/>
    <col min="14338" max="14338" width="32.5703125" style="7" customWidth="1"/>
    <col min="14339" max="14339" width="57.28515625" style="7" customWidth="1"/>
    <col min="14340" max="14340" width="15.5703125" style="7" customWidth="1"/>
    <col min="14341" max="14341" width="16.7109375" style="7" customWidth="1"/>
    <col min="14342" max="14590" width="9.140625" style="7"/>
    <col min="14591" max="14591" width="4" style="7" bestFit="1" customWidth="1"/>
    <col min="14592" max="14592" width="26.7109375" style="7" bestFit="1" customWidth="1"/>
    <col min="14593" max="14593" width="22.7109375" style="7" bestFit="1" customWidth="1"/>
    <col min="14594" max="14594" width="32.5703125" style="7" customWidth="1"/>
    <col min="14595" max="14595" width="57.28515625" style="7" customWidth="1"/>
    <col min="14596" max="14596" width="15.5703125" style="7" customWidth="1"/>
    <col min="14597" max="14597" width="16.7109375" style="7" customWidth="1"/>
    <col min="14598" max="14846" width="9.140625" style="7"/>
    <col min="14847" max="14847" width="4" style="7" bestFit="1" customWidth="1"/>
    <col min="14848" max="14848" width="26.7109375" style="7" bestFit="1" customWidth="1"/>
    <col min="14849" max="14849" width="22.7109375" style="7" bestFit="1" customWidth="1"/>
    <col min="14850" max="14850" width="32.5703125" style="7" customWidth="1"/>
    <col min="14851" max="14851" width="57.28515625" style="7" customWidth="1"/>
    <col min="14852" max="14852" width="15.5703125" style="7" customWidth="1"/>
    <col min="14853" max="14853" width="16.7109375" style="7" customWidth="1"/>
    <col min="14854" max="15102" width="9.140625" style="7"/>
    <col min="15103" max="15103" width="4" style="7" bestFit="1" customWidth="1"/>
    <col min="15104" max="15104" width="26.7109375" style="7" bestFit="1" customWidth="1"/>
    <col min="15105" max="15105" width="22.7109375" style="7" bestFit="1" customWidth="1"/>
    <col min="15106" max="15106" width="32.5703125" style="7" customWidth="1"/>
    <col min="15107" max="15107" width="57.28515625" style="7" customWidth="1"/>
    <col min="15108" max="15108" width="15.5703125" style="7" customWidth="1"/>
    <col min="15109" max="15109" width="16.7109375" style="7" customWidth="1"/>
    <col min="15110" max="15358" width="9.140625" style="7"/>
    <col min="15359" max="15359" width="4" style="7" bestFit="1" customWidth="1"/>
    <col min="15360" max="15360" width="26.7109375" style="7" bestFit="1" customWidth="1"/>
    <col min="15361" max="15361" width="22.7109375" style="7" bestFit="1" customWidth="1"/>
    <col min="15362" max="15362" width="32.5703125" style="7" customWidth="1"/>
    <col min="15363" max="15363" width="57.28515625" style="7" customWidth="1"/>
    <col min="15364" max="15364" width="15.5703125" style="7" customWidth="1"/>
    <col min="15365" max="15365" width="16.7109375" style="7" customWidth="1"/>
    <col min="15366" max="15614" width="9.140625" style="7"/>
    <col min="15615" max="15615" width="4" style="7" bestFit="1" customWidth="1"/>
    <col min="15616" max="15616" width="26.7109375" style="7" bestFit="1" customWidth="1"/>
    <col min="15617" max="15617" width="22.7109375" style="7" bestFit="1" customWidth="1"/>
    <col min="15618" max="15618" width="32.5703125" style="7" customWidth="1"/>
    <col min="15619" max="15619" width="57.28515625" style="7" customWidth="1"/>
    <col min="15620" max="15620" width="15.5703125" style="7" customWidth="1"/>
    <col min="15621" max="15621" width="16.7109375" style="7" customWidth="1"/>
    <col min="15622" max="15870" width="9.140625" style="7"/>
    <col min="15871" max="15871" width="4" style="7" bestFit="1" customWidth="1"/>
    <col min="15872" max="15872" width="26.7109375" style="7" bestFit="1" customWidth="1"/>
    <col min="15873" max="15873" width="22.7109375" style="7" bestFit="1" customWidth="1"/>
    <col min="15874" max="15874" width="32.5703125" style="7" customWidth="1"/>
    <col min="15875" max="15875" width="57.28515625" style="7" customWidth="1"/>
    <col min="15876" max="15876" width="15.5703125" style="7" customWidth="1"/>
    <col min="15877" max="15877" width="16.7109375" style="7" customWidth="1"/>
    <col min="15878" max="16126" width="9.140625" style="7"/>
    <col min="16127" max="16127" width="4" style="7" bestFit="1" customWidth="1"/>
    <col min="16128" max="16128" width="26.7109375" style="7" bestFit="1" customWidth="1"/>
    <col min="16129" max="16129" width="22.7109375" style="7" bestFit="1" customWidth="1"/>
    <col min="16130" max="16130" width="32.5703125" style="7" customWidth="1"/>
    <col min="16131" max="16131" width="57.28515625" style="7" customWidth="1"/>
    <col min="16132" max="16132" width="15.5703125" style="7" customWidth="1"/>
    <col min="16133" max="16133" width="16.7109375" style="7" customWidth="1"/>
    <col min="16134" max="16384" width="9.140625" style="7"/>
  </cols>
  <sheetData>
    <row r="1" spans="1:8" s="38" customFormat="1" ht="21" customHeight="1" x14ac:dyDescent="0.35">
      <c r="A1" s="234" t="s">
        <v>4</v>
      </c>
      <c r="B1" s="235"/>
      <c r="C1" s="236"/>
      <c r="D1" s="240" t="str">
        <f>Copertina!B7</f>
        <v>MEV 2023_33_PST_PagoPA_Step-1</v>
      </c>
      <c r="E1" s="241"/>
      <c r="F1" s="241"/>
      <c r="G1" s="242"/>
      <c r="H1" s="7"/>
    </row>
    <row r="2" spans="1:8" s="38" customFormat="1" ht="20.25" customHeight="1" thickBot="1" x14ac:dyDescent="0.4">
      <c r="A2" s="237" t="s">
        <v>11</v>
      </c>
      <c r="B2" s="238"/>
      <c r="C2" s="239"/>
      <c r="D2" s="243" t="str">
        <f>Copertina!B3</f>
        <v>SIUT-SIES-CT-1.0-20240130-Allegato_al_piano_Test_2023_33_PST_PagoPA_Step-1</v>
      </c>
      <c r="E2" s="244"/>
      <c r="F2" s="244"/>
      <c r="G2" s="245"/>
      <c r="H2" s="39"/>
    </row>
    <row r="3" spans="1:8" ht="42" customHeight="1" thickBot="1" x14ac:dyDescent="0.4">
      <c r="A3" s="4" t="s">
        <v>8</v>
      </c>
      <c r="B3" s="5" t="s">
        <v>13</v>
      </c>
      <c r="C3" s="5" t="s">
        <v>14</v>
      </c>
      <c r="D3" s="5" t="s">
        <v>15</v>
      </c>
      <c r="E3" s="5" t="s">
        <v>16</v>
      </c>
      <c r="F3" s="5" t="s">
        <v>17</v>
      </c>
      <c r="G3" s="6" t="s">
        <v>18</v>
      </c>
    </row>
    <row r="4" spans="1:8" ht="45" x14ac:dyDescent="0.25">
      <c r="A4" s="40" t="s">
        <v>42</v>
      </c>
      <c r="B4" s="28" t="s">
        <v>43</v>
      </c>
      <c r="C4" s="28" t="s">
        <v>44</v>
      </c>
      <c r="D4" s="28" t="s">
        <v>45</v>
      </c>
      <c r="E4" s="27" t="s">
        <v>46</v>
      </c>
      <c r="F4" s="27" t="s">
        <v>47</v>
      </c>
      <c r="G4" s="27"/>
    </row>
    <row r="5" spans="1:8" ht="30" x14ac:dyDescent="0.25">
      <c r="A5" s="40" t="s">
        <v>48</v>
      </c>
      <c r="B5" s="28" t="s">
        <v>43</v>
      </c>
      <c r="C5" s="28" t="s">
        <v>49</v>
      </c>
      <c r="D5" s="28" t="s">
        <v>50</v>
      </c>
      <c r="E5" s="28" t="s">
        <v>51</v>
      </c>
      <c r="F5" s="28" t="s">
        <v>47</v>
      </c>
      <c r="G5" s="28"/>
    </row>
    <row r="6" spans="1:8" ht="30" x14ac:dyDescent="0.25">
      <c r="A6" s="40" t="s">
        <v>52</v>
      </c>
      <c r="B6" s="28" t="s">
        <v>43</v>
      </c>
      <c r="C6" s="28" t="s">
        <v>53</v>
      </c>
      <c r="D6" s="28" t="s">
        <v>54</v>
      </c>
      <c r="E6" s="28" t="s">
        <v>55</v>
      </c>
      <c r="F6" s="28" t="s">
        <v>47</v>
      </c>
      <c r="G6" s="28"/>
    </row>
    <row r="7" spans="1:8" ht="30" x14ac:dyDescent="0.25">
      <c r="A7" s="40" t="s">
        <v>56</v>
      </c>
      <c r="B7" s="28" t="s">
        <v>57</v>
      </c>
      <c r="C7" s="28" t="s">
        <v>58</v>
      </c>
      <c r="D7" s="28" t="s">
        <v>59</v>
      </c>
      <c r="E7" s="28" t="s">
        <v>60</v>
      </c>
      <c r="F7" s="28" t="s">
        <v>47</v>
      </c>
      <c r="G7" s="28"/>
    </row>
    <row r="8" spans="1:8" ht="60" x14ac:dyDescent="0.25">
      <c r="A8" s="40" t="s">
        <v>61</v>
      </c>
      <c r="B8" s="28" t="s">
        <v>62</v>
      </c>
      <c r="C8" s="28" t="s">
        <v>63</v>
      </c>
      <c r="D8" s="28" t="s">
        <v>64</v>
      </c>
      <c r="E8" s="28" t="s">
        <v>65</v>
      </c>
      <c r="F8" s="28" t="s">
        <v>47</v>
      </c>
      <c r="G8" s="28"/>
    </row>
    <row r="9" spans="1:8" ht="30" x14ac:dyDescent="0.25">
      <c r="A9" s="40" t="s">
        <v>66</v>
      </c>
      <c r="B9" s="28" t="s">
        <v>62</v>
      </c>
      <c r="C9" s="28" t="s">
        <v>63</v>
      </c>
      <c r="D9" s="28" t="s">
        <v>67</v>
      </c>
      <c r="E9" s="28" t="s">
        <v>68</v>
      </c>
      <c r="F9" s="28" t="s">
        <v>47</v>
      </c>
      <c r="G9" s="28"/>
    </row>
    <row r="10" spans="1:8" ht="30" x14ac:dyDescent="0.25">
      <c r="A10" s="40" t="s">
        <v>69</v>
      </c>
      <c r="B10" s="28" t="s">
        <v>62</v>
      </c>
      <c r="C10" s="28" t="s">
        <v>63</v>
      </c>
      <c r="D10" s="28" t="s">
        <v>70</v>
      </c>
      <c r="E10" s="28" t="s">
        <v>71</v>
      </c>
      <c r="F10" s="28" t="s">
        <v>47</v>
      </c>
      <c r="G10" s="28"/>
    </row>
    <row r="11" spans="1:8" ht="60" x14ac:dyDescent="0.25">
      <c r="A11" s="40" t="s">
        <v>72</v>
      </c>
      <c r="B11" s="28" t="s">
        <v>62</v>
      </c>
      <c r="C11" s="28" t="s">
        <v>73</v>
      </c>
      <c r="D11" s="28" t="s">
        <v>74</v>
      </c>
      <c r="E11" s="28" t="s">
        <v>75</v>
      </c>
      <c r="F11" s="28" t="s">
        <v>47</v>
      </c>
      <c r="G11" s="28"/>
    </row>
  </sheetData>
  <mergeCells count="4">
    <mergeCell ref="A1:C1"/>
    <mergeCell ref="A2:C2"/>
    <mergeCell ref="D1:G1"/>
    <mergeCell ref="D2:G2"/>
  </mergeCells>
  <pageMargins left="0.27559055118110237" right="0.55118110236220474" top="0.43307086614173229" bottom="0.39370078740157483" header="0.23622047244094491" footer="0.23622047244094491"/>
  <pageSetup paperSize="9" scale="80" orientation="landscape" r:id="rId1"/>
  <headerFooter alignWithMargins="0">
    <oddHeader>&amp;R&amp;D &amp;T</oddHeader>
    <oddFooter>&amp;L&amp;F&amp;C&amp;A&amp;RPagina &amp;P di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workbookViewId="0">
      <selection sqref="A1:XFD1048576"/>
    </sheetView>
  </sheetViews>
  <sheetFormatPr defaultRowHeight="12.75" x14ac:dyDescent="0.2"/>
  <cols>
    <col min="1" max="1" width="24.140625" style="13" customWidth="1"/>
    <col min="2" max="2" width="29.85546875" style="13" customWidth="1"/>
    <col min="3" max="3" width="28.140625" style="13" customWidth="1"/>
    <col min="4" max="4" width="27" style="13" customWidth="1"/>
    <col min="5" max="5" width="30.5703125" style="13" customWidth="1"/>
    <col min="6" max="6" width="1.7109375" style="13" customWidth="1"/>
    <col min="7" max="256" width="9.140625" style="13"/>
    <col min="257" max="257" width="24.140625" style="13" customWidth="1"/>
    <col min="258" max="258" width="29.85546875" style="13" customWidth="1"/>
    <col min="259" max="259" width="28.140625" style="13" customWidth="1"/>
    <col min="260" max="260" width="27" style="13" customWidth="1"/>
    <col min="261" max="261" width="30.5703125" style="13" customWidth="1"/>
    <col min="262" max="262" width="1.7109375" style="13" customWidth="1"/>
    <col min="263" max="512" width="9.140625" style="13"/>
    <col min="513" max="513" width="24.140625" style="13" customWidth="1"/>
    <col min="514" max="514" width="29.85546875" style="13" customWidth="1"/>
    <col min="515" max="515" width="28.140625" style="13" customWidth="1"/>
    <col min="516" max="516" width="27" style="13" customWidth="1"/>
    <col min="517" max="517" width="30.5703125" style="13" customWidth="1"/>
    <col min="518" max="518" width="1.7109375" style="13" customWidth="1"/>
    <col min="519" max="768" width="9.140625" style="13"/>
    <col min="769" max="769" width="24.140625" style="13" customWidth="1"/>
    <col min="770" max="770" width="29.85546875" style="13" customWidth="1"/>
    <col min="771" max="771" width="28.140625" style="13" customWidth="1"/>
    <col min="772" max="772" width="27" style="13" customWidth="1"/>
    <col min="773" max="773" width="30.5703125" style="13" customWidth="1"/>
    <col min="774" max="774" width="1.7109375" style="13" customWidth="1"/>
    <col min="775" max="1024" width="9.140625" style="13"/>
    <col min="1025" max="1025" width="24.140625" style="13" customWidth="1"/>
    <col min="1026" max="1026" width="29.85546875" style="13" customWidth="1"/>
    <col min="1027" max="1027" width="28.140625" style="13" customWidth="1"/>
    <col min="1028" max="1028" width="27" style="13" customWidth="1"/>
    <col min="1029" max="1029" width="30.5703125" style="13" customWidth="1"/>
    <col min="1030" max="1030" width="1.7109375" style="13" customWidth="1"/>
    <col min="1031" max="1280" width="9.140625" style="13"/>
    <col min="1281" max="1281" width="24.140625" style="13" customWidth="1"/>
    <col min="1282" max="1282" width="29.85546875" style="13" customWidth="1"/>
    <col min="1283" max="1283" width="28.140625" style="13" customWidth="1"/>
    <col min="1284" max="1284" width="27" style="13" customWidth="1"/>
    <col min="1285" max="1285" width="30.5703125" style="13" customWidth="1"/>
    <col min="1286" max="1286" width="1.7109375" style="13" customWidth="1"/>
    <col min="1287" max="1536" width="9.140625" style="13"/>
    <col min="1537" max="1537" width="24.140625" style="13" customWidth="1"/>
    <col min="1538" max="1538" width="29.85546875" style="13" customWidth="1"/>
    <col min="1539" max="1539" width="28.140625" style="13" customWidth="1"/>
    <col min="1540" max="1540" width="27" style="13" customWidth="1"/>
    <col min="1541" max="1541" width="30.5703125" style="13" customWidth="1"/>
    <col min="1542" max="1542" width="1.7109375" style="13" customWidth="1"/>
    <col min="1543" max="1792" width="9.140625" style="13"/>
    <col min="1793" max="1793" width="24.140625" style="13" customWidth="1"/>
    <col min="1794" max="1794" width="29.85546875" style="13" customWidth="1"/>
    <col min="1795" max="1795" width="28.140625" style="13" customWidth="1"/>
    <col min="1796" max="1796" width="27" style="13" customWidth="1"/>
    <col min="1797" max="1797" width="30.5703125" style="13" customWidth="1"/>
    <col min="1798" max="1798" width="1.7109375" style="13" customWidth="1"/>
    <col min="1799" max="2048" width="9.140625" style="13"/>
    <col min="2049" max="2049" width="24.140625" style="13" customWidth="1"/>
    <col min="2050" max="2050" width="29.85546875" style="13" customWidth="1"/>
    <col min="2051" max="2051" width="28.140625" style="13" customWidth="1"/>
    <col min="2052" max="2052" width="27" style="13" customWidth="1"/>
    <col min="2053" max="2053" width="30.5703125" style="13" customWidth="1"/>
    <col min="2054" max="2054" width="1.7109375" style="13" customWidth="1"/>
    <col min="2055" max="2304" width="9.140625" style="13"/>
    <col min="2305" max="2305" width="24.140625" style="13" customWidth="1"/>
    <col min="2306" max="2306" width="29.85546875" style="13" customWidth="1"/>
    <col min="2307" max="2307" width="28.140625" style="13" customWidth="1"/>
    <col min="2308" max="2308" width="27" style="13" customWidth="1"/>
    <col min="2309" max="2309" width="30.5703125" style="13" customWidth="1"/>
    <col min="2310" max="2310" width="1.7109375" style="13" customWidth="1"/>
    <col min="2311" max="2560" width="9.140625" style="13"/>
    <col min="2561" max="2561" width="24.140625" style="13" customWidth="1"/>
    <col min="2562" max="2562" width="29.85546875" style="13" customWidth="1"/>
    <col min="2563" max="2563" width="28.140625" style="13" customWidth="1"/>
    <col min="2564" max="2564" width="27" style="13" customWidth="1"/>
    <col min="2565" max="2565" width="30.5703125" style="13" customWidth="1"/>
    <col min="2566" max="2566" width="1.7109375" style="13" customWidth="1"/>
    <col min="2567" max="2816" width="9.140625" style="13"/>
    <col min="2817" max="2817" width="24.140625" style="13" customWidth="1"/>
    <col min="2818" max="2818" width="29.85546875" style="13" customWidth="1"/>
    <col min="2819" max="2819" width="28.140625" style="13" customWidth="1"/>
    <col min="2820" max="2820" width="27" style="13" customWidth="1"/>
    <col min="2821" max="2821" width="30.5703125" style="13" customWidth="1"/>
    <col min="2822" max="2822" width="1.7109375" style="13" customWidth="1"/>
    <col min="2823" max="3072" width="9.140625" style="13"/>
    <col min="3073" max="3073" width="24.140625" style="13" customWidth="1"/>
    <col min="3074" max="3074" width="29.85546875" style="13" customWidth="1"/>
    <col min="3075" max="3075" width="28.140625" style="13" customWidth="1"/>
    <col min="3076" max="3076" width="27" style="13" customWidth="1"/>
    <col min="3077" max="3077" width="30.5703125" style="13" customWidth="1"/>
    <col min="3078" max="3078" width="1.7109375" style="13" customWidth="1"/>
    <col min="3079" max="3328" width="9.140625" style="13"/>
    <col min="3329" max="3329" width="24.140625" style="13" customWidth="1"/>
    <col min="3330" max="3330" width="29.85546875" style="13" customWidth="1"/>
    <col min="3331" max="3331" width="28.140625" style="13" customWidth="1"/>
    <col min="3332" max="3332" width="27" style="13" customWidth="1"/>
    <col min="3333" max="3333" width="30.5703125" style="13" customWidth="1"/>
    <col min="3334" max="3334" width="1.7109375" style="13" customWidth="1"/>
    <col min="3335" max="3584" width="9.140625" style="13"/>
    <col min="3585" max="3585" width="24.140625" style="13" customWidth="1"/>
    <col min="3586" max="3586" width="29.85546875" style="13" customWidth="1"/>
    <col min="3587" max="3587" width="28.140625" style="13" customWidth="1"/>
    <col min="3588" max="3588" width="27" style="13" customWidth="1"/>
    <col min="3589" max="3589" width="30.5703125" style="13" customWidth="1"/>
    <col min="3590" max="3590" width="1.7109375" style="13" customWidth="1"/>
    <col min="3591" max="3840" width="9.140625" style="13"/>
    <col min="3841" max="3841" width="24.140625" style="13" customWidth="1"/>
    <col min="3842" max="3842" width="29.85546875" style="13" customWidth="1"/>
    <col min="3843" max="3843" width="28.140625" style="13" customWidth="1"/>
    <col min="3844" max="3844" width="27" style="13" customWidth="1"/>
    <col min="3845" max="3845" width="30.5703125" style="13" customWidth="1"/>
    <col min="3846" max="3846" width="1.7109375" style="13" customWidth="1"/>
    <col min="3847" max="4096" width="9.140625" style="13"/>
    <col min="4097" max="4097" width="24.140625" style="13" customWidth="1"/>
    <col min="4098" max="4098" width="29.85546875" style="13" customWidth="1"/>
    <col min="4099" max="4099" width="28.140625" style="13" customWidth="1"/>
    <col min="4100" max="4100" width="27" style="13" customWidth="1"/>
    <col min="4101" max="4101" width="30.5703125" style="13" customWidth="1"/>
    <col min="4102" max="4102" width="1.7109375" style="13" customWidth="1"/>
    <col min="4103" max="4352" width="9.140625" style="13"/>
    <col min="4353" max="4353" width="24.140625" style="13" customWidth="1"/>
    <col min="4354" max="4354" width="29.85546875" style="13" customWidth="1"/>
    <col min="4355" max="4355" width="28.140625" style="13" customWidth="1"/>
    <col min="4356" max="4356" width="27" style="13" customWidth="1"/>
    <col min="4357" max="4357" width="30.5703125" style="13" customWidth="1"/>
    <col min="4358" max="4358" width="1.7109375" style="13" customWidth="1"/>
    <col min="4359" max="4608" width="9.140625" style="13"/>
    <col min="4609" max="4609" width="24.140625" style="13" customWidth="1"/>
    <col min="4610" max="4610" width="29.85546875" style="13" customWidth="1"/>
    <col min="4611" max="4611" width="28.140625" style="13" customWidth="1"/>
    <col min="4612" max="4612" width="27" style="13" customWidth="1"/>
    <col min="4613" max="4613" width="30.5703125" style="13" customWidth="1"/>
    <col min="4614" max="4614" width="1.7109375" style="13" customWidth="1"/>
    <col min="4615" max="4864" width="9.140625" style="13"/>
    <col min="4865" max="4865" width="24.140625" style="13" customWidth="1"/>
    <col min="4866" max="4866" width="29.85546875" style="13" customWidth="1"/>
    <col min="4867" max="4867" width="28.140625" style="13" customWidth="1"/>
    <col min="4868" max="4868" width="27" style="13" customWidth="1"/>
    <col min="4869" max="4869" width="30.5703125" style="13" customWidth="1"/>
    <col min="4870" max="4870" width="1.7109375" style="13" customWidth="1"/>
    <col min="4871" max="5120" width="9.140625" style="13"/>
    <col min="5121" max="5121" width="24.140625" style="13" customWidth="1"/>
    <col min="5122" max="5122" width="29.85546875" style="13" customWidth="1"/>
    <col min="5123" max="5123" width="28.140625" style="13" customWidth="1"/>
    <col min="5124" max="5124" width="27" style="13" customWidth="1"/>
    <col min="5125" max="5125" width="30.5703125" style="13" customWidth="1"/>
    <col min="5126" max="5126" width="1.7109375" style="13" customWidth="1"/>
    <col min="5127" max="5376" width="9.140625" style="13"/>
    <col min="5377" max="5377" width="24.140625" style="13" customWidth="1"/>
    <col min="5378" max="5378" width="29.85546875" style="13" customWidth="1"/>
    <col min="5379" max="5379" width="28.140625" style="13" customWidth="1"/>
    <col min="5380" max="5380" width="27" style="13" customWidth="1"/>
    <col min="5381" max="5381" width="30.5703125" style="13" customWidth="1"/>
    <col min="5382" max="5382" width="1.7109375" style="13" customWidth="1"/>
    <col min="5383" max="5632" width="9.140625" style="13"/>
    <col min="5633" max="5633" width="24.140625" style="13" customWidth="1"/>
    <col min="5634" max="5634" width="29.85546875" style="13" customWidth="1"/>
    <col min="5635" max="5635" width="28.140625" style="13" customWidth="1"/>
    <col min="5636" max="5636" width="27" style="13" customWidth="1"/>
    <col min="5637" max="5637" width="30.5703125" style="13" customWidth="1"/>
    <col min="5638" max="5638" width="1.7109375" style="13" customWidth="1"/>
    <col min="5639" max="5888" width="9.140625" style="13"/>
    <col min="5889" max="5889" width="24.140625" style="13" customWidth="1"/>
    <col min="5890" max="5890" width="29.85546875" style="13" customWidth="1"/>
    <col min="5891" max="5891" width="28.140625" style="13" customWidth="1"/>
    <col min="5892" max="5892" width="27" style="13" customWidth="1"/>
    <col min="5893" max="5893" width="30.5703125" style="13" customWidth="1"/>
    <col min="5894" max="5894" width="1.7109375" style="13" customWidth="1"/>
    <col min="5895" max="6144" width="9.140625" style="13"/>
    <col min="6145" max="6145" width="24.140625" style="13" customWidth="1"/>
    <col min="6146" max="6146" width="29.85546875" style="13" customWidth="1"/>
    <col min="6147" max="6147" width="28.140625" style="13" customWidth="1"/>
    <col min="6148" max="6148" width="27" style="13" customWidth="1"/>
    <col min="6149" max="6149" width="30.5703125" style="13" customWidth="1"/>
    <col min="6150" max="6150" width="1.7109375" style="13" customWidth="1"/>
    <col min="6151" max="6400" width="9.140625" style="13"/>
    <col min="6401" max="6401" width="24.140625" style="13" customWidth="1"/>
    <col min="6402" max="6402" width="29.85546875" style="13" customWidth="1"/>
    <col min="6403" max="6403" width="28.140625" style="13" customWidth="1"/>
    <col min="6404" max="6404" width="27" style="13" customWidth="1"/>
    <col min="6405" max="6405" width="30.5703125" style="13" customWidth="1"/>
    <col min="6406" max="6406" width="1.7109375" style="13" customWidth="1"/>
    <col min="6407" max="6656" width="9.140625" style="13"/>
    <col min="6657" max="6657" width="24.140625" style="13" customWidth="1"/>
    <col min="6658" max="6658" width="29.85546875" style="13" customWidth="1"/>
    <col min="6659" max="6659" width="28.140625" style="13" customWidth="1"/>
    <col min="6660" max="6660" width="27" style="13" customWidth="1"/>
    <col min="6661" max="6661" width="30.5703125" style="13" customWidth="1"/>
    <col min="6662" max="6662" width="1.7109375" style="13" customWidth="1"/>
    <col min="6663" max="6912" width="9.140625" style="13"/>
    <col min="6913" max="6913" width="24.140625" style="13" customWidth="1"/>
    <col min="6914" max="6914" width="29.85546875" style="13" customWidth="1"/>
    <col min="6915" max="6915" width="28.140625" style="13" customWidth="1"/>
    <col min="6916" max="6916" width="27" style="13" customWidth="1"/>
    <col min="6917" max="6917" width="30.5703125" style="13" customWidth="1"/>
    <col min="6918" max="6918" width="1.7109375" style="13" customWidth="1"/>
    <col min="6919" max="7168" width="9.140625" style="13"/>
    <col min="7169" max="7169" width="24.140625" style="13" customWidth="1"/>
    <col min="7170" max="7170" width="29.85546875" style="13" customWidth="1"/>
    <col min="7171" max="7171" width="28.140625" style="13" customWidth="1"/>
    <col min="7172" max="7172" width="27" style="13" customWidth="1"/>
    <col min="7173" max="7173" width="30.5703125" style="13" customWidth="1"/>
    <col min="7174" max="7174" width="1.7109375" style="13" customWidth="1"/>
    <col min="7175" max="7424" width="9.140625" style="13"/>
    <col min="7425" max="7425" width="24.140625" style="13" customWidth="1"/>
    <col min="7426" max="7426" width="29.85546875" style="13" customWidth="1"/>
    <col min="7427" max="7427" width="28.140625" style="13" customWidth="1"/>
    <col min="7428" max="7428" width="27" style="13" customWidth="1"/>
    <col min="7429" max="7429" width="30.5703125" style="13" customWidth="1"/>
    <col min="7430" max="7430" width="1.7109375" style="13" customWidth="1"/>
    <col min="7431" max="7680" width="9.140625" style="13"/>
    <col min="7681" max="7681" width="24.140625" style="13" customWidth="1"/>
    <col min="7682" max="7682" width="29.85546875" style="13" customWidth="1"/>
    <col min="7683" max="7683" width="28.140625" style="13" customWidth="1"/>
    <col min="7684" max="7684" width="27" style="13" customWidth="1"/>
    <col min="7685" max="7685" width="30.5703125" style="13" customWidth="1"/>
    <col min="7686" max="7686" width="1.7109375" style="13" customWidth="1"/>
    <col min="7687" max="7936" width="9.140625" style="13"/>
    <col min="7937" max="7937" width="24.140625" style="13" customWidth="1"/>
    <col min="7938" max="7938" width="29.85546875" style="13" customWidth="1"/>
    <col min="7939" max="7939" width="28.140625" style="13" customWidth="1"/>
    <col min="7940" max="7940" width="27" style="13" customWidth="1"/>
    <col min="7941" max="7941" width="30.5703125" style="13" customWidth="1"/>
    <col min="7942" max="7942" width="1.7109375" style="13" customWidth="1"/>
    <col min="7943" max="8192" width="9.140625" style="13"/>
    <col min="8193" max="8193" width="24.140625" style="13" customWidth="1"/>
    <col min="8194" max="8194" width="29.85546875" style="13" customWidth="1"/>
    <col min="8195" max="8195" width="28.140625" style="13" customWidth="1"/>
    <col min="8196" max="8196" width="27" style="13" customWidth="1"/>
    <col min="8197" max="8197" width="30.5703125" style="13" customWidth="1"/>
    <col min="8198" max="8198" width="1.7109375" style="13" customWidth="1"/>
    <col min="8199" max="8448" width="9.140625" style="13"/>
    <col min="8449" max="8449" width="24.140625" style="13" customWidth="1"/>
    <col min="8450" max="8450" width="29.85546875" style="13" customWidth="1"/>
    <col min="8451" max="8451" width="28.140625" style="13" customWidth="1"/>
    <col min="8452" max="8452" width="27" style="13" customWidth="1"/>
    <col min="8453" max="8453" width="30.5703125" style="13" customWidth="1"/>
    <col min="8454" max="8454" width="1.7109375" style="13" customWidth="1"/>
    <col min="8455" max="8704" width="9.140625" style="13"/>
    <col min="8705" max="8705" width="24.140625" style="13" customWidth="1"/>
    <col min="8706" max="8706" width="29.85546875" style="13" customWidth="1"/>
    <col min="8707" max="8707" width="28.140625" style="13" customWidth="1"/>
    <col min="8708" max="8708" width="27" style="13" customWidth="1"/>
    <col min="8709" max="8709" width="30.5703125" style="13" customWidth="1"/>
    <col min="8710" max="8710" width="1.7109375" style="13" customWidth="1"/>
    <col min="8711" max="8960" width="9.140625" style="13"/>
    <col min="8961" max="8961" width="24.140625" style="13" customWidth="1"/>
    <col min="8962" max="8962" width="29.85546875" style="13" customWidth="1"/>
    <col min="8963" max="8963" width="28.140625" style="13" customWidth="1"/>
    <col min="8964" max="8964" width="27" style="13" customWidth="1"/>
    <col min="8965" max="8965" width="30.5703125" style="13" customWidth="1"/>
    <col min="8966" max="8966" width="1.7109375" style="13" customWidth="1"/>
    <col min="8967" max="9216" width="9.140625" style="13"/>
    <col min="9217" max="9217" width="24.140625" style="13" customWidth="1"/>
    <col min="9218" max="9218" width="29.85546875" style="13" customWidth="1"/>
    <col min="9219" max="9219" width="28.140625" style="13" customWidth="1"/>
    <col min="9220" max="9220" width="27" style="13" customWidth="1"/>
    <col min="9221" max="9221" width="30.5703125" style="13" customWidth="1"/>
    <col min="9222" max="9222" width="1.7109375" style="13" customWidth="1"/>
    <col min="9223" max="9472" width="9.140625" style="13"/>
    <col min="9473" max="9473" width="24.140625" style="13" customWidth="1"/>
    <col min="9474" max="9474" width="29.85546875" style="13" customWidth="1"/>
    <col min="9475" max="9475" width="28.140625" style="13" customWidth="1"/>
    <col min="9476" max="9476" width="27" style="13" customWidth="1"/>
    <col min="9477" max="9477" width="30.5703125" style="13" customWidth="1"/>
    <col min="9478" max="9478" width="1.7109375" style="13" customWidth="1"/>
    <col min="9479" max="9728" width="9.140625" style="13"/>
    <col min="9729" max="9729" width="24.140625" style="13" customWidth="1"/>
    <col min="9730" max="9730" width="29.85546875" style="13" customWidth="1"/>
    <col min="9731" max="9731" width="28.140625" style="13" customWidth="1"/>
    <col min="9732" max="9732" width="27" style="13" customWidth="1"/>
    <col min="9733" max="9733" width="30.5703125" style="13" customWidth="1"/>
    <col min="9734" max="9734" width="1.7109375" style="13" customWidth="1"/>
    <col min="9735" max="9984" width="9.140625" style="13"/>
    <col min="9985" max="9985" width="24.140625" style="13" customWidth="1"/>
    <col min="9986" max="9986" width="29.85546875" style="13" customWidth="1"/>
    <col min="9987" max="9987" width="28.140625" style="13" customWidth="1"/>
    <col min="9988" max="9988" width="27" style="13" customWidth="1"/>
    <col min="9989" max="9989" width="30.5703125" style="13" customWidth="1"/>
    <col min="9990" max="9990" width="1.7109375" style="13" customWidth="1"/>
    <col min="9991" max="10240" width="9.140625" style="13"/>
    <col min="10241" max="10241" width="24.140625" style="13" customWidth="1"/>
    <col min="10242" max="10242" width="29.85546875" style="13" customWidth="1"/>
    <col min="10243" max="10243" width="28.140625" style="13" customWidth="1"/>
    <col min="10244" max="10244" width="27" style="13" customWidth="1"/>
    <col min="10245" max="10245" width="30.5703125" style="13" customWidth="1"/>
    <col min="10246" max="10246" width="1.7109375" style="13" customWidth="1"/>
    <col min="10247" max="10496" width="9.140625" style="13"/>
    <col min="10497" max="10497" width="24.140625" style="13" customWidth="1"/>
    <col min="10498" max="10498" width="29.85546875" style="13" customWidth="1"/>
    <col min="10499" max="10499" width="28.140625" style="13" customWidth="1"/>
    <col min="10500" max="10500" width="27" style="13" customWidth="1"/>
    <col min="10501" max="10501" width="30.5703125" style="13" customWidth="1"/>
    <col min="10502" max="10502" width="1.7109375" style="13" customWidth="1"/>
    <col min="10503" max="10752" width="9.140625" style="13"/>
    <col min="10753" max="10753" width="24.140625" style="13" customWidth="1"/>
    <col min="10754" max="10754" width="29.85546875" style="13" customWidth="1"/>
    <col min="10755" max="10755" width="28.140625" style="13" customWidth="1"/>
    <col min="10756" max="10756" width="27" style="13" customWidth="1"/>
    <col min="10757" max="10757" width="30.5703125" style="13" customWidth="1"/>
    <col min="10758" max="10758" width="1.7109375" style="13" customWidth="1"/>
    <col min="10759" max="11008" width="9.140625" style="13"/>
    <col min="11009" max="11009" width="24.140625" style="13" customWidth="1"/>
    <col min="11010" max="11010" width="29.85546875" style="13" customWidth="1"/>
    <col min="11011" max="11011" width="28.140625" style="13" customWidth="1"/>
    <col min="11012" max="11012" width="27" style="13" customWidth="1"/>
    <col min="11013" max="11013" width="30.5703125" style="13" customWidth="1"/>
    <col min="11014" max="11014" width="1.7109375" style="13" customWidth="1"/>
    <col min="11015" max="11264" width="9.140625" style="13"/>
    <col min="11265" max="11265" width="24.140625" style="13" customWidth="1"/>
    <col min="11266" max="11266" width="29.85546875" style="13" customWidth="1"/>
    <col min="11267" max="11267" width="28.140625" style="13" customWidth="1"/>
    <col min="11268" max="11268" width="27" style="13" customWidth="1"/>
    <col min="11269" max="11269" width="30.5703125" style="13" customWidth="1"/>
    <col min="11270" max="11270" width="1.7109375" style="13" customWidth="1"/>
    <col min="11271" max="11520" width="9.140625" style="13"/>
    <col min="11521" max="11521" width="24.140625" style="13" customWidth="1"/>
    <col min="11522" max="11522" width="29.85546875" style="13" customWidth="1"/>
    <col min="11523" max="11523" width="28.140625" style="13" customWidth="1"/>
    <col min="11524" max="11524" width="27" style="13" customWidth="1"/>
    <col min="11525" max="11525" width="30.5703125" style="13" customWidth="1"/>
    <col min="11526" max="11526" width="1.7109375" style="13" customWidth="1"/>
    <col min="11527" max="11776" width="9.140625" style="13"/>
    <col min="11777" max="11777" width="24.140625" style="13" customWidth="1"/>
    <col min="11778" max="11778" width="29.85546875" style="13" customWidth="1"/>
    <col min="11779" max="11779" width="28.140625" style="13" customWidth="1"/>
    <col min="11780" max="11780" width="27" style="13" customWidth="1"/>
    <col min="11781" max="11781" width="30.5703125" style="13" customWidth="1"/>
    <col min="11782" max="11782" width="1.7109375" style="13" customWidth="1"/>
    <col min="11783" max="12032" width="9.140625" style="13"/>
    <col min="12033" max="12033" width="24.140625" style="13" customWidth="1"/>
    <col min="12034" max="12034" width="29.85546875" style="13" customWidth="1"/>
    <col min="12035" max="12035" width="28.140625" style="13" customWidth="1"/>
    <col min="12036" max="12036" width="27" style="13" customWidth="1"/>
    <col min="12037" max="12037" width="30.5703125" style="13" customWidth="1"/>
    <col min="12038" max="12038" width="1.7109375" style="13" customWidth="1"/>
    <col min="12039" max="12288" width="9.140625" style="13"/>
    <col min="12289" max="12289" width="24.140625" style="13" customWidth="1"/>
    <col min="12290" max="12290" width="29.85546875" style="13" customWidth="1"/>
    <col min="12291" max="12291" width="28.140625" style="13" customWidth="1"/>
    <col min="12292" max="12292" width="27" style="13" customWidth="1"/>
    <col min="12293" max="12293" width="30.5703125" style="13" customWidth="1"/>
    <col min="12294" max="12294" width="1.7109375" style="13" customWidth="1"/>
    <col min="12295" max="12544" width="9.140625" style="13"/>
    <col min="12545" max="12545" width="24.140625" style="13" customWidth="1"/>
    <col min="12546" max="12546" width="29.85546875" style="13" customWidth="1"/>
    <col min="12547" max="12547" width="28.140625" style="13" customWidth="1"/>
    <col min="12548" max="12548" width="27" style="13" customWidth="1"/>
    <col min="12549" max="12549" width="30.5703125" style="13" customWidth="1"/>
    <col min="12550" max="12550" width="1.7109375" style="13" customWidth="1"/>
    <col min="12551" max="12800" width="9.140625" style="13"/>
    <col min="12801" max="12801" width="24.140625" style="13" customWidth="1"/>
    <col min="12802" max="12802" width="29.85546875" style="13" customWidth="1"/>
    <col min="12803" max="12803" width="28.140625" style="13" customWidth="1"/>
    <col min="12804" max="12804" width="27" style="13" customWidth="1"/>
    <col min="12805" max="12805" width="30.5703125" style="13" customWidth="1"/>
    <col min="12806" max="12806" width="1.7109375" style="13" customWidth="1"/>
    <col min="12807" max="13056" width="9.140625" style="13"/>
    <col min="13057" max="13057" width="24.140625" style="13" customWidth="1"/>
    <col min="13058" max="13058" width="29.85546875" style="13" customWidth="1"/>
    <col min="13059" max="13059" width="28.140625" style="13" customWidth="1"/>
    <col min="13060" max="13060" width="27" style="13" customWidth="1"/>
    <col min="13061" max="13061" width="30.5703125" style="13" customWidth="1"/>
    <col min="13062" max="13062" width="1.7109375" style="13" customWidth="1"/>
    <col min="13063" max="13312" width="9.140625" style="13"/>
    <col min="13313" max="13313" width="24.140625" style="13" customWidth="1"/>
    <col min="13314" max="13314" width="29.85546875" style="13" customWidth="1"/>
    <col min="13315" max="13315" width="28.140625" style="13" customWidth="1"/>
    <col min="13316" max="13316" width="27" style="13" customWidth="1"/>
    <col min="13317" max="13317" width="30.5703125" style="13" customWidth="1"/>
    <col min="13318" max="13318" width="1.7109375" style="13" customWidth="1"/>
    <col min="13319" max="13568" width="9.140625" style="13"/>
    <col min="13569" max="13569" width="24.140625" style="13" customWidth="1"/>
    <col min="13570" max="13570" width="29.85546875" style="13" customWidth="1"/>
    <col min="13571" max="13571" width="28.140625" style="13" customWidth="1"/>
    <col min="13572" max="13572" width="27" style="13" customWidth="1"/>
    <col min="13573" max="13573" width="30.5703125" style="13" customWidth="1"/>
    <col min="13574" max="13574" width="1.7109375" style="13" customWidth="1"/>
    <col min="13575" max="13824" width="9.140625" style="13"/>
    <col min="13825" max="13825" width="24.140625" style="13" customWidth="1"/>
    <col min="13826" max="13826" width="29.85546875" style="13" customWidth="1"/>
    <col min="13827" max="13827" width="28.140625" style="13" customWidth="1"/>
    <col min="13828" max="13828" width="27" style="13" customWidth="1"/>
    <col min="13829" max="13829" width="30.5703125" style="13" customWidth="1"/>
    <col min="13830" max="13830" width="1.7109375" style="13" customWidth="1"/>
    <col min="13831" max="14080" width="9.140625" style="13"/>
    <col min="14081" max="14081" width="24.140625" style="13" customWidth="1"/>
    <col min="14082" max="14082" width="29.85546875" style="13" customWidth="1"/>
    <col min="14083" max="14083" width="28.140625" style="13" customWidth="1"/>
    <col min="14084" max="14084" width="27" style="13" customWidth="1"/>
    <col min="14085" max="14085" width="30.5703125" style="13" customWidth="1"/>
    <col min="14086" max="14086" width="1.7109375" style="13" customWidth="1"/>
    <col min="14087" max="14336" width="9.140625" style="13"/>
    <col min="14337" max="14337" width="24.140625" style="13" customWidth="1"/>
    <col min="14338" max="14338" width="29.85546875" style="13" customWidth="1"/>
    <col min="14339" max="14339" width="28.140625" style="13" customWidth="1"/>
    <col min="14340" max="14340" width="27" style="13" customWidth="1"/>
    <col min="14341" max="14341" width="30.5703125" style="13" customWidth="1"/>
    <col min="14342" max="14342" width="1.7109375" style="13" customWidth="1"/>
    <col min="14343" max="14592" width="9.140625" style="13"/>
    <col min="14593" max="14593" width="24.140625" style="13" customWidth="1"/>
    <col min="14594" max="14594" width="29.85546875" style="13" customWidth="1"/>
    <col min="14595" max="14595" width="28.140625" style="13" customWidth="1"/>
    <col min="14596" max="14596" width="27" style="13" customWidth="1"/>
    <col min="14597" max="14597" width="30.5703125" style="13" customWidth="1"/>
    <col min="14598" max="14598" width="1.7109375" style="13" customWidth="1"/>
    <col min="14599" max="14848" width="9.140625" style="13"/>
    <col min="14849" max="14849" width="24.140625" style="13" customWidth="1"/>
    <col min="14850" max="14850" width="29.85546875" style="13" customWidth="1"/>
    <col min="14851" max="14851" width="28.140625" style="13" customWidth="1"/>
    <col min="14852" max="14852" width="27" style="13" customWidth="1"/>
    <col min="14853" max="14853" width="30.5703125" style="13" customWidth="1"/>
    <col min="14854" max="14854" width="1.7109375" style="13" customWidth="1"/>
    <col min="14855" max="15104" width="9.140625" style="13"/>
    <col min="15105" max="15105" width="24.140625" style="13" customWidth="1"/>
    <col min="15106" max="15106" width="29.85546875" style="13" customWidth="1"/>
    <col min="15107" max="15107" width="28.140625" style="13" customWidth="1"/>
    <col min="15108" max="15108" width="27" style="13" customWidth="1"/>
    <col min="15109" max="15109" width="30.5703125" style="13" customWidth="1"/>
    <col min="15110" max="15110" width="1.7109375" style="13" customWidth="1"/>
    <col min="15111" max="15360" width="9.140625" style="13"/>
    <col min="15361" max="15361" width="24.140625" style="13" customWidth="1"/>
    <col min="15362" max="15362" width="29.85546875" style="13" customWidth="1"/>
    <col min="15363" max="15363" width="28.140625" style="13" customWidth="1"/>
    <col min="15364" max="15364" width="27" style="13" customWidth="1"/>
    <col min="15365" max="15365" width="30.5703125" style="13" customWidth="1"/>
    <col min="15366" max="15366" width="1.7109375" style="13" customWidth="1"/>
    <col min="15367" max="15616" width="9.140625" style="13"/>
    <col min="15617" max="15617" width="24.140625" style="13" customWidth="1"/>
    <col min="15618" max="15618" width="29.85546875" style="13" customWidth="1"/>
    <col min="15619" max="15619" width="28.140625" style="13" customWidth="1"/>
    <col min="15620" max="15620" width="27" style="13" customWidth="1"/>
    <col min="15621" max="15621" width="30.5703125" style="13" customWidth="1"/>
    <col min="15622" max="15622" width="1.7109375" style="13" customWidth="1"/>
    <col min="15623" max="15872" width="9.140625" style="13"/>
    <col min="15873" max="15873" width="24.140625" style="13" customWidth="1"/>
    <col min="15874" max="15874" width="29.85546875" style="13" customWidth="1"/>
    <col min="15875" max="15875" width="28.140625" style="13" customWidth="1"/>
    <col min="15876" max="15876" width="27" style="13" customWidth="1"/>
    <col min="15877" max="15877" width="30.5703125" style="13" customWidth="1"/>
    <col min="15878" max="15878" width="1.7109375" style="13" customWidth="1"/>
    <col min="15879" max="16128" width="9.140625" style="13"/>
    <col min="16129" max="16129" width="24.140625" style="13" customWidth="1"/>
    <col min="16130" max="16130" width="29.85546875" style="13" customWidth="1"/>
    <col min="16131" max="16131" width="28.140625" style="13" customWidth="1"/>
    <col min="16132" max="16132" width="27" style="13" customWidth="1"/>
    <col min="16133" max="16133" width="30.5703125" style="13" customWidth="1"/>
    <col min="16134" max="16134" width="1.7109375" style="13" customWidth="1"/>
    <col min="16135" max="16384" width="9.140625" style="13"/>
  </cols>
  <sheetData>
    <row r="1" spans="1:9" s="2" customFormat="1" ht="21" customHeight="1" x14ac:dyDescent="0.35">
      <c r="A1" s="246" t="s">
        <v>4</v>
      </c>
      <c r="B1" s="246"/>
      <c r="C1" s="248" t="str">
        <f>Copertina!B7</f>
        <v>MEV 2023_33_PST_PagoPA_Step-1</v>
      </c>
      <c r="D1" s="248"/>
      <c r="E1" s="248"/>
      <c r="F1" s="8"/>
      <c r="G1" s="9"/>
      <c r="H1" s="1"/>
    </row>
    <row r="2" spans="1:9" s="2" customFormat="1" ht="20.25" customHeight="1" thickBot="1" x14ac:dyDescent="0.4">
      <c r="A2" s="247" t="s">
        <v>11</v>
      </c>
      <c r="B2" s="247"/>
      <c r="C2" s="249" t="str">
        <f>Copertina!B3</f>
        <v>SIUT-SIES-CT-1.0-20240130-Allegato_al_piano_Test_2023_33_PST_PagoPA_Step-1</v>
      </c>
      <c r="D2" s="249"/>
      <c r="E2" s="249"/>
      <c r="F2" s="10"/>
      <c r="G2" s="11"/>
      <c r="H2" s="3"/>
    </row>
    <row r="3" spans="1:9" s="12" customFormat="1" ht="27" customHeight="1" thickBot="1" x14ac:dyDescent="0.3">
      <c r="A3" s="258" t="s">
        <v>19</v>
      </c>
      <c r="B3" s="259"/>
      <c r="C3" s="259"/>
      <c r="D3" s="259"/>
      <c r="E3" s="260"/>
      <c r="G3" s="261" t="s">
        <v>20</v>
      </c>
      <c r="H3" s="262"/>
      <c r="I3" s="263"/>
    </row>
    <row r="4" spans="1:9" ht="23.25" customHeight="1" thickBot="1" x14ac:dyDescent="0.25">
      <c r="A4" s="270" t="s">
        <v>21</v>
      </c>
      <c r="B4" s="271" t="s">
        <v>22</v>
      </c>
      <c r="C4" s="272"/>
      <c r="D4" s="272"/>
      <c r="E4" s="273"/>
      <c r="G4" s="264"/>
      <c r="H4" s="265"/>
      <c r="I4" s="266"/>
    </row>
    <row r="5" spans="1:9" ht="26.25" customHeight="1" thickBot="1" x14ac:dyDescent="0.25">
      <c r="A5" s="254"/>
      <c r="B5" s="14">
        <v>1</v>
      </c>
      <c r="C5" s="14">
        <v>2</v>
      </c>
      <c r="D5" s="14">
        <v>3</v>
      </c>
      <c r="E5" s="15">
        <v>4</v>
      </c>
      <c r="G5" s="264"/>
      <c r="H5" s="265"/>
      <c r="I5" s="266"/>
    </row>
    <row r="6" spans="1:9" ht="15.75" thickBot="1" x14ac:dyDescent="0.25">
      <c r="A6" s="16" t="s">
        <v>23</v>
      </c>
      <c r="B6" s="17">
        <f>COUNTIFS(TabellaTest!$H$8:$H$344,1,TabellaTest!$I$8:$I$344,"A",TabellaTest!$J$8:$J$344,"KO")</f>
        <v>0</v>
      </c>
      <c r="C6" s="17">
        <f>COUNTIFS(TabellaTest!$H$8:$H$344,2,TabellaTest!$I$8:$I$344,"A",TabellaTest!$J$8:$J$344,"KO")</f>
        <v>0</v>
      </c>
      <c r="D6" s="17">
        <f>COUNTIFS(TabellaTest!$H$8:$H$344,3,TabellaTest!$I$8:$I$344,"A",TabellaTest!$J$8:$J$344,"KO")</f>
        <v>0</v>
      </c>
      <c r="E6" s="17">
        <f>COUNTIFS(TabellaTest!$H$8:$H$344,4,TabellaTest!$I$8:$I$344,"A",TabellaTest!$J$8:$J$344,"KO")</f>
        <v>0</v>
      </c>
      <c r="G6" s="264"/>
      <c r="H6" s="265"/>
      <c r="I6" s="266"/>
    </row>
    <row r="7" spans="1:9" ht="15.75" thickBot="1" x14ac:dyDescent="0.25">
      <c r="A7" s="18" t="s">
        <v>24</v>
      </c>
      <c r="B7" s="17">
        <f>COUNTIFS(TabellaTest!$H$8:$H$344,1,TabellaTest!$I$8:$I$344,"B",TabellaTest!$J$8:$J$344,"KO")</f>
        <v>0</v>
      </c>
      <c r="C7" s="17">
        <f>COUNTIFS(TabellaTest!$H$8:$H$344,2,TabellaTest!$I$8:$I$344,"B",TabellaTest!$J$8:$J$344,"KO")</f>
        <v>0</v>
      </c>
      <c r="D7" s="17">
        <f>COUNTIFS(TabellaTest!$H$8:$H$344,3,TabellaTest!$I$8:$I$344,"B",TabellaTest!$J$8:$J$344,"KO")</f>
        <v>0</v>
      </c>
      <c r="E7" s="17">
        <f>COUNTIFS(TabellaTest!$H$8:$H$344,4,TabellaTest!$I$8:$I$344,"B",TabellaTest!$J$8:$J$344,"KO")</f>
        <v>0</v>
      </c>
      <c r="G7" s="264"/>
      <c r="H7" s="265"/>
      <c r="I7" s="266"/>
    </row>
    <row r="8" spans="1:9" ht="15.75" thickBot="1" x14ac:dyDescent="0.25">
      <c r="A8" s="19" t="s">
        <v>25</v>
      </c>
      <c r="B8" s="17">
        <f>COUNTIFS(TabellaTest!$H$8:$H$344,1,TabellaTest!$I$8:$I$344,"C",TabellaTest!$J$8:$J$344,"KO")</f>
        <v>0</v>
      </c>
      <c r="C8" s="17">
        <f>COUNTIFS(TabellaTest!$H$8:$H$344,2,TabellaTest!$I$8:$I$344,"C",TabellaTest!$J$8:$J$344,"KO")</f>
        <v>0</v>
      </c>
      <c r="D8" s="17">
        <f>COUNTIFS(TabellaTest!$H$8:$H$344,3,TabellaTest!$I$8:$I$344,"C",TabellaTest!$J$8:$J$344,"KO")</f>
        <v>0</v>
      </c>
      <c r="E8" s="17">
        <f>COUNTIFS(TabellaTest!$H$8:$H$344,4,TabellaTest!$I$8:$I$344,"C",TabellaTest!$J$8:$J$344,"KO")</f>
        <v>0</v>
      </c>
      <c r="G8" s="267"/>
      <c r="H8" s="268"/>
      <c r="I8" s="269"/>
    </row>
    <row r="9" spans="1:9" x14ac:dyDescent="0.2">
      <c r="G9" s="20"/>
      <c r="H9" s="20"/>
      <c r="I9" s="20"/>
    </row>
    <row r="12" spans="1:9" ht="10.5" customHeight="1" thickBot="1" x14ac:dyDescent="0.25"/>
    <row r="13" spans="1:9" ht="13.5" hidden="1" thickBot="1" x14ac:dyDescent="0.35"/>
    <row r="14" spans="1:9" s="12" customFormat="1" ht="28.5" customHeight="1" x14ac:dyDescent="0.25">
      <c r="A14" s="250" t="s">
        <v>26</v>
      </c>
      <c r="B14" s="251"/>
      <c r="C14" s="251"/>
      <c r="D14" s="251"/>
      <c r="E14" s="252"/>
    </row>
    <row r="15" spans="1:9" ht="15.75" thickBot="1" x14ac:dyDescent="0.25">
      <c r="A15" s="253" t="s">
        <v>21</v>
      </c>
      <c r="B15" s="255" t="s">
        <v>22</v>
      </c>
      <c r="C15" s="256"/>
      <c r="D15" s="256"/>
      <c r="E15" s="257"/>
    </row>
    <row r="16" spans="1:9" ht="15.75" thickBot="1" x14ac:dyDescent="0.25">
      <c r="A16" s="254"/>
      <c r="B16" s="21">
        <v>1</v>
      </c>
      <c r="C16" s="21">
        <v>2</v>
      </c>
      <c r="D16" s="21">
        <v>3</v>
      </c>
      <c r="E16" s="22">
        <v>4</v>
      </c>
    </row>
    <row r="17" spans="1:5" ht="15.75" thickBot="1" x14ac:dyDescent="0.25">
      <c r="A17" s="23" t="s">
        <v>23</v>
      </c>
      <c r="B17" s="24">
        <f>COUNTIFS(TabellaTest!$H$8:$H$344,1,TabellaTest!$I$8:$I$344,"A")</f>
        <v>0</v>
      </c>
      <c r="C17" s="24">
        <f>COUNTIFS(TabellaTest!$H$8:$H$344,2,TabellaTest!$I$8:$I$344,"A")</f>
        <v>0</v>
      </c>
      <c r="D17" s="24">
        <f>COUNTIFS(TabellaTest!$H$8:$H$344,3,TabellaTest!$I$8:$I$344,"A")</f>
        <v>0</v>
      </c>
      <c r="E17" s="24">
        <f>COUNTIFS(TabellaTest!$H$8:$H$344,4,TabellaTest!$I$8:$I$344,"A")</f>
        <v>0</v>
      </c>
    </row>
    <row r="18" spans="1:5" ht="15.75" thickBot="1" x14ac:dyDescent="0.25">
      <c r="A18" s="25" t="s">
        <v>24</v>
      </c>
      <c r="B18" s="24">
        <f>COUNTIFS(TabellaTest!$H$8:$H$344,1,TabellaTest!$I$8:$I$344,"B")</f>
        <v>0</v>
      </c>
      <c r="C18" s="24">
        <f>COUNTIFS(TabellaTest!$H$8:$H$344,2,TabellaTest!$I$8:$I$344,"B")</f>
        <v>28</v>
      </c>
      <c r="D18" s="24">
        <f>COUNTIFS(TabellaTest!$H$8:$H$344,3,TabellaTest!$I$8:$I$344,"B")</f>
        <v>0</v>
      </c>
      <c r="E18" s="24">
        <f>COUNTIFS(TabellaTest!$H$8:$H$344,4,TabellaTest!$I$8:$I$344,"B")</f>
        <v>0</v>
      </c>
    </row>
    <row r="19" spans="1:5" ht="15.75" thickBot="1" x14ac:dyDescent="0.25">
      <c r="A19" s="26" t="s">
        <v>25</v>
      </c>
      <c r="B19" s="24">
        <f>COUNTIFS(TabellaTest!$H$8:$H$344,1,TabellaTest!$I$8:$I$344,"C")</f>
        <v>0</v>
      </c>
      <c r="C19" s="24">
        <f>COUNTIFS(TabellaTest!$H$8:$H$344,2,TabellaTest!$I$8:$I$344,"C")</f>
        <v>0</v>
      </c>
      <c r="D19" s="24">
        <f>COUNTIFS(TabellaTest!$H$8:$H$344,3,TabellaTest!$I$8:$I$344,"C")</f>
        <v>12</v>
      </c>
      <c r="E19" s="24">
        <f>COUNTIFS(TabellaTest!$H$8:$H$344,4,TabellaTest!$I$8:$I$344,"C")</f>
        <v>0</v>
      </c>
    </row>
  </sheetData>
  <sheetProtection algorithmName="SHA-512" hashValue="yK4t762dsqdaSNJbIJdXYOJ9V6yhJPk90M8BFw4lbAyBYOqkLwUcsAp6Hzt1n+PAyjFA1QcVZEWzBN39IMR6Og==" saltValue="SATjaK3ZpVyROTc4J1W+8Q==" spinCount="100000" sheet="1" selectLockedCells="1" selectUnlockedCells="1"/>
  <mergeCells count="11">
    <mergeCell ref="A15:A16"/>
    <mergeCell ref="B15:E15"/>
    <mergeCell ref="A3:E3"/>
    <mergeCell ref="G3:I8"/>
    <mergeCell ref="A4:A5"/>
    <mergeCell ref="B4:E4"/>
    <mergeCell ref="A1:B1"/>
    <mergeCell ref="A2:B2"/>
    <mergeCell ref="C1:E1"/>
    <mergeCell ref="C2:E2"/>
    <mergeCell ref="A14:E14"/>
  </mergeCells>
  <conditionalFormatting sqref="B6:E8">
    <cfRule type="expression" dxfId="3" priority="1" stopIfTrue="1">
      <formula>$E$6&gt;$E$17</formula>
    </cfRule>
    <cfRule type="expression" dxfId="2" priority="2" stopIfTrue="1">
      <formula>$D$6&gt;$D$17</formula>
    </cfRule>
    <cfRule type="expression" dxfId="1" priority="3" stopIfTrue="1">
      <formula>$C$6&gt;$C$17</formula>
    </cfRule>
    <cfRule type="expression" dxfId="0" priority="4" stopIfTrue="1">
      <formula>$B$6&gt;($B$17)</formula>
    </cfRule>
  </conditionalFormatting>
  <pageMargins left="0.27559055118110237" right="0.55118110236220474" top="0.43307086614173229" bottom="0.39370078740157483" header="0.23622047244094491" footer="0.23622047244094491"/>
  <pageSetup paperSize="9" scale="80" orientation="landscape" r:id="rId1"/>
  <headerFooter alignWithMargins="0">
    <oddHeader>&amp;R&amp;D &amp;T</oddHeader>
    <oddFooter>&amp;L&amp;F&amp;C&amp;A&amp;RPagina &amp;P di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B637F1D28401F4E9309B338650987D9" ma:contentTypeVersion="10" ma:contentTypeDescription="Creare un nuovo documento." ma:contentTypeScope="" ma:versionID="6e68582ca45cee34772eca177e0e6347">
  <xsd:schema xmlns:xsd="http://www.w3.org/2001/XMLSchema" xmlns:xs="http://www.w3.org/2001/XMLSchema" xmlns:p="http://schemas.microsoft.com/office/2006/metadata/properties" xmlns:ns3="a3ae56ea-36dd-4ec5-b67e-65253cb58edc" xmlns:ns4="05f6d153-fdd9-4ea0-9d5e-dbae83f18a55" targetNamespace="http://schemas.microsoft.com/office/2006/metadata/properties" ma:root="true" ma:fieldsID="0e64261cf123f0820c518166c1aafef0" ns3:_="" ns4:_="">
    <xsd:import namespace="a3ae56ea-36dd-4ec5-b67e-65253cb58edc"/>
    <xsd:import namespace="05f6d153-fdd9-4ea0-9d5e-dbae83f18a55"/>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4:SharedWithUsers" minOccurs="0"/>
                <xsd:element ref="ns4:SharedWithDetails" minOccurs="0"/>
                <xsd:element ref="ns4:SharingHintHash"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ae56ea-36dd-4ec5-b67e-65253cb58e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f6d153-fdd9-4ea0-9d5e-dbae83f18a55" elementFormDefault="qualified">
    <xsd:import namespace="http://schemas.microsoft.com/office/2006/documentManagement/types"/>
    <xsd:import namespace="http://schemas.microsoft.com/office/infopath/2007/PartnerControls"/>
    <xsd:element name="SharedWithUsers" ma:index="13"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Condiviso con dettagli" ma:internalName="SharedWithDetails" ma:readOnly="true">
      <xsd:simpleType>
        <xsd:restriction base="dms:Note">
          <xsd:maxLength value="255"/>
        </xsd:restriction>
      </xsd:simpleType>
    </xsd:element>
    <xsd:element name="SharingHintHash" ma:index="15" nillable="true" ma:displayName="Hash suggerimento condivisione"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17AF078-23A2-4F08-B5B5-1283EC9C50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ae56ea-36dd-4ec5-b67e-65253cb58edc"/>
    <ds:schemaRef ds:uri="05f6d153-fdd9-4ea0-9d5e-dbae83f18a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9C65E7D-62B2-458A-867B-AE3870757B77}">
  <ds:schemaRefs>
    <ds:schemaRef ds:uri="http://schemas.microsoft.com/sharepoint/v3/contenttype/forms"/>
  </ds:schemaRefs>
</ds:datastoreItem>
</file>

<file path=customXml/itemProps3.xml><?xml version="1.0" encoding="utf-8"?>
<ds:datastoreItem xmlns:ds="http://schemas.openxmlformats.org/officeDocument/2006/customXml" ds:itemID="{3CA223A0-14F8-4CF7-B03D-5B8241C56AE5}">
  <ds:schemaRefs>
    <ds:schemaRef ds:uri="http://purl.org/dc/elements/1.1/"/>
    <ds:schemaRef ds:uri="http://schemas.microsoft.com/office/2006/metadata/properties"/>
    <ds:schemaRef ds:uri="a3ae56ea-36dd-4ec5-b67e-65253cb58edc"/>
    <ds:schemaRef ds:uri="http://purl.org/dc/term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05f6d153-fdd9-4ea0-9d5e-dbae83f18a55"/>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5</vt:i4>
      </vt:variant>
      <vt:variant>
        <vt:lpstr>Intervalli denominati</vt:lpstr>
      </vt:variant>
      <vt:variant>
        <vt:i4>1</vt:i4>
      </vt:variant>
    </vt:vector>
  </HeadingPairs>
  <TitlesOfParts>
    <vt:vector size="6" baseType="lpstr">
      <vt:lpstr>Copertina</vt:lpstr>
      <vt:lpstr>TabellaTest</vt:lpstr>
      <vt:lpstr>SpecificaTest</vt:lpstr>
      <vt:lpstr>VerificheConformità</vt:lpstr>
      <vt:lpstr>SogliaAccettazione</vt:lpstr>
      <vt:lpstr>VerificheConformità!Area_stampa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Allegato al Piano di Test</dc:title>
  <dc:creator>Engineering</dc:creator>
  <cp:lastModifiedBy>Simone Gioggi</cp:lastModifiedBy>
  <cp:lastPrinted>2019-11-08T14:17:06Z</cp:lastPrinted>
  <dcterms:created xsi:type="dcterms:W3CDTF">2019-11-07T09:38:15Z</dcterms:created>
  <dcterms:modified xsi:type="dcterms:W3CDTF">2024-02-12T11:06:38Z</dcterms:modified>
</cp:coreProperties>
</file>