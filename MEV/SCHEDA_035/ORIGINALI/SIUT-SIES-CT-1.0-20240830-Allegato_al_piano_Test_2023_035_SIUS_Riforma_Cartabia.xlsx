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2" l="1"/>
  <c r="C61" i="2"/>
  <c r="F656" i="3"/>
  <c r="D656" i="3"/>
  <c r="F649" i="3"/>
  <c r="D649" i="3"/>
  <c r="F59" i="2"/>
  <c r="A656" i="3" s="1"/>
  <c r="C59" i="2"/>
  <c r="B656" i="3" s="1"/>
  <c r="F58" i="2"/>
  <c r="A649" i="3" s="1"/>
  <c r="C58" i="2"/>
  <c r="B649" i="3" s="1"/>
  <c r="F636" i="3"/>
  <c r="D636" i="3"/>
  <c r="F627" i="3"/>
  <c r="D627" i="3"/>
  <c r="F57" i="2"/>
  <c r="A636" i="3" s="1"/>
  <c r="C57" i="2"/>
  <c r="B636" i="3" s="1"/>
  <c r="F56" i="2"/>
  <c r="A627" i="3" s="1"/>
  <c r="C56" i="2"/>
  <c r="B627" i="3" s="1"/>
  <c r="F614" i="3"/>
  <c r="D614" i="3"/>
  <c r="F607" i="3"/>
  <c r="D607" i="3"/>
  <c r="F55" i="2"/>
  <c r="A614" i="3" s="1"/>
  <c r="C55" i="2"/>
  <c r="B614" i="3" s="1"/>
  <c r="F54" i="2"/>
  <c r="A607" i="3" s="1"/>
  <c r="C54" i="2"/>
  <c r="B607" i="3" s="1"/>
  <c r="F594" i="3"/>
  <c r="D594" i="3"/>
  <c r="F585" i="3"/>
  <c r="D585" i="3"/>
  <c r="F53" i="2"/>
  <c r="A594" i="3" s="1"/>
  <c r="C53" i="2"/>
  <c r="B594" i="3" s="1"/>
  <c r="F52" i="2"/>
  <c r="A585" i="3" s="1"/>
  <c r="C52" i="2"/>
  <c r="B585" i="3" s="1"/>
  <c r="F529" i="3"/>
  <c r="D529" i="3"/>
  <c r="F521" i="3"/>
  <c r="D521" i="3"/>
  <c r="F47" i="2"/>
  <c r="A529" i="3" s="1"/>
  <c r="C47" i="2"/>
  <c r="B529" i="3" s="1"/>
  <c r="F46" i="2"/>
  <c r="A521" i="3" s="1"/>
  <c r="C46" i="2"/>
  <c r="B521" i="3" s="1"/>
  <c r="F507" i="3"/>
  <c r="D507" i="3"/>
  <c r="F499" i="3"/>
  <c r="D499" i="3"/>
  <c r="F45" i="2"/>
  <c r="A507" i="3" s="1"/>
  <c r="C45" i="2"/>
  <c r="B507" i="3" s="1"/>
  <c r="F44" i="2"/>
  <c r="A499" i="3" s="1"/>
  <c r="C44" i="2"/>
  <c r="B499" i="3" s="1"/>
  <c r="F572" i="3"/>
  <c r="D572" i="3"/>
  <c r="F564" i="3"/>
  <c r="D564" i="3"/>
  <c r="C51" i="2"/>
  <c r="B572" i="3" s="1"/>
  <c r="F51" i="2"/>
  <c r="A572" i="3" s="1"/>
  <c r="F50" i="2"/>
  <c r="A564" i="3" s="1"/>
  <c r="C50" i="2"/>
  <c r="B564" i="3" s="1"/>
  <c r="F551" i="3"/>
  <c r="D551" i="3"/>
  <c r="F543" i="3"/>
  <c r="D543" i="3"/>
  <c r="F49" i="2"/>
  <c r="A551" i="3" s="1"/>
  <c r="C49" i="2"/>
  <c r="B551" i="3" s="1"/>
  <c r="F48" i="2"/>
  <c r="A543" i="3" s="1"/>
  <c r="C48" i="2"/>
  <c r="B543" i="3" s="1"/>
  <c r="F486" i="3"/>
  <c r="D486" i="3"/>
  <c r="F471" i="3"/>
  <c r="D471" i="3"/>
  <c r="F463" i="3"/>
  <c r="D463" i="3"/>
  <c r="C43" i="2"/>
  <c r="B486" i="3" s="1"/>
  <c r="C42" i="2"/>
  <c r="B471" i="3" s="1"/>
  <c r="F43" i="2"/>
  <c r="A486" i="3" s="1"/>
  <c r="F42" i="2"/>
  <c r="A471" i="3" s="1"/>
  <c r="F41" i="2"/>
  <c r="A463" i="3" s="1"/>
  <c r="C41" i="2"/>
  <c r="B463" i="3" s="1"/>
  <c r="D394" i="3"/>
  <c r="F394" i="3"/>
  <c r="F40" i="2"/>
  <c r="F39" i="2"/>
  <c r="C40" i="2"/>
  <c r="F38" i="2"/>
  <c r="F37" i="2"/>
  <c r="C38" i="2"/>
  <c r="F36" i="2"/>
  <c r="F35" i="2"/>
  <c r="C36" i="2"/>
  <c r="C34" i="2"/>
  <c r="F32" i="2"/>
  <c r="F31" i="2"/>
  <c r="C32" i="2"/>
  <c r="F30" i="2"/>
  <c r="F29" i="2"/>
  <c r="C28" i="2"/>
  <c r="F28" i="2"/>
  <c r="F27" i="2"/>
  <c r="A310" i="3" s="1"/>
  <c r="C27" i="2"/>
  <c r="B310" i="3" s="1"/>
  <c r="F26" i="2"/>
  <c r="F25" i="2"/>
  <c r="C26" i="2"/>
  <c r="F24" i="2"/>
  <c r="F23" i="2"/>
  <c r="C24" i="2"/>
  <c r="F22" i="2"/>
  <c r="F21" i="2"/>
  <c r="C22" i="2"/>
  <c r="F20" i="2"/>
  <c r="F19" i="2"/>
  <c r="F18" i="2"/>
  <c r="C20" i="2"/>
  <c r="C19" i="2"/>
  <c r="C17" i="2"/>
  <c r="C16" i="2"/>
  <c r="F15" i="2"/>
  <c r="F14" i="2"/>
  <c r="C15" i="2"/>
  <c r="F13" i="2"/>
  <c r="F12" i="2"/>
  <c r="C13" i="2"/>
  <c r="C12" i="2"/>
  <c r="F6" i="2"/>
  <c r="F693" i="3"/>
  <c r="D693" i="3"/>
  <c r="F682" i="3"/>
  <c r="D682" i="3"/>
  <c r="F669" i="3"/>
  <c r="D669" i="3"/>
  <c r="F448" i="3"/>
  <c r="D448" i="3"/>
  <c r="F439" i="3"/>
  <c r="D439" i="3"/>
  <c r="F426" i="3"/>
  <c r="D426" i="3"/>
  <c r="F418" i="3"/>
  <c r="D418" i="3"/>
  <c r="F403" i="3"/>
  <c r="D403" i="3"/>
  <c r="F381" i="3"/>
  <c r="D381" i="3"/>
  <c r="F373" i="3"/>
  <c r="D373" i="3"/>
  <c r="F360" i="3"/>
  <c r="D360" i="3"/>
  <c r="F352" i="3"/>
  <c r="D352" i="3"/>
  <c r="F339" i="3"/>
  <c r="D339" i="3"/>
  <c r="F331" i="3"/>
  <c r="D331" i="3"/>
  <c r="F318" i="3"/>
  <c r="D318" i="3"/>
  <c r="F310" i="3"/>
  <c r="D310" i="3"/>
  <c r="F295" i="3"/>
  <c r="D295" i="3"/>
  <c r="F286" i="3"/>
  <c r="D286" i="3"/>
  <c r="F272" i="3"/>
  <c r="D272" i="3"/>
  <c r="F264" i="3"/>
  <c r="D264" i="3"/>
  <c r="A264" i="3"/>
  <c r="C23" i="2"/>
  <c r="B264" i="3" s="1"/>
  <c r="F242" i="3" l="1"/>
  <c r="D242" i="3"/>
  <c r="F250" i="3"/>
  <c r="D250" i="3"/>
  <c r="F717" i="3" l="1"/>
  <c r="D717" i="3"/>
  <c r="F703" i="3" l="1"/>
  <c r="D703" i="3"/>
  <c r="D210" i="3" l="1"/>
  <c r="F210" i="3"/>
  <c r="D132" i="3" l="1"/>
  <c r="F132" i="3"/>
  <c r="F229" i="3" l="1"/>
  <c r="D229" i="3"/>
  <c r="F202" i="3"/>
  <c r="D202" i="3"/>
  <c r="F184" i="3"/>
  <c r="D184" i="3"/>
  <c r="F46" i="3" l="1"/>
  <c r="D46" i="3"/>
  <c r="D16" i="3"/>
  <c r="F16" i="3"/>
  <c r="F39" i="3"/>
  <c r="D39" i="3"/>
  <c r="F4" i="3"/>
  <c r="D4" i="3"/>
  <c r="F11" i="2"/>
  <c r="F7" i="2" l="1"/>
  <c r="A46" i="3" s="1"/>
  <c r="C7" i="2"/>
  <c r="B46" i="3" s="1"/>
  <c r="C6" i="2"/>
  <c r="F5" i="2"/>
  <c r="A16" i="3" s="1"/>
  <c r="C5" i="2"/>
  <c r="B16" i="3" s="1"/>
  <c r="F4" i="2"/>
  <c r="A4" i="3" s="1"/>
  <c r="C4" i="2"/>
  <c r="B4" i="3" s="1"/>
  <c r="A229" i="3"/>
  <c r="B229" i="3"/>
  <c r="A210" i="3"/>
  <c r="B210" i="3"/>
  <c r="A202" i="3"/>
  <c r="C18" i="2"/>
  <c r="B202" i="3" s="1"/>
  <c r="F17" i="2"/>
  <c r="A184" i="3" s="1"/>
  <c r="B184" i="3"/>
  <c r="F64" i="2"/>
  <c r="A717" i="3" s="1"/>
  <c r="C64" i="2"/>
  <c r="B717" i="3" s="1"/>
  <c r="F63" i="2"/>
  <c r="A703" i="3" s="1"/>
  <c r="B703" i="3"/>
  <c r="F62" i="2"/>
  <c r="A693" i="3" s="1"/>
  <c r="C62" i="2"/>
  <c r="B693" i="3" s="1"/>
  <c r="F61" i="2"/>
  <c r="A682" i="3" s="1"/>
  <c r="B682" i="3"/>
  <c r="A448" i="3"/>
  <c r="B448" i="3"/>
  <c r="F60" i="2"/>
  <c r="A669" i="3" s="1"/>
  <c r="C60" i="2"/>
  <c r="B669" i="3" s="1"/>
  <c r="A439" i="3"/>
  <c r="C39" i="2"/>
  <c r="B439" i="3" s="1"/>
  <c r="A426" i="3"/>
  <c r="B426" i="3"/>
  <c r="A418" i="3"/>
  <c r="C37" i="2"/>
  <c r="B418" i="3" s="1"/>
  <c r="A394" i="3"/>
  <c r="C35" i="2"/>
  <c r="B394" i="3" s="1"/>
  <c r="A403" i="3"/>
  <c r="B403" i="3"/>
  <c r="F34" i="2"/>
  <c r="A381" i="3" s="1"/>
  <c r="B381" i="3"/>
  <c r="A360" i="3"/>
  <c r="B360" i="3"/>
  <c r="A295" i="3"/>
  <c r="B295" i="3"/>
  <c r="A286" i="3"/>
  <c r="C25" i="2"/>
  <c r="B286" i="3" s="1"/>
  <c r="B39" i="3" l="1"/>
  <c r="A39" i="3"/>
  <c r="F33" i="2"/>
  <c r="A373" i="3" s="1"/>
  <c r="A352" i="3"/>
  <c r="A339" i="3"/>
  <c r="A331" i="3"/>
  <c r="A318" i="3"/>
  <c r="A272" i="3"/>
  <c r="A250" i="3"/>
  <c r="A242" i="3"/>
  <c r="F16" i="2"/>
  <c r="A176" i="3" s="1"/>
  <c r="F10" i="2"/>
  <c r="F9" i="2"/>
  <c r="F8" i="2"/>
  <c r="C33" i="2" l="1"/>
  <c r="B373" i="3" s="1"/>
  <c r="C31" i="2"/>
  <c r="C30" i="2"/>
  <c r="B339" i="3" s="1"/>
  <c r="C29" i="2"/>
  <c r="B331" i="3" s="1"/>
  <c r="B318" i="3"/>
  <c r="B272" i="3"/>
  <c r="B250" i="3"/>
  <c r="C21" i="2"/>
  <c r="B242" i="3" s="1"/>
  <c r="C14" i="2"/>
  <c r="B132" i="3"/>
  <c r="C11" i="2"/>
  <c r="C9" i="2"/>
  <c r="C8" i="2"/>
  <c r="A65" i="3" l="1"/>
  <c r="B176" i="3" l="1"/>
  <c r="D176" i="3"/>
  <c r="F176" i="3"/>
  <c r="F158" i="3"/>
  <c r="D158" i="3"/>
  <c r="B158" i="3"/>
  <c r="A158" i="3"/>
  <c r="F150" i="3" l="1"/>
  <c r="D150" i="3"/>
  <c r="B150" i="3"/>
  <c r="A150" i="3"/>
  <c r="A132" i="3"/>
  <c r="F113" i="3" l="1"/>
  <c r="D113" i="3"/>
  <c r="B113" i="3"/>
  <c r="A113" i="3"/>
  <c r="F105" i="3"/>
  <c r="D105" i="3"/>
  <c r="B105" i="3"/>
  <c r="A105" i="3"/>
  <c r="F96" i="3"/>
  <c r="D96" i="3"/>
  <c r="B96" i="3"/>
  <c r="A96" i="3"/>
  <c r="B83" i="3"/>
  <c r="F83" i="3"/>
  <c r="D83" i="3"/>
  <c r="A83" i="3"/>
  <c r="D1" i="3"/>
  <c r="D65" i="3"/>
  <c r="B17" i="5" l="1"/>
  <c r="F65" i="3" l="1"/>
  <c r="B65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<sst xmlns="http://schemas.openxmlformats.org/spreadsheetml/2006/main" count="3022" uniqueCount="563">
  <si>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</si>
  <si>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</si>
  <si>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</si>
  <si>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</si>
  <si>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</si>
  <si>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</si>
  <si>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</si>
  <si>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</si>
  <si>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</si>
  <si>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</si>
  <si>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</si>
  <si>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</si>
  <si>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</si>
  <si>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</si>
  <si>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</si>
  <si>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</si>
  <si>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</si>
  <si>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</si>
  <si>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</si>
  <si>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</si>
  <si>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</si>
  <si>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</si>
  <si>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</si>
  <si>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</si>
  <si>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</si>
  <si>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</si>
  <si>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</si>
  <si>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</si>
  <si>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</si>
  <si>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</si>
  <si>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</si>
  <si>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</si>
  <si>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</si>
  <si>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</si>
  <si>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</si>
  <si>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</si>
  <si>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</si>
  <si>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</si>
  <si>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</si>
  <si>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</si>
  <si>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</si>
  <si>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</si>
  <si>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</si>
  <si>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</si>
  <si>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</si>
  <si>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</si>
  <si>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</si>
  <si>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</si>
  <si>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</si>
  <si>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</si>
  <si>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</si>
  <si>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</si>
  <si>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</si>
  <si>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</si>
  <si>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</si>
  <si>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</si>
  <si>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</si>
  <si>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</si>
  <si>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</si>
  <si>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</si>
  <si>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</si>
  <si>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</si>
  <si>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</si>
  <si>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</si>
  <si>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</si>
  <si>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</si>
  <si>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</si>
  <si>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</si>
  <si>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</si>
  <si>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</si>
  <si>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</si>
  <si>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</si>
  <si>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</si>
  <si>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</si>
  <si>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</si>
  <si>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</si>
  <si>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</si>
  <si>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UC02</t>
  </si>
  <si>
    <t>UC03</t>
  </si>
  <si>
    <t>Penale</t>
  </si>
  <si>
    <t>SIES</t>
  </si>
  <si>
    <t>V</t>
  </si>
  <si>
    <t>Verifica</t>
  </si>
  <si>
    <t>1.0</t>
  </si>
  <si>
    <t>Classe di Rilevanza (A, B, C)</t>
  </si>
  <si>
    <t>ID Requisito Padre</t>
  </si>
  <si>
    <t>ID Caso d'Uso</t>
  </si>
  <si>
    <t>Caso d'Uso</t>
  </si>
  <si>
    <t>Homepage</t>
  </si>
  <si>
    <t>Visualizzazione Pagina "Verifica Stato Pagamento Bollettini su PagoPA"</t>
  </si>
  <si>
    <t>ok</t>
  </si>
  <si>
    <t>Exxxxx (Ufficio di Sorveglianza)</t>
  </si>
  <si>
    <t>Riciclo Test</t>
  </si>
  <si>
    <t>R1</t>
  </si>
  <si>
    <t>10</t>
  </si>
  <si>
    <t>9</t>
  </si>
  <si>
    <t>8</t>
  </si>
  <si>
    <t>Procedere con la validazione del provvedimento</t>
  </si>
  <si>
    <t>7</t>
  </si>
  <si>
    <t>Apertura di una nuova finestra del browser e successiva Visualizzazione a video del documento associato alla Comunicazione</t>
  </si>
  <si>
    <t>Cliccare sull'Icona Stampa</t>
  </si>
  <si>
    <t>6</t>
  </si>
  <si>
    <t>Verificare che i dati visualizzati corrispondano a quelli confermati</t>
  </si>
  <si>
    <t>Modificare i dati di interesse e Confermare</t>
  </si>
  <si>
    <t>5</t>
  </si>
  <si>
    <r>
      <t xml:space="preserve">Cliccare sull'Icona </t>
    </r>
    <r>
      <rPr>
        <b/>
        <sz val="11"/>
        <rFont val="Calibri"/>
        <family val="2"/>
        <scheme val="minor"/>
      </rPr>
      <t>Modifica</t>
    </r>
  </si>
  <si>
    <t>4</t>
  </si>
  <si>
    <t>3</t>
  </si>
  <si>
    <t>2</t>
  </si>
  <si>
    <t>1</t>
  </si>
  <si>
    <t>Verificare che sulla pagina di Dettaglio non sia presente alcuna Icona o link per attivare altre azioni</t>
  </si>
  <si>
    <t>Visualizzazione pagina per indicare Anno e Numero Procedimento</t>
  </si>
  <si>
    <t>L'utente clicca su OK</t>
  </si>
  <si>
    <t>MEV 2023_35_SIUS_Riforma_Cartabia</t>
  </si>
  <si>
    <t>PAR. 3.1-035-01</t>
  </si>
  <si>
    <t xml:space="preserve">Verifica iscrizione procedimento di Applicazione Pene Sostitutive (art. 62 L. 689/81)  </t>
  </si>
  <si>
    <t>Verifica: Verificare che nel sottosistema SIUS a seguito iscrizione procedimento con contenuto Applicazione Pene Sostitutive (art. 62 L. 689/81)  venga inserito un nuovo procedimento SIUS</t>
  </si>
  <si>
    <t xml:space="preserve">L'utente effettua l'accesso al sistema SIUS come Ufficio di Sorveglianza </t>
  </si>
  <si>
    <t>L'utente si trova nella pagina di Home Page di SIUS</t>
  </si>
  <si>
    <t xml:space="preserve">Lato SIEP si è provveduto ad emettere e trasmettere un provvedimento per l'esecuzione di pene sostitutive </t>
  </si>
  <si>
    <t>selezionare la funzione Presa in carico atti pervenuti » Ricerca Atti per DATE 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</si>
  <si>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Lista Atti Ricevuti</t>
    </r>
  </si>
  <si>
    <t>Selezionare l'icona di Dettaglio per il record con Tipo Operazione = Trasferimento Pena Sostitutiva riferito al procedimento SIEP di cui sopra</t>
  </si>
  <si>
    <r>
      <t xml:space="preserve">Visualizzazione pagina </t>
    </r>
    <r>
      <rPr>
        <b/>
        <sz val="11"/>
        <rFont val="Calibri"/>
        <family val="2"/>
        <scheme val="minor"/>
      </rPr>
      <t>Dettaglio Pena Sostitutiva Ricevuta</t>
    </r>
  </si>
  <si>
    <r>
      <t xml:space="preserve"> Cliccare su </t>
    </r>
    <r>
      <rPr>
        <b/>
        <sz val="11"/>
        <rFont val="Calibri"/>
        <family val="2"/>
        <scheme val="minor"/>
      </rPr>
      <t>Conferma Presa in carico</t>
    </r>
  </si>
  <si>
    <t xml:space="preserve">Visualizzazione pagina Rapporto Trasferimento Pena Sostitutiva </t>
  </si>
  <si>
    <r>
      <t xml:space="preserve"> Cliccare su </t>
    </r>
    <r>
      <rPr>
        <b/>
        <sz val="11"/>
        <rFont val="Calibri"/>
        <family val="2"/>
        <scheme val="minor"/>
      </rPr>
      <t>Prosegui</t>
    </r>
  </si>
  <si>
    <r>
      <t xml:space="preserve">Visualizzazione pagina </t>
    </r>
    <r>
      <rPr>
        <b/>
        <sz val="11"/>
        <rFont val="Calibri"/>
        <family val="2"/>
        <scheme val="minor"/>
      </rPr>
      <t>Presa in carico Atto Pervenuto da SIEP</t>
    </r>
  </si>
  <si>
    <t>Verificare che siano riportati gli estremi del procedimento SIEP e che risultino precompilati i campi Tipo Atto, Data Atto, Mittente e Sede Mittente</t>
  </si>
  <si>
    <t xml:space="preserve">                                                                                                                                                                                             </t>
  </si>
  <si>
    <r>
      <t xml:space="preserve">Selezionare il contenuto </t>
    </r>
    <r>
      <rPr>
        <b/>
        <sz val="11"/>
        <rFont val="Calibri"/>
        <family val="2"/>
        <scheme val="minor"/>
      </rPr>
      <t xml:space="preserve">Applicazione Pene Sostitutive, </t>
    </r>
    <r>
      <rPr>
        <sz val="11"/>
        <rFont val="Calibri"/>
        <family val="2"/>
        <scheme val="minor"/>
      </rPr>
      <t xml:space="preserve">l'oggetto corrispondente alla </t>
    </r>
    <r>
      <rPr>
        <b/>
        <sz val="11"/>
        <rFont val="Calibri"/>
        <family val="2"/>
        <scheme val="minor"/>
      </rPr>
      <t xml:space="preserve">pena sostitutIva ricevuta, </t>
    </r>
    <r>
      <rPr>
        <sz val="11"/>
        <rFont val="Calibri"/>
        <family val="2"/>
        <scheme val="minor"/>
      </rPr>
      <t xml:space="preserve">valorizzare la </t>
    </r>
    <r>
      <rPr>
        <b/>
        <sz val="11"/>
        <rFont val="Calibri"/>
        <family val="2"/>
        <scheme val="minor"/>
      </rPr>
      <t>Data arrivo in cancelleri</t>
    </r>
    <r>
      <rPr>
        <sz val="11"/>
        <rFont val="Calibri"/>
        <family val="2"/>
        <scheme val="minor"/>
      </rPr>
      <t xml:space="preserve">a e </t>
    </r>
    <r>
      <rPr>
        <b/>
        <sz val="11"/>
        <rFont val="Calibri"/>
        <family val="2"/>
        <scheme val="minor"/>
      </rPr>
      <t>Magistrato</t>
    </r>
    <r>
      <rPr>
        <sz val="11"/>
        <rFont val="Calibri"/>
        <family val="2"/>
        <scheme val="minor"/>
      </rPr>
      <t xml:space="preserve"> e  cliccare su </t>
    </r>
    <r>
      <rPr>
        <b/>
        <sz val="11"/>
        <rFont val="Calibri"/>
        <family val="2"/>
        <scheme val="minor"/>
      </rPr>
      <t>Conferma</t>
    </r>
  </si>
  <si>
    <r>
      <t xml:space="preserve">Visualizzazione pagina </t>
    </r>
    <r>
      <rPr>
        <b/>
        <sz val="11"/>
        <rFont val="Calibri"/>
        <family val="2"/>
        <scheme val="minor"/>
      </rPr>
      <t>Dettaglio procedimento SIUS</t>
    </r>
  </si>
  <si>
    <r>
      <t>Verificare che i dati visualizzati siano uguali a quelli presenti nella precedente form di Inserimento e che al procedimento siano stati</t>
    </r>
    <r>
      <rPr>
        <b/>
        <sz val="11"/>
        <rFont val="Calibri"/>
        <family val="2"/>
        <scheme val="minor"/>
      </rPr>
      <t xml:space="preserve"> assegnati Anno e Progressivo nuovi</t>
    </r>
  </si>
  <si>
    <t>Verifica emissione ordinanza di Applicazione Pene Sostitutive</t>
  </si>
  <si>
    <t xml:space="preserve">selezionare la funzione Ordinanze » Emissione Ordinanza </t>
  </si>
  <si>
    <t>Digitare Anno e Numero del procedimento del precedente Test e Confermare</t>
  </si>
  <si>
    <r>
      <t>Visualizzazione pagina</t>
    </r>
    <r>
      <rPr>
        <b/>
        <sz val="11"/>
        <rFont val="Calibri"/>
        <family val="2"/>
        <scheme val="minor"/>
      </rPr>
      <t xml:space="preserve"> Emissione Ordinanza</t>
    </r>
  </si>
  <si>
    <r>
      <t>Digitare</t>
    </r>
    <r>
      <rPr>
        <b/>
        <sz val="11"/>
        <rFont val="Calibri"/>
        <family val="2"/>
        <scheme val="minor"/>
      </rPr>
      <t xml:space="preserve"> Data emissione</t>
    </r>
    <r>
      <rPr>
        <sz val="11"/>
        <rFont val="Calibri"/>
        <family val="2"/>
        <scheme val="minor"/>
      </rPr>
      <t xml:space="preserve">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</si>
  <si>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di Applicazione Pene Sostitutive </t>
    </r>
    <r>
      <rPr>
        <sz val="11"/>
        <rFont val="Calibri"/>
        <family val="2"/>
        <scheme val="minor"/>
      </rPr>
      <t>con parte dei dati già precompilati</t>
    </r>
  </si>
  <si>
    <r>
      <t xml:space="preserve">Compilare i campi obbligatori della form, impostando l'esito </t>
    </r>
    <r>
      <rPr>
        <b/>
        <sz val="11"/>
        <rFont val="Calibri"/>
        <family val="2"/>
        <scheme val="minor"/>
      </rPr>
      <t>Determina modalità di esecuzione,</t>
    </r>
    <r>
      <rPr>
        <sz val="11"/>
        <rFont val="Calibri"/>
        <family val="2"/>
        <scheme val="minor"/>
      </rPr>
      <t xml:space="preserve"> , e 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</si>
  <si>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Applicazione Pene Sostitutive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</si>
  <si>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Visualizzazione pagina </t>
    </r>
    <r>
      <rPr>
        <b/>
        <sz val="11"/>
        <rFont val="Calibri"/>
        <family val="2"/>
        <scheme val="minor"/>
      </rPr>
      <t>Modifica Ordinanza</t>
    </r>
    <r>
      <rPr>
        <sz val="11"/>
        <rFont val="Calibri"/>
        <family val="2"/>
        <scheme val="minor"/>
      </rPr>
      <t>, che permette la modifica della Data Emissione e dell'Esito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</si>
  <si>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Tipo</t>
    </r>
    <r>
      <rPr>
        <b/>
        <sz val="11"/>
        <rFont val="Calibri"/>
        <family val="2"/>
        <scheme val="minor"/>
      </rPr>
      <t xml:space="preserve"> Applicazione Pene Sostitutive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</si>
  <si>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Applicazione Pene Sostitutive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</si>
  <si>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Applicazione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</si>
  <si>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SIUS_OR_APPLPENASOST.rtf</t>
    </r>
  </si>
  <si>
    <r>
      <t xml:space="preserve">Cliccare sull'Icona </t>
    </r>
    <r>
      <rPr>
        <b/>
        <sz val="11"/>
        <rFont val="Calibri"/>
        <family val="2"/>
        <scheme val="minor"/>
      </rPr>
      <t>Cancellazione</t>
    </r>
  </si>
  <si>
    <t>Visualizzazione Messaggio per Conferma operazione</t>
  </si>
  <si>
    <t>Visualizzazione Messaggio di avvenuta cancellazione</t>
  </si>
  <si>
    <t>Verificare che nel Dettaglio Procedimento SIUS non sia presente l'ordinanza di Applicazione Pene Sostitutive</t>
  </si>
  <si>
    <t>Visualizzazione messaggio dell'avvenuta validazione e susseguente visualizzazione pagina di  Dettaglio Ordinanza</t>
  </si>
  <si>
    <t>Attività Accessorie</t>
  </si>
  <si>
    <t xml:space="preserve">Verifica iscrizione procedimento di Programma di trattamento per semilibertà sostitutiva </t>
  </si>
  <si>
    <t>PAR. 3.2-035-02</t>
  </si>
  <si>
    <t xml:space="preserve">Verifica emissione ordinanza di Programma di trattamento per semilibertà sostitutiva </t>
  </si>
  <si>
    <t>Verifica: Verificare nel sottosistema SIUS l'utilizzo della funzione "Ordinanza di Applicazione Pena Sostitutiva"</t>
  </si>
  <si>
    <t>Verifica: Verificare che nel sottosistema SIUS a seguito iscrizione procedimento con contenuto Programma di trattamento per semilibertà sostitutiva venga inserito un nuovo procedimento SIUS</t>
  </si>
  <si>
    <t>Verifica: Verificare nel sottosistema SIUS l'utilizzo della funzione "Ordinanza di Programma di trattamento per semilibertà sostitutiva "</t>
  </si>
  <si>
    <t>Proseguire con il Deposito dell'ordinanza e la relativa validazione ed effettuare la trasmissione al proprio Ufficio.</t>
  </si>
  <si>
    <t>L'utente si trova nella pagina di Dettaglio del Procedimento iscritto al test precedente</t>
  </si>
  <si>
    <r>
      <rPr>
        <sz val="11"/>
        <rFont val="Calibri"/>
        <family val="2"/>
        <scheme val="minor"/>
      </rPr>
      <t>selezionare nella tool bar  la funzione</t>
    </r>
    <r>
      <rPr>
        <b/>
        <sz val="11"/>
        <rFont val="Calibri"/>
        <family val="2"/>
        <scheme val="minor"/>
      </rPr>
      <t xml:space="preserve"> Iscrizione procedimento Collegato e attivarla</t>
    </r>
  </si>
  <si>
    <r>
      <t>Selezionare il contenuto Programma di trattamento per semilibertà sostitutiva</t>
    </r>
    <r>
      <rPr>
        <b/>
        <sz val="11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l'oggetto Approvazione Programma di trattamento per semilibertà sostitutiva (art. 55 L. 689/81)</t>
    </r>
    <r>
      <rPr>
        <b/>
        <sz val="11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 xml:space="preserve">valorizzare la </t>
    </r>
    <r>
      <rPr>
        <b/>
        <sz val="11"/>
        <rFont val="Calibri"/>
        <family val="2"/>
        <scheme val="minor"/>
      </rPr>
      <t>Data arrivo in cancelleri</t>
    </r>
    <r>
      <rPr>
        <sz val="11"/>
        <rFont val="Calibri"/>
        <family val="2"/>
        <scheme val="minor"/>
      </rPr>
      <t xml:space="preserve">a e </t>
    </r>
    <r>
      <rPr>
        <b/>
        <sz val="11"/>
        <rFont val="Calibri"/>
        <family val="2"/>
        <scheme val="minor"/>
      </rPr>
      <t>Magistrato</t>
    </r>
    <r>
      <rPr>
        <sz val="11"/>
        <rFont val="Calibri"/>
        <family val="2"/>
        <scheme val="minor"/>
      </rPr>
      <t xml:space="preserve"> e  cliccare su </t>
    </r>
    <r>
      <rPr>
        <b/>
        <sz val="11"/>
        <rFont val="Calibri"/>
        <family val="2"/>
        <scheme val="minor"/>
      </rPr>
      <t>Conferma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</si>
  <si>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Iscrizione Procedimento</t>
    </r>
    <r>
      <rPr>
        <sz val="11"/>
        <rFont val="Calibri"/>
        <family val="2"/>
        <scheme val="minor"/>
      </rPr>
      <t>, riportante gli estremi del procedimento SIEP di riferimento</t>
    </r>
  </si>
  <si>
    <t>L'utente collegato al sistema SIUS come Ufficio di Sorveglianza è posizionato sul Dettaglio del procedimento iscritto nel precedente Test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</si>
  <si>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di Programma di trattamento per semilibertà sostitutiva (art. 55 L. 689/81)  </t>
    </r>
    <r>
      <rPr>
        <sz val="11"/>
        <rFont val="Calibri"/>
        <family val="2"/>
        <scheme val="minor"/>
      </rPr>
      <t>con parte dei dati già precompilati</t>
    </r>
  </si>
  <si>
    <t>Ripetere passo 1 del test da Riga 19  a Riga 23 (reinserisce l'ordinanza)</t>
  </si>
  <si>
    <t>Compilare i campi obbligatori della form, impostando l'esito e gli eventuali campi accessori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</si>
  <si>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Programma di trattamento per semilibertà sostitutiva (art. 55 L. 689/81)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</si>
  <si>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Programma di trattamento per semilibertà sostitutiva (art. 55 L. 689/81)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</si>
  <si>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SIUS_OR_MODGENERICOUDS.rtf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</si>
  <si>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Tipo</t>
    </r>
    <r>
      <rPr>
        <b/>
        <sz val="11"/>
        <rFont val="Calibri"/>
        <family val="2"/>
        <scheme val="minor"/>
      </rPr>
      <t xml:space="preserve"> Programma di trattamento per semilibertà sostitutiva (art. 55 L. 689/81)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</si>
  <si>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Programma di trattamento per semilibertà sostitutiva (art. 55 L. 689/81)</t>
    </r>
  </si>
  <si>
    <t xml:space="preserve">Verificare che nel Dettaglio Procedimento SIUS non sia presente alcuna ordinanza </t>
  </si>
  <si>
    <t xml:space="preserve">Verifica emissione decreto di Programma di trattamento per semilibertà sostitutiva </t>
  </si>
  <si>
    <t>Verifica: Verificare nel sottosistema SIUS l'utilizzo della funzione "Decreto di Programma di trattamento per semilibertà sostitutiva "</t>
  </si>
  <si>
    <t>L'utente collegato al sistema SIUS come Ufficio di Sorveglianza è posizionato sul Dettaglio del procedimento del precedente Test</t>
  </si>
  <si>
    <t>selezionare la funzione Decreti » Emissione Decreto</t>
  </si>
  <si>
    <r>
      <t>Visualizzazione pagina</t>
    </r>
    <r>
      <rPr>
        <b/>
        <sz val="11"/>
        <rFont val="Calibri"/>
        <family val="2"/>
        <scheme val="minor"/>
      </rPr>
      <t xml:space="preserve"> Emissione Decreto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</si>
  <si>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di Programma di trattamento per semilibertà sostitutiva (art. 55 L. 689/81)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</si>
  <si>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Programma di trattamento per semilibertà sostitutiva (art. 55 L. 689/81)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</si>
  <si>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Programma di trattamento per semilibertà sostitutiva (art. 55 L. 689/81)</t>
    </r>
  </si>
  <si>
    <r>
      <t xml:space="preserve">Visualizzazione pagina </t>
    </r>
    <r>
      <rPr>
        <b/>
        <sz val="11"/>
        <rFont val="Calibri"/>
        <family val="2"/>
        <scheme val="minor"/>
      </rPr>
      <t>Modifica Decreto</t>
    </r>
    <r>
      <rPr>
        <sz val="11"/>
        <rFont val="Calibri"/>
        <family val="2"/>
        <scheme val="minor"/>
      </rPr>
      <t>, che permette la modifica della Data Emissione e dell'Esito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</si>
  <si>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</t>
    </r>
    <r>
      <rPr>
        <sz val="11"/>
        <rFont val="Calibri"/>
        <family val="2"/>
        <scheme val="minor"/>
      </rPr>
      <t>Tipo</t>
    </r>
    <r>
      <rPr>
        <b/>
        <sz val="11"/>
        <rFont val="Calibri"/>
        <family val="2"/>
        <scheme val="minor"/>
      </rPr>
      <t xml:space="preserve"> Programma di trattamento per semilibertà sostitutiva (art. 55 L. 689/81)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</si>
  <si>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Programma di trattamento per semilibertà sostitutiva (art. 55 L. 689/81)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</si>
  <si>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SIUS_DE_MODGENERICO.rtf</t>
    </r>
  </si>
  <si>
    <t>Visualizzazione messaggio dell'avvenuta validazione e susseguente visualizzazione pagina di  Dettaglio Decreto</t>
  </si>
  <si>
    <t>Attività Accessorie (opzionali)</t>
  </si>
  <si>
    <t>Proseguire con il Deposito dell'ordinanza e la relativa validazione per impostare lo stato del Procedimento ad "Emesso Provvedimento".</t>
  </si>
  <si>
    <t>PAR. 3.3-035-03</t>
  </si>
  <si>
    <t xml:space="preserve">Verifica iscrizione procedimento di Esecuzione Pena sostitutiva </t>
  </si>
  <si>
    <t>Verifica: Verificare che nel sottosistema SIUS a seguito iscrizione procedimento con contenuto Esecuzione Pena Sostitutiva venga inserito un nuovo procedimento SIUS</t>
  </si>
  <si>
    <t>Selezionare l'icona di Dettaglio per il record con Tipo Operazione = Trasferimento Ordinanza relativa al procedimenti di Applicazione Pena Sostituiva emessa dallo stesso Ufficio (vedi TF001.UC02)</t>
  </si>
  <si>
    <r>
      <t xml:space="preserve">Visualizzazione pagina </t>
    </r>
    <r>
      <rPr>
        <b/>
        <sz val="11"/>
        <rFont val="Calibri"/>
        <family val="2"/>
        <scheme val="minor"/>
      </rPr>
      <t>Dettaglio Ordinanza Ricevuta</t>
    </r>
  </si>
  <si>
    <r>
      <t xml:space="preserve">Visualizzazione messaggio </t>
    </r>
    <r>
      <rPr>
        <b/>
        <sz val="11"/>
        <rFont val="Calibri"/>
        <family val="2"/>
        <scheme val="minor"/>
      </rPr>
      <t>Ricezione Ordinanza Completata e Esito rispedito al Mittente. Iscrivere il procedimento Sius!       OK</t>
    </r>
  </si>
  <si>
    <t xml:space="preserve"> Cliccare su OK</t>
  </si>
  <si>
    <r>
      <t xml:space="preserve">Visualizzazione pagina </t>
    </r>
    <r>
      <rPr>
        <b/>
        <sz val="11"/>
        <rFont val="Calibri"/>
        <family val="2"/>
        <scheme val="minor"/>
      </rPr>
      <t>Presa in carico Atto Pervenuto da SIUS</t>
    </r>
  </si>
  <si>
    <r>
      <t xml:space="preserve">Selezionare il contenuto </t>
    </r>
    <r>
      <rPr>
        <b/>
        <sz val="11"/>
        <rFont val="Calibri"/>
        <family val="2"/>
        <scheme val="minor"/>
      </rPr>
      <t xml:space="preserve">Esecuzione Pene Sostitutive, </t>
    </r>
    <r>
      <rPr>
        <sz val="11"/>
        <rFont val="Calibri"/>
        <family val="2"/>
        <scheme val="minor"/>
      </rPr>
      <t xml:space="preserve">l'oggetto corrispondente alla </t>
    </r>
    <r>
      <rPr>
        <b/>
        <sz val="11"/>
        <rFont val="Calibri"/>
        <family val="2"/>
        <scheme val="minor"/>
      </rPr>
      <t xml:space="preserve">pena sostitutIva ricevuta, </t>
    </r>
    <r>
      <rPr>
        <sz val="11"/>
        <rFont val="Calibri"/>
        <family val="2"/>
        <scheme val="minor"/>
      </rPr>
      <t>verificare che siano valorizzati i campi Anno e Numero Ordinanza,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valorizzare la </t>
    </r>
    <r>
      <rPr>
        <b/>
        <sz val="11"/>
        <rFont val="Calibri"/>
        <family val="2"/>
        <scheme val="minor"/>
      </rPr>
      <t>Data arrivo in cancelleri</t>
    </r>
    <r>
      <rPr>
        <sz val="11"/>
        <rFont val="Calibri"/>
        <family val="2"/>
        <scheme val="minor"/>
      </rPr>
      <t xml:space="preserve">a e </t>
    </r>
    <r>
      <rPr>
        <b/>
        <sz val="11"/>
        <rFont val="Calibri"/>
        <family val="2"/>
        <scheme val="minor"/>
      </rPr>
      <t>Magistrato</t>
    </r>
    <r>
      <rPr>
        <sz val="11"/>
        <rFont val="Calibri"/>
        <family val="2"/>
        <scheme val="minor"/>
      </rPr>
      <t xml:space="preserve"> e  cliccare su </t>
    </r>
    <r>
      <rPr>
        <b/>
        <sz val="11"/>
        <rFont val="Calibri"/>
        <family val="2"/>
        <scheme val="minor"/>
      </rPr>
      <t>Conferma</t>
    </r>
  </si>
  <si>
    <r>
      <t>Verificare che i dati visualizzati siano uguali a quelli presenti nella precedente form di Inserimento e che al procedimento siano stati</t>
    </r>
    <r>
      <rPr>
        <b/>
        <sz val="11"/>
        <rFont val="Calibri"/>
        <family val="2"/>
        <scheme val="minor"/>
      </rPr>
      <t xml:space="preserve"> assegnati Anno e Progressivo nuovi</t>
    </r>
    <r>
      <rPr>
        <sz val="11"/>
        <rFont val="Calibri"/>
        <family val="2"/>
        <scheme val="minor"/>
      </rPr>
      <t xml:space="preserve"> e che sia presente la descrizione</t>
    </r>
    <r>
      <rPr>
        <b/>
        <sz val="11"/>
        <color rgb="FF00B050"/>
        <rFont val="Calibri"/>
        <family val="2"/>
        <scheme val="minor"/>
      </rPr>
      <t xml:space="preserve"> Numero Procedimento E.P.S. -   AAAA/NNNNNN   (Esecuzione Pene Sostitutive) </t>
    </r>
  </si>
  <si>
    <r>
      <t xml:space="preserve">Cliccare su </t>
    </r>
    <r>
      <rPr>
        <b/>
        <sz val="11"/>
        <color rgb="FF00B050"/>
        <rFont val="Calibri"/>
        <family val="2"/>
        <scheme val="minor"/>
      </rPr>
      <t>AAAA/NNNNNN</t>
    </r>
  </si>
  <si>
    <r>
      <t xml:space="preserve">Visualizzazione pagina </t>
    </r>
    <r>
      <rPr>
        <b/>
        <sz val="11"/>
        <rFont val="Calibri"/>
        <family val="2"/>
        <scheme val="minor"/>
      </rPr>
      <t>Elenco  procedimenti relativi all'Esecuzione della Pena Sostitutiva</t>
    </r>
  </si>
  <si>
    <t>Verificare che siano riportati i dati del procedimento di E.P.S. (anno/numero, tipo pena sostitutiva, estremi dell'ordinanza di applicazione, Soggetto, estremi procedimento SIEP, Data inizio pena sostitutiva, Date termine, durata e luogo esecuzione) e l'elenco dei procedimenti relativi alla gestione dei vari atti che afferiscono all'esecuzione.</t>
  </si>
  <si>
    <t>Verifica funzione Inizio/Ripresa Pena Sostitutiva</t>
  </si>
  <si>
    <t>Verifica: Verificare la corretta valorizzazione della data Inizio e Temine Pena Sostitutiva a seguito dell'utilizzo funzione Inizio/Ripresa Pena Sostitutiva</t>
  </si>
  <si>
    <t xml:space="preserve">L'utente è collegato al sistema SIUS come Ufficio di Sorveglianza </t>
  </si>
  <si>
    <t>L'utente è posizionato sul Dettaglio del procedimento SIUS del precedente Test</t>
  </si>
  <si>
    <t>Visualizzazione pagina "Dettaglio Procedimento SIUS"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</si>
  <si>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Inizio/Ripresa Pena Sostitutiva</t>
    </r>
  </si>
  <si>
    <r>
      <rPr>
        <sz val="11"/>
        <rFont val="Calibri"/>
        <family val="2"/>
        <scheme val="minor"/>
      </rPr>
      <t xml:space="preserve"> dalla toolbar delle funzioni selezionare la</t>
    </r>
    <r>
      <rPr>
        <b/>
        <sz val="11"/>
        <rFont val="Calibri"/>
        <family val="2"/>
        <scheme val="minor"/>
      </rPr>
      <t xml:space="preserve"> funzione Inizio/Ripresa Pena Sostitutiva </t>
    </r>
    <r>
      <rPr>
        <sz val="11"/>
        <rFont val="Calibri"/>
        <family val="2"/>
        <scheme val="minor"/>
      </rPr>
      <t xml:space="preserve">e </t>
    </r>
    <r>
      <rPr>
        <b/>
        <sz val="11"/>
        <rFont val="Calibri"/>
        <family val="2"/>
        <scheme val="minor"/>
      </rPr>
      <t>Avviarla</t>
    </r>
  </si>
  <si>
    <r>
      <t xml:space="preserve">Valorizzare campi </t>
    </r>
    <r>
      <rPr>
        <b/>
        <sz val="11"/>
        <rFont val="Calibri"/>
        <family val="2"/>
        <scheme val="minor"/>
      </rPr>
      <t>Data Inizio Esecuzione</t>
    </r>
    <r>
      <rPr>
        <sz val="11"/>
        <rFont val="Calibri"/>
        <family val="2"/>
        <scheme val="minor"/>
      </rPr>
      <t xml:space="preserve"> e</t>
    </r>
    <r>
      <rPr>
        <b/>
        <sz val="11"/>
        <rFont val="Calibri"/>
        <family val="2"/>
        <scheme val="minor"/>
      </rPr>
      <t xml:space="preserve"> Autorità Competente</t>
    </r>
    <r>
      <rPr>
        <sz val="11"/>
        <rFont val="Calibri"/>
        <family val="2"/>
        <scheme val="minor"/>
      </rPr>
      <t xml:space="preserve"> che ha inviato il verbale e </t>
    </r>
    <r>
      <rPr>
        <b/>
        <sz val="11"/>
        <rFont val="Calibri"/>
        <family val="2"/>
        <scheme val="minor"/>
      </rPr>
      <t>Confermare</t>
    </r>
  </si>
  <si>
    <t xml:space="preserve">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</si>
  <si>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Valida Inizio Pena Sostitutiva </t>
    </r>
    <r>
      <rPr>
        <sz val="11"/>
        <rFont val="Calibri"/>
        <family val="2"/>
        <scheme val="minor"/>
      </rPr>
      <t>con</t>
    </r>
    <r>
      <rPr>
        <b/>
        <sz val="11"/>
        <rFont val="Calibri"/>
        <family val="2"/>
        <scheme val="minor"/>
      </rPr>
      <t xml:space="preserve"> Data Fine Pena calcolata da Sistema</t>
    </r>
    <r>
      <rPr>
        <sz val="11"/>
        <rFont val="Calibri"/>
        <family val="2"/>
        <scheme val="minor"/>
      </rPr>
      <t xml:space="preserve"> e tasto per conferma validazione della data</t>
    </r>
  </si>
  <si>
    <r>
      <t xml:space="preserve"> Cliccare su </t>
    </r>
    <r>
      <rPr>
        <b/>
        <sz val="11"/>
        <rFont val="Calibri"/>
        <family val="2"/>
        <scheme val="minor"/>
      </rPr>
      <t>Valida Scadenza</t>
    </r>
  </si>
  <si>
    <r>
      <t xml:space="preserve">Visualizzazione </t>
    </r>
    <r>
      <rPr>
        <b/>
        <sz val="11"/>
        <rFont val="Calibri"/>
        <family val="2"/>
        <scheme val="minor"/>
      </rPr>
      <t>Dettaglio Inizio Pena Sostitutiva</t>
    </r>
  </si>
  <si>
    <t>Verificare che i dati riportati corrispondano con quelli confermati</t>
  </si>
  <si>
    <t>Le date Inizio e fine Pena sono visibili nella pagina visualizzata dal sistema, cliccando nel Dettaglio Procedimento SIUS su Anno e Numero procedimento di E.P.S.</t>
  </si>
  <si>
    <t>PAR. 3.4-035-04</t>
  </si>
  <si>
    <t xml:space="preserve">Verifica iscrizione procedimento di Sospensione Esecuzione Pene Sostitutive </t>
  </si>
  <si>
    <t>Verifica: Verificare che nel sottosistema SIUS a seguito iscrizione procedimento con contenuto Sospensione Esecuzione Pene Sostitutive venga inserito un nuovo procedimento SIUS</t>
  </si>
  <si>
    <t>L'utente è posizionato sul Dettaglio del procedimento SIUS di E.P.S. del Test TF003.UC01</t>
  </si>
  <si>
    <t>Cliccare su azione di Iscrizione (Foglio Bianco)</t>
  </si>
  <si>
    <r>
      <t>Visualizzazione pagina</t>
    </r>
    <r>
      <rPr>
        <b/>
        <sz val="11"/>
        <rFont val="Calibri"/>
        <family val="2"/>
        <scheme val="minor"/>
      </rPr>
      <t xml:space="preserve"> Iscrizione Procedimento da Soggetto, </t>
    </r>
    <r>
      <rPr>
        <sz val="11"/>
        <rFont val="Calibri"/>
        <family val="2"/>
        <scheme val="minor"/>
      </rPr>
      <t xml:space="preserve">in cui risultano già precompilati </t>
    </r>
    <r>
      <rPr>
        <b/>
        <sz val="11"/>
        <rFont val="Calibri"/>
        <family val="2"/>
        <scheme val="minor"/>
      </rPr>
      <t>Anno e Progressivo Procedimenti di E.P.S.</t>
    </r>
  </si>
  <si>
    <r>
      <t>Verificare che i dati visualizzati siano uguali a quelli presenti nella precedente form di Inserimento e che al procedimento siano stati</t>
    </r>
    <r>
      <rPr>
        <b/>
        <sz val="11"/>
        <rFont val="Calibri"/>
        <family val="2"/>
        <scheme val="minor"/>
      </rPr>
      <t xml:space="preserve"> assegnati Anno e Progressivo nuovi</t>
    </r>
    <r>
      <rPr>
        <sz val="11"/>
        <rFont val="Calibri"/>
        <family val="2"/>
        <scheme val="minor"/>
      </rPr>
      <t xml:space="preserve"> e che sia presente la descrizione</t>
    </r>
    <r>
      <rPr>
        <b/>
        <sz val="11"/>
        <color rgb="FF00B050"/>
        <rFont val="Calibri"/>
        <family val="2"/>
        <scheme val="minor"/>
      </rPr>
      <t xml:space="preserve"> Numero Procedimento E.P.S. -   AAAA/NNNNNN   (Esecuzione Pene Sostitutive) </t>
    </r>
    <r>
      <rPr>
        <sz val="11"/>
        <rFont val="Calibri"/>
        <family val="2"/>
        <scheme val="minor"/>
      </rPr>
      <t xml:space="preserve"> con il valore del procedimento di E.P.S. da cui è stata avviata l'iscrizione</t>
    </r>
  </si>
  <si>
    <t xml:space="preserve">Verifica emissione ordinanza di Sospensione Esecuzione Pene Sostitutive </t>
  </si>
  <si>
    <t>Verifica: Verificare nel sottosistema SIUS l'utilizzo della funzione "Ordinanza di Sospensione Esecuzione Pene Sostitutive "</t>
  </si>
  <si>
    <t>L'utente collegato al sistema SIUS come Ufficio di Sorveglianza è posizionato sul Dettaglio del procedimento iscritto nel precedente Test TF004.UC01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</si>
  <si>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Sospensione Pena Sostitutiva  </t>
    </r>
    <r>
      <rPr>
        <sz val="11"/>
        <rFont val="Calibri"/>
        <family val="2"/>
        <scheme val="minor"/>
      </rPr>
      <t>con parte dei dati già precompilati</t>
    </r>
  </si>
  <si>
    <t>Compilare i campi obbligatori della form, impostando l'esito, la data decorrenza sospensione e il periodo o la data termine sospensione, gli eventuali campi accessori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</si>
  <si>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Ordinanza Sospensione Esecuzione Pene Sostitutive)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</si>
  <si>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Sospensione Esecuzione Pene Sostitutive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</si>
  <si>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Tipo</t>
    </r>
    <r>
      <rPr>
        <b/>
        <sz val="11"/>
        <rFont val="Calibri"/>
        <family val="2"/>
        <scheme val="minor"/>
      </rPr>
      <t xml:space="preserve"> Ordinanza Sospensione Esecuzione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</si>
  <si>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SIUS_OR_MODGENERICOPS.rtf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</si>
  <si>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Sospensione Esecuzione Pene Sostitutive</t>
    </r>
  </si>
  <si>
    <t>L'utente collegato al sistema SIUS come Ufficio di Sorveglianza ed è posizionato sul Dettaglio del procedimento del precedente Test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</si>
  <si>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Sospensione Esecuzione Pene Sostitutive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</si>
  <si>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Sospensione Esecuzione Pene Sostitutive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</si>
  <si>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Sospensione Esecuzione Pene Sostitutive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</si>
  <si>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</t>
    </r>
    <r>
      <rPr>
        <sz val="11"/>
        <rFont val="Calibri"/>
        <family val="2"/>
        <scheme val="minor"/>
      </rPr>
      <t>Sospensione Esecuzione Pene Sostitutive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</si>
  <si>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Sospensione Esecuzione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</si>
  <si>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SIUS_DE_MODGENERICOPS.rtf</t>
    </r>
  </si>
  <si>
    <t xml:space="preserve">Verifica emissione decreto di Sospensione Esecuzione Pene Sostitutive </t>
  </si>
  <si>
    <t xml:space="preserve">Verifica iscrizione procedimento di Autorizzazione Pene Sostitutive   </t>
  </si>
  <si>
    <t>Verifica: Verificare che nel sottosistema SIUS a seguito iscrizione procedimento con contenuto Autorizzazione Pene Sostitutive venga inserito un nuovo procedimento SIUS</t>
  </si>
  <si>
    <t xml:space="preserve">Verifica emissione decreto di Autorizzazione Pene Sostitutive   </t>
  </si>
  <si>
    <t>L'utente collegato al sistema SIUS come Ufficio di Sorveglianza, è posizionato sul Dettaglio del procedimento del precedente Test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</si>
  <si>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Autorizzazione Pene Sostitutive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</si>
  <si>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Autorizzazione Pene Sostitutive 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</si>
  <si>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Autorizzazione Pene Sostitutive 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</si>
  <si>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 xml:space="preserve">Autorizzazione Pene Sostitutive </t>
    </r>
  </si>
  <si>
    <t>Compilare i campi obbligatori della form, impostando l'esito, l gli eventuali campi accessori e Confermare</t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</si>
  <si>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SIUS_DE_AUTORIZZAGENERICOPS.rtf</t>
    </r>
  </si>
  <si>
    <t>PAR. 3.5-035-05</t>
  </si>
  <si>
    <t>PAR. 3.6-035-06</t>
  </si>
  <si>
    <t>Verifica: Verificare nel sottosistema SIUS l'utilizzo della funzione "Decreto Autorizzazione Pene Sostitutive"</t>
  </si>
  <si>
    <t xml:space="preserve">Verifica iscrizione procedimento di Modifica Modalità di esecuzione Pene Sostitutive </t>
  </si>
  <si>
    <t>Verifica: Verificare che nel sottosistema SIUS a seguito iscrizione procedimento con contenuto Modifica Modalità di esecuzione Pene Sostitutive  venga inserito un nuovo procedimento SIUS</t>
  </si>
  <si>
    <t xml:space="preserve">Verifica emissione decreto di Modifica Modalità di esecuzione Pene Sostitutive </t>
  </si>
  <si>
    <t>Verifica: Verificare nel sottosistema SIUS l'utilizzo della funzione "Decreto Modifica Modalità di esecuzione Pene Sostitutive 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</si>
  <si>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Modifica modalità di esecuzione/luogo esecuzione pene sostitutive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</si>
  <si>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Modifica modalità di esecuzione/luogo esecuzione pene sostitutive   </t>
    </r>
    <r>
      <rPr>
        <sz val="11"/>
        <rFont val="Calibri"/>
        <family val="2"/>
        <scheme val="minor"/>
      </rPr>
      <t>con parte dei dati già precompilati</t>
    </r>
  </si>
  <si>
    <t>Compilare i campi obbligatori della form, impostando l'esito,  gli eventuali campi accessori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</si>
  <si>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DecretoModifica modalità di esecuzione/luogo esecuzione pene sostitutive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</si>
  <si>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Modifica modalità di esecuzione/luogo esecuzione pene sostitutive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</si>
  <si>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Modifica modalità di esecuzione/luogo esecuzione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</si>
  <si>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SIUS_DE_MODLUOESEDDPS.rtf</t>
    </r>
  </si>
  <si>
    <t>PAR. 3.7-035-07</t>
  </si>
  <si>
    <t>Verifica: Verificare nel sottosistema SIUS l'utilizzo della funzione "Decreto Sospensione Esecuzione Pene Sostitutive"</t>
  </si>
  <si>
    <t xml:space="preserve">Verifica iscrizione procedimento di Revoca Autorizzazione/Modifica Prescrizioni Pene Sostitutive </t>
  </si>
  <si>
    <t>Verifica: Verificare che nel sottosistema SIUS a seguito iscrizione procedimento con contenutoRevoca Autorizzazione/Modifica Prescrizioni Pene Sostitutive  venga inserito un nuovo procedimento SIUS</t>
  </si>
  <si>
    <t xml:space="preserve">Verifica emissione ordinanza di Revoca Autorizzazione/Modifica Prescrizioni Pene Sostitutive </t>
  </si>
  <si>
    <t xml:space="preserve">Verifica emissione decreto di Revoca Autorizzazione/Modifica Prescrizioni Pene Sostitutive </t>
  </si>
  <si>
    <t>Verifica: Verificare nel sottosistema SIUS l'utilizzo della funzione "Decreto Revoca Autorizzazione/Modifica Prescrizioni Pene Sostitutive "</t>
  </si>
  <si>
    <t>Verifica: Verificare nel sottosistema SIUS l'utilizzo della funzione "Ordinanza Revoca Autorizzazione/Modifica Prescrizioni Pene Sostitutive  "</t>
  </si>
  <si>
    <t xml:space="preserve">L'utente collegato al sistema SIUS come Ufficio di Sorveglianza è posizionato sul Dettaglio del procedimento iscritto nel precedente Test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</si>
  <si>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Revoca Autorizzazione/Modifica Prescrizioni Pene Sostitutive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</si>
  <si>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Ordinanza Revoca Autorizzazione/Modifica Prescrizioni Pene Sostitutive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</si>
  <si>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 xml:space="preserve">Ordinanza Revoca Autorizzazione/Modifica Prescrizioni Pene Sostitutive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</si>
  <si>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Tipo</t>
    </r>
    <r>
      <rPr>
        <b/>
        <sz val="11"/>
        <rFont val="Calibri"/>
        <family val="2"/>
        <scheme val="minor"/>
      </rPr>
      <t xml:space="preserve"> Ordinanza Revoca Autorizzazione/Modifica Prescrizioni Pene Sostitutive 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</si>
  <si>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 xml:space="preserve">Ordinanza Revoca Autorizzazione/Modifica Prescrizioni Pene Sostitutive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</si>
  <si>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Revoca Autorizzazione/Modifica Prescrizioni Pene Sostitutive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</si>
  <si>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Revoca Autorizzazione/Modifica Prescrizioni Pene Sostitutive   </t>
    </r>
    <r>
      <rPr>
        <sz val="11"/>
        <rFont val="Calibri"/>
        <family val="2"/>
        <scheme val="minor"/>
      </rPr>
      <t>con icone di Stampa, Upload, Modifica e Cancellazione</t>
    </r>
  </si>
  <si>
    <t>PAR. 3.8-035-08</t>
  </si>
  <si>
    <t>Verifica iscrizione procedimento di Revoca Pene Sostitutive (artt. 66, 108 L. 689/81)</t>
  </si>
  <si>
    <t>Verifica: Verificare che nel sottosistema SIUS a seguito iscrizione procedimento con contenuto Revoca Pene Sostitutive (artt. 66, 108 L. 689/81) venga inserito un nuovo procedimento SIUS</t>
  </si>
  <si>
    <t>Verifica emissione ordinanza di Revoca Pene Sostitutive (artt. 66, 108 L. 689/81)</t>
  </si>
  <si>
    <t>Verifica: Verificare nel sottosistema SIUS l'utilizzo della funzione "Ordinanza Revoca Pene Sostitutive (artt. 66, 108 L. 689/81)"</t>
  </si>
  <si>
    <t xml:space="preserve">L'utente collegato al sistema SIUS come Ufficio di Sorveglianza ed è posizionato sul Dettaglio del procedimento iscritto nel precedente Test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</si>
  <si>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Revoca Pene Sostitutive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</si>
  <si>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Ordinanza Revoca Pene Sostitutive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</si>
  <si>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 xml:space="preserve">Ordinanza Revoca Pene Sostitutive 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</si>
  <si>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SIUS_OR_REVOPENSOS.rtf</t>
    </r>
  </si>
  <si>
    <t>PAR. 3.9-035-09</t>
  </si>
  <si>
    <t>Verifica iscrizione procedimento di Revoca Pene Sostitutive (art. 72 L. 689/81)</t>
  </si>
  <si>
    <t>Verifica: Verificare che nel sottosistema SIUS a seguito iscrizione procedimento con contenuto Revoca Pene Sostitutive  (art. 72 L. 689/81) venga inserito un nuovo procedimento SIUS</t>
  </si>
  <si>
    <t>Verifica emissione ordinanza di Revoca Pene Sostitutive  (art. 72 L. 689/81)</t>
  </si>
  <si>
    <t>Verifica: Verificare nel sottosistema SIUS l'utilizzo della funzione "Ordinanza Revoca Pene Sostitutive  (art. 72 L. 689/81)"</t>
  </si>
  <si>
    <t>PAR. 3.10-035-10</t>
  </si>
  <si>
    <t>Verifica iscrizione procedimento di Reclamo avverso Revoca Pena Sostitutiva    (TDS)</t>
  </si>
  <si>
    <t>Verifica: Verificare che nel sottosistema SIUS a seguito iscrizione procedimento con contenuto Reclamo avverso Revoca Pena Sostitutiva  venga inserito un nuovo procedimento SIUS</t>
  </si>
  <si>
    <t>Verifica emissione ordinanza di Reclamo avverso Revoca Pena Sostitutiva   (TDS)</t>
  </si>
  <si>
    <t>Verifica: Verificare nel sottosistema SIUS l'utilizzo della funzione "Ordinanza Reclamo avverso Revoca Pena Sostitutiva"</t>
  </si>
  <si>
    <r>
      <t xml:space="preserve">L'utente è collegato al sistema SIUS come </t>
    </r>
    <r>
      <rPr>
        <b/>
        <sz val="11"/>
        <rFont val="Calibri"/>
        <family val="2"/>
        <scheme val="minor"/>
      </rPr>
      <t>Tribunale</t>
    </r>
    <r>
      <rPr>
        <sz val="11"/>
        <rFont val="Calibri"/>
        <family val="2"/>
        <scheme val="minor"/>
      </rPr>
      <t xml:space="preserve"> di Sorveglianza </t>
    </r>
  </si>
  <si>
    <t>Dxxxxx (Tribunale di Sorveglianza)</t>
  </si>
  <si>
    <r>
      <t xml:space="preserve">Selezionare </t>
    </r>
    <r>
      <rPr>
        <b/>
        <sz val="11"/>
        <rFont val="Calibri"/>
        <family val="2"/>
        <scheme val="minor"/>
      </rPr>
      <t xml:space="preserve">Ricerche e Visualizzazioni » Procedimento per n° SIUS </t>
    </r>
  </si>
  <si>
    <r>
      <t xml:space="preserve">Visualizzazione pagina </t>
    </r>
    <r>
      <rPr>
        <b/>
        <sz val="11"/>
        <rFont val="Calibri"/>
        <family val="2"/>
        <scheme val="minor"/>
      </rPr>
      <t>per indicare Anno e Numero Procedimento da ricercare</t>
    </r>
  </si>
  <si>
    <t>Digitare Anno e Progressivo del procedimento del precedente Test, impostando Tipo Ufficio = Ufficio di Sorveglianza e Confermare</t>
  </si>
  <si>
    <r>
      <t>Dalla toolbar delle funzioni, selezionare</t>
    </r>
    <r>
      <rPr>
        <b/>
        <sz val="11"/>
        <rFont val="Calibri"/>
        <family val="2"/>
        <scheme val="minor"/>
      </rPr>
      <t xml:space="preserve"> Iscrizione Procedimento Collegato</t>
    </r>
    <r>
      <rPr>
        <sz val="11"/>
        <rFont val="Calibri"/>
        <family val="2"/>
        <scheme val="minor"/>
      </rPr>
      <t xml:space="preserve"> e Avviare</t>
    </r>
  </si>
  <si>
    <r>
      <t>Visualizzazione pagina</t>
    </r>
    <r>
      <rPr>
        <b/>
        <sz val="11"/>
        <rFont val="Calibri"/>
        <family val="2"/>
        <scheme val="minor"/>
      </rPr>
      <t xml:space="preserve"> Iscrizione Procedimento 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</si>
  <si>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Reclamo avverso Revoca Pena Sostitutiva  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</si>
  <si>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>Verificare che i dati visualizzati siano uguali a quelli presenti nella precedente form di Inserimento e che al procedimento siano stati</t>
    </r>
    <r>
      <rPr>
        <b/>
        <sz val="11"/>
        <rFont val="Calibri"/>
        <family val="2"/>
        <scheme val="minor"/>
      </rPr>
      <t xml:space="preserve"> assegnati Anno e Progressivo nuovi</t>
    </r>
    <r>
      <rPr>
        <sz val="11"/>
        <rFont val="Calibri"/>
        <family val="2"/>
        <scheme val="minor"/>
      </rPr>
      <t xml:space="preserve"> e che siano presenti gli estremi del procedimento dell'UDS collegato da cui è stata avviata l'iscrizione</t>
    </r>
  </si>
  <si>
    <t>L'utente dopo aver prefissato una udienza per il  procedimento SIUS del precedente Test, si è posizionato sul Dettaglio procedimento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</si>
  <si>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Reclamo avverso Revoca Pena Sostitutiva  </t>
    </r>
    <r>
      <rPr>
        <sz val="11"/>
        <rFont val="Calibri"/>
        <family val="2"/>
        <scheme val="minor"/>
      </rPr>
      <t>con parte dei dati già precompilati</t>
    </r>
  </si>
  <si>
    <t>Compilare i campi obbligatori della form, impostando l'esito e gli altri eventuali campi presenti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</si>
  <si>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Reclamo avverso Revoca Pena Sostitutiva 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</si>
  <si>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SIUS_OR_RECLREVPENSOS.rtf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</si>
  <si>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Reclamo avverso Revoca Pena Sostitutiva</t>
    </r>
  </si>
  <si>
    <t>PAR. 3.11-035-11</t>
  </si>
  <si>
    <t xml:space="preserve">Verifica iscrizione procedimento di Diffida al puntuale rispetto delle prescrizioni – pene sostitutive </t>
  </si>
  <si>
    <t>Verifica: Verificare che nel sottosistema SIUS a seguito iscrizione procedimento con contenuto Diffida al puntuale rispetto delle prescrizioni – pene sostitutive  venga inserito un nuovo procedimento SIUS</t>
  </si>
  <si>
    <t xml:space="preserve">Verifica emissione decreto di Diffida al puntuale rispetto delle prescrizioni – pene sostitutive  </t>
  </si>
  <si>
    <t>Verifica: Verificare nel sottosistema SIUS l'utilizzo della funzione "Decreto Diffida al puntuale rispetto delle prescrizioni – pene sostitutive "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</si>
  <si>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Diffida al puntuale rispetto delle prescrizioni – pene sostitutive 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</si>
  <si>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Decreto Diffida al puntuale rispetto delle prescrizioni – pene sostitutive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</si>
  <si>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Diffida al puntuale rispetto delle prescrizioni – pene sostitutive 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</si>
  <si>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SIUS_DE_DIFFIDARISPPRESCRPS.rtf</t>
    </r>
  </si>
  <si>
    <t>PAR. 3.12-035-12</t>
  </si>
  <si>
    <t xml:space="preserve">Verifica iscrizione procedimento di Licenza - pene sostitutive (art. 69 L. 689/81)   </t>
  </si>
  <si>
    <t>Verifica: Verificare che nel sottosistema SIUS a seguito iscrizione procedimento con contenuto Licenza - pene sostitutive (art. 69 L. 689/81)    venga inserito un nuovo procedimento SIUS</t>
  </si>
  <si>
    <t xml:space="preserve">Verifica emissione decreto di Licenza - pene sostitutive (art. 69 L. 689/81)  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</si>
  <si>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Licenza - pene sostitutive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</si>
  <si>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>Dettaglio Decreto Licenza - pene sostitutive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</si>
  <si>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Licenza -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</si>
  <si>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SIUS_DE_CONCLICPS.rtf</t>
    </r>
  </si>
  <si>
    <t>PAR. 3.13-035-13</t>
  </si>
  <si>
    <t>Verifica iscrizione procedimento di Licenza - pene sostitutive - Inosservanza prescrizioni (art. 69 L. 689/81)</t>
  </si>
  <si>
    <t>Verifica: Verificare che nel sottosistema SIUS a seguito iscrizione procedimento con contenuto Licenza - pene sostitutive - Inosservanza prescrizioni (art. 69 L. 689/81)    venga inserito un nuovo procedimento SIUS</t>
  </si>
  <si>
    <t>Verifica emissione decreto di Licenza - pene sostitutive - Inosservanza prescrizioni (art. 69 L. 689/81)</t>
  </si>
  <si>
    <t>Verifica: Verificare nel sottosistema SIUS l'utilizzo della funzione "Decreto Licenza - pene sostitutive (art. 69 L. 689/81) "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</si>
  <si>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Esclusione Computo Licenza Pene Sostitutive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</si>
  <si>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>Dettaglio Decreto Esclusione Computo Licenza Pene Sostitutive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</si>
  <si>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Esclusione Computo Licenza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</si>
  <si>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SIUS_DE_SCOMPUTOLICPS.rtf</t>
    </r>
  </si>
  <si>
    <t>PAR. 3.15-035-14</t>
  </si>
  <si>
    <t xml:space="preserve">Verifica emissione decreto di Rinvio esecuzione Pena Sostitutiva Ex art. 684 comma 2 c.p.p.    </t>
  </si>
  <si>
    <t>Verifica: Verificare nel sottosistema SIUS l'utilizzo della funzione "Decreto Rinvio esecuzione Pena Sostitutiva Ex art. 684 comma 2 c.p.p.  "</t>
  </si>
  <si>
    <t xml:space="preserve">Verifica iscrizione procedimento di Rinvio esecuzione Pena Sostitutiva Ex art. 684 comma 2 c.p.p.    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</si>
  <si>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Sospensione Esecuzione Pene Sostitutive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</si>
  <si>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Autorizzazione Pene Sostitutive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</si>
  <si>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Revoca Autorizzazione/Modifica Prescrizioni Pene Sostitutive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</si>
  <si>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Revoca pena sostitutiva per inosservanza delle prescrizioni (art. 66, 108 L. 689/81)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</si>
  <si>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Revoca pena sostitutiva per intervenuta condanna (art. 72 L. 689/81)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</si>
  <si>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Diffida al puntuale rispetto delle prescrizioni – pene sostitutive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</si>
  <si>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Licenza - pene sostitutive (art. 69 L. 689/81)  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</si>
  <si>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Licenza - pene sostitutive - Inosservanza prescrizioni (art. 69 L. 689/81)  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</si>
  <si>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Rinvio esecuzione Pena Sostitutiva Ex art. 684 comma 2 c.p.p.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</si>
  <si>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Dettaglio Decreto Rinvio Esecuzione Pena Sostitutiva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</si>
  <si>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Rinvio Esecuzione Pena Sostitutiva  </t>
    </r>
    <r>
      <rPr>
        <sz val="11"/>
        <rFont val="Calibri"/>
        <family val="2"/>
        <scheme val="minor"/>
      </rPr>
      <t>con parte dei dati già precompilati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</si>
  <si>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SIUS_DE_RINVIOESECPENAPS.rtf</t>
    </r>
  </si>
  <si>
    <t>PAR. 3.16-035-15</t>
  </si>
  <si>
    <t>Verifica iscrizione procedimento di Rinvio esecuzione Pena Sostitutiva Ex art. 684 comma 2 c.p.p.   (TDS)</t>
  </si>
  <si>
    <t>Verifica emissione ordinanza di Rinvio esecuzione Pena Sostitutiva Ex art. 684 comma 2 c.p.p.    (TDS)</t>
  </si>
  <si>
    <t>Verifica: Verificare che nel sottosistema SIUS a seguito iscrizione procedimento con contenuto Rinvio esecuzione Pena Sostitutiva Ex art. 684 comma 2 c.p.p.   venga inserito un nuovo procedimento SIUS</t>
  </si>
  <si>
    <t>Verifica: Verificare nel sottosistema SIUS l'utilizzo della funzione "Ordinanza Rinvio esecuzione Pena Sostitutiva Ex art. 684 comma 2 c.p.p."</t>
  </si>
  <si>
    <r>
      <t>Dxxxxx (</t>
    </r>
    <r>
      <rPr>
        <b/>
        <sz val="11"/>
        <rFont val="Calibri"/>
        <family val="2"/>
        <scheme val="minor"/>
      </rPr>
      <t>Tribunale di Sorveglianza</t>
    </r>
    <r>
      <rPr>
        <sz val="11"/>
        <rFont val="Calibri"/>
        <family val="2"/>
        <scheme val="minor"/>
      </rPr>
      <t>)</t>
    </r>
  </si>
  <si>
    <t>L'utente è posizionato sulla Home Page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</si>
  <si>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Rinvio esecuzione Pena Sostitutiva Ex art. 684 comma 2 c.p.p.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</si>
  <si>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Rinvio esecuzione Pena Sostitutiva  </t>
    </r>
    <r>
      <rPr>
        <sz val="11"/>
        <rFont val="Calibri"/>
        <family val="2"/>
        <scheme val="minor"/>
      </rPr>
      <t>con parte dei dati già precompilati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</si>
  <si>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SIUS_OR_MODGENERICO.rtf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</si>
  <si>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Rinvio esecuzione Pena Sostitutiva 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</si>
  <si>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Rinvio esecuzione Pena Sostitutiva</t>
    </r>
  </si>
  <si>
    <t>PAR. 3.17-035-16</t>
  </si>
  <si>
    <t>Verifica: Verificare che nel sottosistema SIUS a seguito iscrizione procedimento con contenuto Rinvio esecuzione Pena Sostitutiva Ex art. 684 comma 2 c.p.p.    venga inserito un nuovo procedimento SIUS</t>
  </si>
  <si>
    <t xml:space="preserve">Verifica iscrizione procedimento di Rinvio esecuzione Pena Sostitutiva derivante da Conversione Pene Pecuniarie    </t>
  </si>
  <si>
    <t>Verifica: Verificare che nel sottosistema SIUS a seguito iscrizione procedimento con contenuto Rinvio esecuzione Pena Sostitutivaderivante da Conversione Pene Pecuniarie    venga inserito un nuovo procedimento SIUS</t>
  </si>
  <si>
    <t xml:space="preserve">Verifica emissione decreto di Rinvio esecuzione Pena Sostitutiva derivante da Conversione Pene Pecuniarie     </t>
  </si>
  <si>
    <t>Verifica: Verificare nel sottosistema SIUS l'utilizzo della funzione "Decreto Rinvio esecuzione Pena Sostitutiva derivante da Conversione Pene Pecuniarie"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</si>
  <si>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Rinvio esecuzione Pena Sostitutiva derivante da Conversione - artt. 69 – 107 L. 689/81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</si>
  <si>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per Rinvio Esecuzione Pena Sostitutiva Derivante da Conversione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</si>
  <si>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>Dettaglio Decreto per Rinvio Esecuzione Pena Sostitutiva Derivante da Conversione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</si>
  <si>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per Rinvio Esecuzione Pena Sostitutiva Derivante da Conversione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</si>
  <si>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SIUS_DE_RINVIOESECPENAPSDC.rtf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</si>
  <si>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Rinvio Esecuzione Pena Sostitutiva</t>
    </r>
  </si>
  <si>
    <t>PAR. 3.18-035-17</t>
  </si>
  <si>
    <t>Verifica iscrizione procedimento di Rinvio esecuzione Pena Sostitutiva derivante da Conversione Pene Pecuniarie  (TDS)</t>
  </si>
  <si>
    <t>Verifica: Verificare che nel sottosistema SIUS a seguito iscrizione procedimento con contenuto Rinvio esecuzione Pena Sostitutiva derivante da Conversione Pene Pecuniarie   venga inserito un nuovo procedimento SIUS</t>
  </si>
  <si>
    <t>Verifica emissione ordinanza di Rinvio esecuzione Pena Sostitutiva derivante da Conversione Pene Pecuniarie   (TDS)</t>
  </si>
  <si>
    <t>Verifica: Verificare nel sottosistema SIUS l'utilizzo della funzione "Ordinanza Rinvio esecuzione Pena Sostitutiva derivante da Conversione Pene Pecuniarie"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</si>
  <si>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Rinvio dell’Esecuzione Pena Sostitutiva derivante da Conversione - artt. 69 – 107 L. 689/81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</si>
  <si>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SIUS_OR_RINVIOESECPSTDS.rtf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</si>
  <si>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Rinvio esecuzione Pena Sostitutiva derivante da Conversione Pena Pecuniaria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</si>
  <si>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Rinvio esecuzione Pena Sostitutiva Derivante da Conversione Pene Pecuniarie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</si>
  <si>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Rinvio esecuzione Pena Sostitutiva Derivante da Conversione Pene Pecuniarie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</si>
  <si>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Rinvio esecuzione Pena Sostitutiva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Derivante da Conversione Pene Pecuniarie</t>
    </r>
  </si>
  <si>
    <t>PAR. 3.20-035-18</t>
  </si>
  <si>
    <t xml:space="preserve">Verifica iscrizione procedimento di Sopravvenienza nuovo Titolo - pene sostitutive </t>
  </si>
  <si>
    <t>Verifica: Verificare che nel sottosistema SIUS a seguito iscrizione procedimento con contenuto Sopravvenienza nuovo Titolo - pene sostitutive venga inserito un nuovo procedimento SIUS</t>
  </si>
  <si>
    <t>Verifica emissione ordinanza di Sopravvenienza nuovo Titolo - pene sostitutive</t>
  </si>
  <si>
    <t>Verifica: Verificare nel sottosistema SIUS l'utilizzo della funzione "Ordinanza Sopravvenienza nuovo Titolo - pene sostitutive"</t>
  </si>
  <si>
    <t>Verifica emissione decreto di Sopravvenienza nuovo Titolo - pene sostitutive</t>
  </si>
  <si>
    <t>Verifica: Verificare nel sottosistema SIUS l'utilizzo della funzione "Decreto Sopravvenienza nuovo Titolo - pene sostitutive"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</si>
  <si>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Sopravvenienza nuovo titolo - Pene sostitutive (art. 76 L. 689/81 – 51-bis O.P.) 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</si>
  <si>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Sopravvenienza nuovo titolo - Pene sostitutive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</si>
  <si>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Ordinanza Sopravvenienza nuovo titolo - Pene sostitutive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</si>
  <si>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Sopravvenienza nuovo titolo -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</si>
  <si>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SIUS_OR_PROSPROVPS.rtf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</si>
  <si>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Sopravvenienza nuovo titolo - Pene sostitutive   </t>
    </r>
    <r>
      <rPr>
        <sz val="11"/>
        <rFont val="Calibri"/>
        <family val="2"/>
        <scheme val="minor"/>
      </rPr>
      <t>con parte dei dati già precompilati</t>
    </r>
  </si>
  <si>
    <t>Compilare i campi obbligatori della form, impostando l'esito, gli eventuali campi accessori e Confermare</t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</si>
  <si>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 </t>
    </r>
    <r>
      <rPr>
        <b/>
        <sz val="11"/>
        <rFont val="Calibri"/>
        <family val="2"/>
        <scheme val="minor"/>
      </rPr>
      <t>Sopravvenienza nuovo titolo - Pene sostitutive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</si>
  <si>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SIUS_DE_PROSPROVPS.rtf</t>
    </r>
  </si>
  <si>
    <t xml:space="preserve">Verifica iscrizione procedimento di Sospensione lavoro pubblica utilità sostitutivo </t>
  </si>
  <si>
    <t>Verifica: Verificare che nel sottosistema SIUS a seguito iscrizione procedimento con contenuto Sospensione lavoro pubblica utilità sostitutivo   venga inserito un nuovo procedimento SIUS</t>
  </si>
  <si>
    <t xml:space="preserve">Verifica emissione decreto di Sospensione lavoro pubblica utilità sostitutivo      </t>
  </si>
  <si>
    <t>Verifica: Verificare nel sottosistema SIUS l'utilizzo della funzione "Decreto Sospensione lavoro pubblica utilità sostitutivo "</t>
  </si>
  <si>
    <t>L'utente, dopo aver iscritto un Procedimento di EPS relativo a Lavoro pubblica utilità, è posizionato sul dettaglio dello  stesso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</si>
  <si>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Sospensione lavoro di pubblica utilità sostitutivo (art. 69 c. 2 L. 689/81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</si>
  <si>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Sospensione lavoro pubblica utilità sostitutivo </t>
    </r>
    <r>
      <rPr>
        <sz val="11"/>
        <rFont val="Calibri"/>
        <family val="2"/>
        <scheme val="minor"/>
      </rPr>
      <t>con parte dei dati già precompilati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</si>
  <si>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Decreto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Sospensione lavoro pubblica utilità sostitutivo 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</si>
  <si>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SIUS_DE_SOSPPSLAVPU.rtf</t>
    </r>
  </si>
  <si>
    <t xml:space="preserve">Verifica iscrizione procedimento di Conversione pene pecuniarie irrogate dal Giudice di Pace </t>
  </si>
  <si>
    <t>Verifica: Verificare che nel sottosistema SIUS a seguito iscrizione procedimento con contenuto Conversione pene pecuniarie irrogate dal Giudice di Pace venga inserito un nuovo procedimento SIUS</t>
  </si>
  <si>
    <t xml:space="preserve">Verifica emissione ordinanza di Conversione pene pecuniarie irrogate dal Giudice di Pace      </t>
  </si>
  <si>
    <t>Verifica: Verificare nel sottosistema SIUS l'utilizzo della funzione "Ordinanza Conversione pene pecuniarie irrogate dal Giudice di Pace "</t>
  </si>
  <si>
    <t>L'utente è posizionato sul dettaglio del procedimento di EPS Lavoro pubblica utilita del precedente TF019.UC01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</si>
  <si>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Violazione obblighi lavoro pubblica utilità (art. 55 c. 3 DL 274/2000)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</si>
  <si>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Conversione Pene Pecuniarie irrogate dal GdP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</si>
  <si>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>Dettaglio Ordinanza Conversione Pene Pecuniarie irrogate dal GdP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</si>
  <si>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 Conversione Pene Pecuniarie irrogate dal GdP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</si>
  <si>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SIUS_OR_GENERICAPENASOST.rtf</t>
    </r>
  </si>
  <si>
    <t>PAR. 3.25-035-19</t>
  </si>
  <si>
    <t>Verifica emissione ordinanza di Rateizzazione Pena Pecuniaria</t>
  </si>
  <si>
    <t>Verifica: Verificare nel sottosistema SIUS l'utilizzo della funzione "Ordinanza Rateizzazione Pena Pecuniaria"</t>
  </si>
  <si>
    <t>Verifica iscrizione procedimento di Rateizzazione Pena Pecuniaria</t>
  </si>
  <si>
    <t>Verifica: Verificare che nel sottosistema SIUS a seguito iscrizione procedimento con contenuto Rateizzazione Pena Pecuniaria venga inserito un nuovo procedimento SIUS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</si>
  <si>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Rateizzazione Pena Pecuniaria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</si>
  <si>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Rateizzazione Pena Pecuniaria  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</si>
  <si>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Rateizzazione Pena Pecuniaria  </t>
    </r>
    <r>
      <rPr>
        <sz val="11"/>
        <rFont val="Calibri"/>
        <family val="2"/>
        <scheme val="minor"/>
      </rPr>
      <t>con icone di Stampa, Upload, Modifica e Cancellazione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</si>
  <si>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Rateizzazione Pena Pecuniaria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</si>
  <si>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SIUS_OR_RATEIZZAPENAPEC.rtf</t>
    </r>
  </si>
  <si>
    <t>PAR. 3.24-035-22</t>
  </si>
  <si>
    <t>PAR. 3.14-035-21</t>
  </si>
  <si>
    <t>PAR. 3.26-035-20</t>
  </si>
  <si>
    <t>Verifica iscrizione procedimento di Revoca pena sostitutiva conseguente alla conversione p.p. per avvenuto pagamento</t>
  </si>
  <si>
    <t>Verifica: Verificare che nel sottosistema SIUS a seguito iscrizione procedimento con contenuto Revoca pena sostitutiva conseguente alla conversione p.p. per avvenuto pagamento venga inserito un nuovo procedimento SIUS</t>
  </si>
  <si>
    <t>Verifica emissione ordinanza di Revoca pena sostitutiva conseguente alla conversione p.p. per avvenuto pagamento</t>
  </si>
  <si>
    <t>Verifica: Verificare nel sottosistema SIUS l'utilizzo della funzione "Ordinanza Revoca pena sostitutiva conseguente alla conversione p.p. per avvenuto pagamento"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</si>
  <si>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Revoca pena sostitutiva conseguente alla conversione pena pecuniaria per avvenuto pagamento (art. 660 co. 15 c.p.p.)  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</si>
  <si>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Revoca Pena Sostitutiva a seguito pagamento p.p.   </t>
    </r>
    <r>
      <rPr>
        <sz val="11"/>
        <rFont val="Calibri"/>
        <family val="2"/>
        <scheme val="minor"/>
      </rPr>
      <t>con parte dei dati già precompilati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</si>
  <si>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Ordinanza Revoca Pena Sostitutiva a seguito pagamento p.p.</t>
    </r>
  </si>
  <si>
    <t>PAR. 3.19-035-23</t>
  </si>
  <si>
    <t>Verifica iscrizione procedimento di Revoca e Conversione pena pecuniaria sostitutiva per mancato pagamento</t>
  </si>
  <si>
    <t>Verifica: Verificare che nel sottosistema SIUS a seguito iscrizione procedimento con contenuto Revoca e Conversione pena pecuniaria sostitutiva per mancato pagamento venga inserito un nuovo procedimento SIUS</t>
  </si>
  <si>
    <t xml:space="preserve">Verifica emissione ordinanza di Revoca e Conversione pena pecuniaria sostitutiva per mancato pagamento    </t>
  </si>
  <si>
    <t>Verifica: Verificare nel sottosistema SIUS l'utilizzo della funzione "Ordinanza Revoca e Conversione pena pecuniaria sostitutiva per mancato pagamento"</t>
  </si>
  <si>
    <t xml:space="preserve">Iscrizione Manuale » Ricerca Titolo Esecutivo per Numero SIEP </t>
  </si>
  <si>
    <r>
      <t xml:space="preserve">Visualizzazione pagina </t>
    </r>
    <r>
      <rPr>
        <b/>
        <sz val="11"/>
        <rFont val="Calibri"/>
        <family val="2"/>
        <scheme val="minor"/>
      </rPr>
      <t>Ricerca Titolo Esecutivo</t>
    </r>
  </si>
  <si>
    <r>
      <t xml:space="preserve">Digitare </t>
    </r>
    <r>
      <rPr>
        <b/>
        <sz val="11"/>
        <rFont val="Calibri"/>
        <family val="2"/>
        <scheme val="minor"/>
      </rPr>
      <t>Anno, Numero e Ufficio Procura</t>
    </r>
    <r>
      <rPr>
        <sz val="11"/>
        <rFont val="Calibri"/>
        <family val="2"/>
        <scheme val="minor"/>
      </rPr>
      <t xml:space="preserve"> del procedimento a cui collegare il procedimento SIUS e Confermare</t>
    </r>
  </si>
  <si>
    <r>
      <t>Visualizzazione pagina</t>
    </r>
    <r>
      <rPr>
        <b/>
        <sz val="11"/>
        <rFont val="Calibri"/>
        <family val="2"/>
        <scheme val="minor"/>
      </rPr>
      <t xml:space="preserve"> Dettaglio Procedimento SIEP</t>
    </r>
  </si>
  <si>
    <t>Dalla toolbar delle funzioni, selezionare Iscrizione Procedimento e Avviare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</si>
  <si>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Revoca e Conversione pena pecuniaria sostitutiva per mancato pagamento (art.71 L. 689/81)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</si>
  <si>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>Verificare che i dati visualizzati siano uguali a quelli presenti nella precedente form di Inserimento e che al procedimento siano stati</t>
    </r>
    <r>
      <rPr>
        <b/>
        <sz val="11"/>
        <rFont val="Calibri"/>
        <family val="2"/>
        <scheme val="minor"/>
      </rPr>
      <t xml:space="preserve"> assegnati Anno e Progressivo nuovi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</si>
  <si>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Revoca e Conversione Pena Pecuniaria Sostitutiva </t>
    </r>
    <r>
      <rPr>
        <sz val="11"/>
        <rFont val="Calibri"/>
        <family val="2"/>
        <scheme val="minor"/>
      </rPr>
      <t>con parte dei dati già precompilati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</si>
  <si>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di Tipo</t>
    </r>
    <r>
      <rPr>
        <b/>
        <sz val="11"/>
        <rFont val="Calibri"/>
        <family val="2"/>
        <scheme val="minor"/>
      </rPr>
      <t xml:space="preserve"> Revoca e Conversione pena pecuniaria sostitutiva per mancato pagamento 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</si>
  <si>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 xml:space="preserve">SIUS_OR_REVCONVPS.rtf	</t>
    </r>
  </si>
  <si>
    <t>PAR. 3.21-035-24</t>
  </si>
  <si>
    <t>Verifica iscrizione procedimento di Sospensione esecuzione pene accessorie (UDS)</t>
  </si>
  <si>
    <t>Verifica: Verificare che nel sottosistema SIUS a seguito iscrizione procedimento con contenuto Sospensione esecuzione pene accessorie venga inserito un nuovo procedimento SIUS</t>
  </si>
  <si>
    <t xml:space="preserve">Verifica emissione ordinanza di Sospensione esecuzione pene accessorie (UDS) </t>
  </si>
  <si>
    <t>Verifica: Verificare nel sottosistema SIUS l'utilizzo della funzione "Ordinanza Sospensione esecuzione pene accessorie"</t>
  </si>
  <si>
    <t>L'utente è posizionato sul dettaglio del procedimento SIEP del precedente Test</t>
  </si>
  <si>
    <t>Visualizzazione pagina "Dettaglio Procedimento SIEP"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</si>
  <si>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Sospensione esecuzione pene accessorie (art. 51-quater O.P.)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</si>
  <si>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Sospensione esecuzione pene accessorie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</si>
  <si>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>di Tipo</t>
    </r>
    <r>
      <rPr>
        <b/>
        <sz val="11"/>
        <rFont val="Calibri"/>
        <family val="2"/>
        <scheme val="minor"/>
      </rPr>
      <t xml:space="preserve"> Ordinanza Sospensione esecuzione pene accessorie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</si>
  <si>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 xml:space="preserve">di Tipo </t>
    </r>
    <r>
      <rPr>
        <b/>
        <sz val="11"/>
        <rFont val="Calibri"/>
        <family val="2"/>
        <scheme val="minor"/>
      </rPr>
      <t xml:space="preserve">Ordinanza Revoca e Conversione pena pecuniaria sostitutiva per mancato pagamento 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</si>
  <si>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di Tipo</t>
    </r>
    <r>
      <rPr>
        <b/>
        <sz val="11"/>
        <rFont val="Calibri"/>
        <family val="2"/>
        <scheme val="minor"/>
      </rPr>
      <t xml:space="preserve"> Ordinanza Sospensione esecuzione pene accessorie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</si>
  <si>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 xml:space="preserve">SIUS_OR_SOSPENSIONEPA.rtf	</t>
    </r>
  </si>
  <si>
    <t>Apertura di una nuova finestra del browser e successiva Visualizzazione a video del documento associato alla Provvedimento</t>
  </si>
  <si>
    <t>PAR. 3.22-035-25</t>
  </si>
  <si>
    <t>Verifica iscrizione procedimento di Sospensione esecuzione pene accessorie (TDS)</t>
  </si>
  <si>
    <t xml:space="preserve">Verifica emissione ordinanza di Sospensione esecuzione pene accessorie (TDS) </t>
  </si>
  <si>
    <t>Dalla toolbar delle funzioni, selezionare Iscrizione Procedimento collegato e Avviare</t>
  </si>
  <si>
    <r>
      <t xml:space="preserve">L'utente collegato al sistema SIUS come </t>
    </r>
    <r>
      <rPr>
        <b/>
        <sz val="11"/>
        <rFont val="Calibri"/>
        <family val="2"/>
        <scheme val="minor"/>
      </rPr>
      <t>Tribunale di Sorveglianza</t>
    </r>
    <r>
      <rPr>
        <sz val="11"/>
        <rFont val="Calibri"/>
        <family val="2"/>
        <scheme val="minor"/>
      </rPr>
      <t xml:space="preserve"> ed è posizionato sul Dettaglio del procedimento del precedente Test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</si>
  <si>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 xml:space="preserve">SIUS_OR_SOSPENSIONEPA-TDS.rtf	</t>
    </r>
  </si>
  <si>
    <t>PAR. 3.23-035-26</t>
  </si>
  <si>
    <t xml:space="preserve">Verifica iscrizione procedimento di Conversione pene pecuniarie principali per mancato pagamento </t>
  </si>
  <si>
    <t xml:space="preserve">Verifica emissione ordinanza di Conversione pene pecuniarie principali per mancato pagamento </t>
  </si>
  <si>
    <t>Verifica: Verificare che nel sottosistema SIUS a seguito iscrizione procedimento con contenuto Conversione pene pecuniarie principali per mancato pagamento  venga inserito un nuovo procedimento SIUS</t>
  </si>
  <si>
    <t>Verifica: Verificare nel sottosistema SIUS l'utilizzo della funzione "Conversione pene pecuniarie principali per mancato pagamento"</t>
  </si>
  <si>
    <r>
      <t xml:space="preserve">Compilare dati obbligatori della form, selezionare come contenuto </t>
    </r>
    <r>
      <rPr>
        <b/>
        <sz val="11"/>
        <rFont val="Calibri"/>
        <family val="2"/>
        <scheme val="minor"/>
      </rPr>
      <t>Conversione pene pecuniarie principali per mancato pagamento     e uno dei relativi oggetti</t>
    </r>
    <r>
      <rPr>
        <sz val="11"/>
        <rFont val="Calibri"/>
        <family val="2"/>
        <scheme val="minor"/>
      </rPr>
      <t xml:space="preserve">, valorizzare anche il magistrato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</si>
  <si>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Conversione Pene Pecuniarie principali per mancato pagamento </t>
    </r>
    <r>
      <rPr>
        <sz val="11"/>
        <rFont val="Calibri"/>
        <family val="2"/>
        <scheme val="minor"/>
      </rPr>
      <t>con parte dei dati già precompilati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</si>
  <si>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Ordinanza  </t>
    </r>
    <r>
      <rPr>
        <sz val="11"/>
        <rFont val="Calibri"/>
        <family val="2"/>
        <scheme val="minor"/>
      </rPr>
      <t>di Tipo</t>
    </r>
    <r>
      <rPr>
        <b/>
        <sz val="11"/>
        <rFont val="Calibri"/>
        <family val="2"/>
        <scheme val="minor"/>
      </rPr>
      <t xml:space="preserve"> Ordinanza Conversione Pene Pecuniarie Principali per mancato pagamento</t>
    </r>
  </si>
  <si>
    <r>
      <t xml:space="preserve">L'utente si trova nella pagina di   </t>
    </r>
    <r>
      <rPr>
        <b/>
        <sz val="11"/>
        <rFont val="Calibri"/>
        <family val="2"/>
        <scheme val="minor"/>
      </rPr>
      <t xml:space="preserve">Dettaglio Ordinanza </t>
    </r>
    <r>
      <rPr>
        <sz val="11"/>
        <rFont val="Calibri"/>
        <family val="2"/>
        <scheme val="minor"/>
      </rPr>
      <t>di Tipo</t>
    </r>
    <r>
      <rPr>
        <b/>
        <sz val="11"/>
        <rFont val="Calibri"/>
        <family val="2"/>
        <scheme val="minor"/>
      </rPr>
      <t xml:space="preserve"> Ordinanza Conversione Pene Pecuniarie Principali per mancato pagamento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</si>
  <si>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SIUS_OR_RATEIZZAPENASOST.rtf</t>
    </r>
  </si>
  <si>
    <t>PAR. 3.27-035-27</t>
  </si>
  <si>
    <t>Ricerca procedimenti di Esecuzione Pene Sostitutive</t>
  </si>
  <si>
    <t>Verifica: Verificare che la Ricerca estragga solo procedimenti di Esecuzione Pene Sostitutive</t>
  </si>
  <si>
    <t>Ricerca procedimenti di Esecuzione Pene Sostitutive per Soggetto</t>
  </si>
  <si>
    <t>Verifica: Verificare che la Ricerca estragga solo soggetti, soddifacenti i dati impostati, con procedimenti di Esecuzione Pene Sostitutive</t>
  </si>
  <si>
    <t xml:space="preserve">Esecuzione Pene Sostitutive &gt;&gt; Ricerca Procedimento di Esecuzione Pene Sostitutive </t>
  </si>
  <si>
    <r>
      <t xml:space="preserve">Visualizzazione pagina </t>
    </r>
    <r>
      <rPr>
        <b/>
        <sz val="11"/>
        <rFont val="Calibri"/>
        <family val="2"/>
        <scheme val="minor"/>
      </rPr>
      <t>Ricerca Procedimenti Esecuzione Pene Sostitutive</t>
    </r>
  </si>
  <si>
    <r>
      <t xml:space="preserve">Compilare i campi dell ricerca per </t>
    </r>
    <r>
      <rPr>
        <b/>
        <sz val="11"/>
        <rFont val="Calibri"/>
        <family val="2"/>
        <scheme val="minor"/>
      </rPr>
      <t xml:space="preserve">Periodo: Anno / Numero Procedimento Iniziale </t>
    </r>
    <r>
      <rPr>
        <sz val="11"/>
        <rFont val="Calibri"/>
        <family val="2"/>
        <scheme val="minor"/>
      </rPr>
      <t xml:space="preserve">e </t>
    </r>
    <r>
      <rPr>
        <b/>
        <sz val="11"/>
        <rFont val="Calibri"/>
        <family val="2"/>
        <scheme val="minor"/>
      </rPr>
      <t>Anno / Numero Procedimento Finale</t>
    </r>
    <r>
      <rPr>
        <sz val="11"/>
        <rFont val="Calibri"/>
        <family val="2"/>
        <scheme val="minor"/>
      </rPr>
      <t xml:space="preserve"> 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</si>
  <si>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Elenco Procedimenti di Esecuzione Pene Sostitutive</t>
    </r>
  </si>
  <si>
    <t>Che i procedimenti in Elenco, in base alla descrizione riportata nella colonna Pena da eseguire, siano tutti di Esecuzione Pena Sostitutiva   (Semilibertà Sostitutiva, Detenzione Domiciliare Sostitutiva, Lavoro Pubblica Utilità, Permanenza Domiciliare)</t>
  </si>
  <si>
    <r>
      <t>Per uno dei procedimenti della lista</t>
    </r>
    <r>
      <rPr>
        <b/>
        <sz val="11"/>
        <rFont val="Calibri"/>
        <family val="2"/>
        <scheme val="minor"/>
      </rPr>
      <t xml:space="preserve"> cliccare</t>
    </r>
    <r>
      <rPr>
        <sz val="11"/>
        <rFont val="Calibri"/>
        <family val="2"/>
        <scheme val="minor"/>
      </rPr>
      <t xml:space="preserve"> su </t>
    </r>
    <r>
      <rPr>
        <b/>
        <sz val="11"/>
        <rFont val="Calibri"/>
        <family val="2"/>
        <scheme val="minor"/>
      </rPr>
      <t>Anno/Numero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</si>
  <si>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>Dettaglio Procedimento SIUS</t>
    </r>
  </si>
  <si>
    <r>
      <t xml:space="preserve">l'utente è su </t>
    </r>
    <r>
      <rPr>
        <b/>
        <sz val="11"/>
        <rFont val="Calibri"/>
        <family val="2"/>
        <scheme val="minor"/>
      </rPr>
      <t>Elenco Procedimenti di Esecuzione Pene Sostitutive</t>
    </r>
  </si>
  <si>
    <r>
      <t>Per uno dei procedimenti della lista</t>
    </r>
    <r>
      <rPr>
        <b/>
        <sz val="11"/>
        <rFont val="Calibri"/>
        <family val="2"/>
        <scheme val="minor"/>
      </rPr>
      <t xml:space="preserve"> cliccare</t>
    </r>
    <r>
      <rPr>
        <sz val="11"/>
        <rFont val="Calibri"/>
        <family val="2"/>
        <scheme val="minor"/>
      </rPr>
      <t xml:space="preserve"> su </t>
    </r>
    <r>
      <rPr>
        <b/>
        <sz val="11"/>
        <rFont val="Calibri"/>
        <family val="2"/>
        <scheme val="minor"/>
      </rPr>
      <t>icona di Dettaglio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</si>
  <si>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>Elenco dei Procedimenti relativi all' Esecuzione della Pena Sostitutiva</t>
    </r>
    <r>
      <rPr>
        <sz val="11"/>
        <rFont val="Calibri"/>
        <family val="2"/>
        <scheme val="minor"/>
      </rPr>
      <t xml:space="preserve"> </t>
    </r>
  </si>
  <si>
    <r>
      <t>Per uno dei procedimenti della lista</t>
    </r>
    <r>
      <rPr>
        <b/>
        <sz val="11"/>
        <rFont val="Calibri"/>
        <family val="2"/>
        <scheme val="minor"/>
      </rPr>
      <t xml:space="preserve"> cliccare</t>
    </r>
    <r>
      <rPr>
        <sz val="11"/>
        <rFont val="Calibri"/>
        <family val="2"/>
        <scheme val="minor"/>
      </rPr>
      <t xml:space="preserve"> su </t>
    </r>
    <r>
      <rPr>
        <b/>
        <sz val="11"/>
        <rFont val="Calibri"/>
        <family val="2"/>
        <scheme val="minor"/>
      </rPr>
      <t>icona di Iscrizione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</si>
  <si>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Iscrizione Procedimento </t>
    </r>
    <r>
      <rPr>
        <sz val="11"/>
        <rFont val="Calibri"/>
        <family val="2"/>
        <scheme val="minor"/>
      </rPr>
      <t xml:space="preserve">"figlio" del procedimento di EPS selezionato </t>
    </r>
  </si>
  <si>
    <t>L'utente è posizionato nella Home Page SIUS</t>
  </si>
  <si>
    <t>L'utente è collegato al sistema SIUS come Ufficio di Sorveglianza e ha annotato i dati anagrafici di un soggetto presente nell'Elenco del Test precedente</t>
  </si>
  <si>
    <t>Esecuzione Pene Sostitutive &gt;&gt; Ricerca Procedimento di Esecuzione Pene Sostitutive per soggetto</t>
  </si>
  <si>
    <r>
      <t xml:space="preserve">Visualizzazione pagina </t>
    </r>
    <r>
      <rPr>
        <b/>
        <sz val="11"/>
        <rFont val="Calibri"/>
        <family val="2"/>
        <scheme val="minor"/>
      </rPr>
      <t>Ricerca Soggetti con Procedimenti di Esecuzione Pene Sostitutive</t>
    </r>
  </si>
  <si>
    <r>
      <t>Valorizzare i campi</t>
    </r>
    <r>
      <rPr>
        <b/>
        <sz val="11"/>
        <rFont val="Calibri"/>
        <family val="2"/>
        <scheme val="minor"/>
      </rPr>
      <t xml:space="preserve"> Cognome e Nome</t>
    </r>
    <r>
      <rPr>
        <sz val="11"/>
        <rFont val="Calibri"/>
        <family val="2"/>
        <scheme val="minor"/>
      </rPr>
      <t xml:space="preserve"> della form con quelli annotati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</si>
  <si>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Elenco Procedimenti di Esecuzione Pene Sostitutive per Soggetto</t>
    </r>
  </si>
  <si>
    <t>Verificare che siano riportati tutti i dati della Pena Sostitutiva in esecuzione</t>
  </si>
  <si>
    <r>
      <t xml:space="preserve">Verificare che nella form di Iscrizione sia preimpostato e non modificabile il campo </t>
    </r>
    <r>
      <rPr>
        <b/>
        <sz val="11"/>
        <rFont val="Calibri"/>
        <family val="2"/>
        <scheme val="minor"/>
      </rPr>
      <t xml:space="preserve">Anno/Progressivo del Procedimento di Esecuzione della Pena Sostitutiva </t>
    </r>
  </si>
  <si>
    <r>
      <t xml:space="preserve">Verificare che nella form di Iscrizione sia preimpostato e non modificabile il campo </t>
    </r>
    <r>
      <rPr>
        <b/>
        <sz val="11"/>
        <rFont val="Calibri"/>
        <family val="2"/>
        <scheme val="minor"/>
      </rPr>
      <t>Anno/Progressivo del Procedimento di Esecuzione della Pena Sostitutiva</t>
    </r>
  </si>
  <si>
    <t>PAR. 3.28-035-28</t>
  </si>
  <si>
    <t>Ricerca Licenze per Soggetti</t>
  </si>
  <si>
    <t>Verifica: Verificare che la Ricerca estragga solo soggetti, soddifacenti i dati impostati, con procedimenti di con Licenze - Pene Sostitutive</t>
  </si>
  <si>
    <t>Esecuzione Licenze - Pene Sostitutive</t>
  </si>
  <si>
    <t xml:space="preserve">Gestione Permessi e Licenze » Ricerca Licenze per Soggetto </t>
  </si>
  <si>
    <r>
      <t xml:space="preserve">Visualizzazione pagina </t>
    </r>
    <r>
      <rPr>
        <b/>
        <sz val="11"/>
        <rFont val="Calibri"/>
        <family val="2"/>
        <scheme val="minor"/>
      </rPr>
      <t>Ricerca Soggetti con Procedimenti di Sorveglianza relativi a licenze</t>
    </r>
  </si>
  <si>
    <r>
      <t xml:space="preserve">Digitare gli </t>
    </r>
    <r>
      <rPr>
        <b/>
        <sz val="11"/>
        <rFont val="Calibri"/>
        <family val="2"/>
        <scheme val="minor"/>
      </rPr>
      <t>estremi anagrafici del soggetto</t>
    </r>
    <r>
      <rPr>
        <sz val="11"/>
        <rFont val="Calibri"/>
        <family val="2"/>
        <scheme val="minor"/>
      </rPr>
      <t xml:space="preserve"> da ricercare, impostare le ulteriori condizioni disponibili, selezionare nella combo box Visualizza solo i provvedimenti relativi a  </t>
    </r>
    <r>
      <rPr>
        <b/>
        <sz val="11"/>
        <rFont val="Calibri"/>
        <family val="2"/>
        <scheme val="minor"/>
      </rPr>
      <t xml:space="preserve">Licenze - Pene Sostitutive </t>
    </r>
    <r>
      <rPr>
        <sz val="11"/>
        <rFont val="Calibri"/>
        <family val="2"/>
        <scheme val="minor"/>
      </rPr>
      <t>e</t>
    </r>
    <r>
      <rPr>
        <b/>
        <sz val="11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</si>
  <si>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1"/>
        <rFont val="Calibri"/>
        <family val="2"/>
        <scheme val="minor"/>
      </rPr>
      <t>Elenco Soggetti con Procedimenti di Sorveglianza relativi a Licenze</t>
    </r>
  </si>
  <si>
    <t xml:space="preserve">Verificare che per ogni soggetto della lista siano riportati: Cognome, nome, data e luogo nascita, numero provvedimenti relativi a Licenza, azione di Dettaglio </t>
  </si>
  <si>
    <t>Per uno dei soggetti della lista cliccare su icona di Dettaglio</t>
  </si>
  <si>
    <r>
      <t xml:space="preserve">Visualizzazione pagina </t>
    </r>
    <r>
      <rPr>
        <b/>
        <sz val="11"/>
        <rFont val="Calibri"/>
        <family val="2"/>
        <scheme val="minor"/>
      </rPr>
      <t>Elenco Licenze per Soggetto</t>
    </r>
  </si>
  <si>
    <t xml:space="preserve">Verificare che il numero dei procedimenti riportato in elenco corrisponda a quello riportato nella pagina precedente, che per ciascun procedimento della lista siano riportati: Numero SIUS, Provvedimento, Data Emissione, Esito Provvedimento, Giorni/Ore concessi, Giorni/Ore revocati - scomputati,  Giorni/Ore non fruit, Esito, Azione di dettaglio </t>
  </si>
  <si>
    <t>Per uno dei procedimenti della lista cliccare su icona di Dettaglio</t>
  </si>
  <si>
    <r>
      <t xml:space="preserve">Visualizzazione pagina </t>
    </r>
    <r>
      <rPr>
        <b/>
        <sz val="11"/>
        <rFont val="Calibri"/>
        <family val="2"/>
        <scheme val="minor"/>
      </rPr>
      <t>Dettaglio Decreto Licenza</t>
    </r>
  </si>
  <si>
    <t xml:space="preserve">Gestione Permessi e Licenze » Esecuzione Licenza  </t>
  </si>
  <si>
    <r>
      <t xml:space="preserve">Visualizzazione pagina </t>
    </r>
    <r>
      <rPr>
        <b/>
        <sz val="11"/>
        <rFont val="Calibri"/>
        <family val="2"/>
        <scheme val="minor"/>
      </rPr>
      <t>Esecuzione Licenza</t>
    </r>
  </si>
  <si>
    <r>
      <t xml:space="preserve">Digitare </t>
    </r>
    <r>
      <rPr>
        <b/>
        <sz val="11"/>
        <rFont val="Calibri"/>
        <family val="2"/>
        <scheme val="minor"/>
      </rPr>
      <t>Anno e Numero del procedimento</t>
    </r>
    <r>
      <rPr>
        <sz val="11"/>
        <rFont val="Calibri"/>
        <family val="2"/>
        <scheme val="minor"/>
      </rPr>
      <t xml:space="preserve"> di interesse e</t>
    </r>
    <r>
      <rPr>
        <b/>
        <sz val="11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</si>
  <si>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Esecuzione Licenza </t>
    </r>
  </si>
  <si>
    <t>Verificare che i dati del procedimento e del Decreto siano quelli di interesse</t>
  </si>
  <si>
    <t>Nella form di Dettaglio cliccare sull'icona di Modifica</t>
  </si>
  <si>
    <r>
      <t xml:space="preserve">Visualizzazione pagina </t>
    </r>
    <r>
      <rPr>
        <b/>
        <sz val="11"/>
        <rFont val="Calibri"/>
        <family val="2"/>
        <scheme val="minor"/>
      </rPr>
      <t>Modifica Esito Licenza</t>
    </r>
  </si>
  <si>
    <r>
      <t xml:space="preserve"> Inserire </t>
    </r>
    <r>
      <rPr>
        <b/>
        <sz val="11"/>
        <rFont val="Calibri"/>
        <family val="2"/>
        <scheme val="minor"/>
      </rPr>
      <t>Esito della licenza</t>
    </r>
    <r>
      <rPr>
        <sz val="11"/>
        <rFont val="Calibri"/>
        <family val="2"/>
        <scheme val="minor"/>
      </rPr>
      <t xml:space="preserve"> e </t>
    </r>
    <r>
      <rPr>
        <b/>
        <sz val="11"/>
        <rFont val="Calibri"/>
        <family val="2"/>
        <scheme val="minor"/>
      </rPr>
      <t>Confermare</t>
    </r>
  </si>
  <si>
    <t>Verificare che i dati relativi all'esito corrispondono a quelli inseriti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</si>
  <si>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Esecuzione Licenza </t>
    </r>
    <r>
      <rPr>
        <sz val="11"/>
        <rFont val="Calibri"/>
        <family val="2"/>
        <scheme val="minor"/>
      </rPr>
      <t>con i dati dell'esito valorizzati</t>
    </r>
    <r>
      <rPr>
        <b/>
        <sz val="11"/>
        <rFont val="Calibri"/>
        <family val="2"/>
        <scheme val="minor"/>
      </rPr>
      <t xml:space="preserve"> </t>
    </r>
  </si>
  <si>
    <r>
      <t xml:space="preserve">L'utente si trova nella pagina </t>
    </r>
    <r>
      <rPr>
        <b/>
        <sz val="11"/>
        <rFont val="Calibri"/>
        <family val="2"/>
        <scheme val="minor"/>
      </rPr>
      <t>Dettaglio Esecuzione Licenza</t>
    </r>
  </si>
  <si>
    <t>Cliccare sull'icona di Inserimento</t>
  </si>
  <si>
    <r>
      <t xml:space="preserve">Visualizzazione pagina </t>
    </r>
    <r>
      <rPr>
        <b/>
        <sz val="11"/>
        <rFont val="Calibri"/>
        <family val="2"/>
        <scheme val="minor"/>
      </rPr>
      <t>Inserisce evento durante Fruizione Licenza</t>
    </r>
  </si>
  <si>
    <r>
      <t xml:space="preserve">Compilare i dati della form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</si>
  <si>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Dettaglio Evento Licenza</t>
    </r>
  </si>
  <si>
    <t>Verificare che i dati dell'EVENTO Licenza corrispondano a quelli inseriti</t>
  </si>
  <si>
    <t>Relazione Trimestrale Licenze</t>
  </si>
  <si>
    <t>Verifica: Verificare che la funzione Esecuzione Licenza sia utilizzabile anche per la Licenza Pene Sostitutive</t>
  </si>
  <si>
    <t>Verifica: Verificare che la funzione Relazione Trimestrale sia utilizzabile anche per le Licenze Pene Sostitutive</t>
  </si>
  <si>
    <t xml:space="preserve">Gestione Permessi e Licenze » Relazione Trimestrale </t>
  </si>
  <si>
    <r>
      <t xml:space="preserve">Visualizzazione pagina </t>
    </r>
    <r>
      <rPr>
        <b/>
        <sz val="11"/>
        <rFont val="Calibri"/>
        <family val="2"/>
        <scheme val="minor"/>
      </rPr>
      <t>Ricerca Provvedimenti di Concessione Permesso Licenza Depositati</t>
    </r>
  </si>
  <si>
    <r>
      <t>Digitare</t>
    </r>
    <r>
      <rPr>
        <b/>
        <sz val="11"/>
        <rFont val="Calibri"/>
        <family val="2"/>
        <scheme val="minor"/>
      </rPr>
      <t xml:space="preserve"> date inizio e fine</t>
    </r>
    <r>
      <rPr>
        <sz val="11"/>
        <rFont val="Calibri"/>
        <family val="2"/>
        <scheme val="minor"/>
      </rPr>
      <t xml:space="preserve"> Trimestre, impostare il radio-button su </t>
    </r>
    <r>
      <rPr>
        <b/>
        <sz val="11"/>
        <rFont val="Calibri"/>
        <family val="2"/>
        <scheme val="minor"/>
      </rPr>
      <t xml:space="preserve">Pene Sostitutive </t>
    </r>
    <r>
      <rPr>
        <sz val="11"/>
        <rFont val="Calibri"/>
        <family val="2"/>
        <scheme val="minor"/>
      </rPr>
      <t xml:space="preserve">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</si>
  <si>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Ricerca Provvedimenti Concessione Permessi/Licenza</t>
    </r>
  </si>
  <si>
    <t xml:space="preserve">Verificare che il totale dei procedimenti riportato in elenco (impaginato) corrisponda a quello riportato nella intestazione pagina e che per ciascun procedimento della lista siano riportati: Numero SIUS, Cognome, Nome, Data di nascita, Luogo Detenzione, Data Deposito, Oggetto, GG/ORE Concessi, Esito, Azione Dettaglio </t>
  </si>
  <si>
    <t xml:space="preserve">Per un procedimento della Lista cliccare su Anno e Numero </t>
  </si>
  <si>
    <t>Visualizzazione pagina Dettaglio procedimento SIUS</t>
  </si>
  <si>
    <r>
      <t xml:space="preserve">L'utente si trova nella pagina pagina </t>
    </r>
    <r>
      <rPr>
        <b/>
        <sz val="11"/>
        <rFont val="Calibri"/>
        <family val="2"/>
        <scheme val="minor"/>
      </rPr>
      <t>Ricerca Provvedimenti Concessione Permessi/Licenza</t>
    </r>
  </si>
  <si>
    <t xml:space="preserve">Per un procedimento della Lista cliccare su Azione di Dettaglio </t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</si>
  <si>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SIUS_ST_RELTRIMPERMESSI.rtf</t>
    </r>
  </si>
  <si>
    <t>SIUT-SIES-CT-1.0-20240830-Allegato_al_piano_Test_2023_035_SIUS_Riforma_Cartabia.xlsx</t>
  </si>
  <si>
    <t>SIUT-SIES-PT-1.0-20240830-Piano_dei_Test_2023_035_SIUS_Riforma_Cartabia.docx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</si>
</sst>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8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208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49" fontId="0" fillId="0" borderId="37" xfId="0" applyNumberFormat="1" applyBorder="1" applyAlignment="1">
      <alignment horizontal="center" vertical="center" wrapText="1"/>
    </xf>
    <xf numFmtId="49" fontId="0" fillId="0" borderId="36" xfId="0" applyNumberFormat="1" applyBorder="1" applyAlignment="1">
      <alignment horizontal="center" vertical="center" wrapText="1"/>
    </xf>
    <xf numFmtId="0" fontId="18" fillId="14" borderId="44" xfId="0" applyFont="1" applyFill="1" applyBorder="1" applyAlignment="1">
      <alignment horizontal="center" vertical="center" wrapText="1"/>
    </xf>
    <xf numFmtId="0" fontId="18" fillId="14" borderId="4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14" borderId="50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39" xfId="0" applyFont="1" applyFill="1" applyBorder="1" applyAlignment="1">
      <alignment horizontal="center" vertical="center" wrapText="1"/>
    </xf>
    <xf numFmtId="0" fontId="18" fillId="14" borderId="53" xfId="0" applyFont="1" applyFill="1" applyBorder="1" applyAlignment="1">
      <alignment horizontal="center" vertical="center" wrapText="1"/>
    </xf>
    <xf numFmtId="0" fontId="18" fillId="14" borderId="5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15" borderId="12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8" fillId="12" borderId="52" xfId="0" applyFont="1" applyFill="1" applyBorder="1" applyAlignment="1">
      <alignment horizontal="center" vertical="center" wrapText="1"/>
    </xf>
    <xf numFmtId="0" fontId="3" fillId="18" borderId="55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49" fontId="3" fillId="16" borderId="35" xfId="0" applyNumberFormat="1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3" fillId="17" borderId="35" xfId="0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3" fillId="18" borderId="42" xfId="0" applyFont="1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3" fillId="18" borderId="59" xfId="0" applyFont="1" applyFill="1" applyBorder="1" applyAlignment="1">
      <alignment horizontal="center" vertical="center" wrapText="1"/>
    </xf>
    <xf numFmtId="49" fontId="3" fillId="15" borderId="56" xfId="0" applyNumberFormat="1" applyFont="1" applyFill="1" applyBorder="1" applyAlignment="1">
      <alignment horizontal="center" vertical="center" wrapText="1"/>
    </xf>
    <xf numFmtId="0" fontId="3" fillId="6" borderId="57" xfId="0" applyFont="1" applyFill="1" applyBorder="1" applyAlignment="1">
      <alignment horizontal="center" vertical="center" wrapText="1"/>
    </xf>
    <xf numFmtId="49" fontId="3" fillId="3" borderId="58" xfId="0" applyNumberFormat="1" applyFont="1" applyFill="1" applyBorder="1" applyAlignment="1">
      <alignment horizontal="center" vertical="center" wrapText="1"/>
    </xf>
    <xf numFmtId="49" fontId="3" fillId="3" borderId="63" xfId="0" applyNumberFormat="1" applyFont="1" applyFill="1" applyBorder="1" applyAlignment="1">
      <alignment horizontal="center" vertical="center" wrapText="1"/>
    </xf>
    <xf numFmtId="49" fontId="3" fillId="4" borderId="63" xfId="0" applyNumberFormat="1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49" fontId="3" fillId="6" borderId="63" xfId="0" applyNumberFormat="1" applyFont="1" applyFill="1" applyBorder="1" applyAlignment="1">
      <alignment horizontal="center" vertical="center" wrapText="1"/>
    </xf>
    <xf numFmtId="49" fontId="3" fillId="5" borderId="63" xfId="0" applyNumberFormat="1" applyFont="1" applyFill="1" applyBorder="1" applyAlignment="1">
      <alignment horizontal="center" vertical="center" wrapText="1"/>
    </xf>
    <xf numFmtId="0" fontId="3" fillId="5" borderId="63" xfId="0" applyFont="1" applyFill="1" applyBorder="1" applyAlignment="1">
      <alignment horizontal="center" vertical="center" wrapText="1"/>
    </xf>
    <xf numFmtId="0" fontId="3" fillId="6" borderId="64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1" fontId="0" fillId="0" borderId="66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" fillId="17" borderId="59" xfId="0" applyFont="1" applyFill="1" applyBorder="1" applyAlignment="1">
      <alignment horizontal="center" vertical="center" wrapText="1"/>
    </xf>
    <xf numFmtId="0" fontId="3" fillId="17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3" fillId="17" borderId="54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3" fillId="18" borderId="71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18" borderId="19" xfId="0" applyFont="1" applyFill="1" applyBorder="1" applyAlignment="1">
      <alignment horizontal="center" vertical="center" wrapText="1"/>
    </xf>
    <xf numFmtId="0" fontId="0" fillId="13" borderId="72" xfId="0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5" borderId="35" xfId="0" applyFont="1" applyFill="1" applyBorder="1" applyAlignment="1">
      <alignment horizontal="center" vertical="center" wrapText="1"/>
    </xf>
    <xf numFmtId="49" fontId="3" fillId="17" borderId="35" xfId="0" applyNumberFormat="1" applyFont="1" applyFill="1" applyBorder="1" applyAlignment="1">
      <alignment horizontal="center" vertical="center" wrapText="1"/>
    </xf>
    <xf numFmtId="0" fontId="18" fillId="14" borderId="73" xfId="0" applyFont="1" applyFill="1" applyBorder="1" applyAlignment="1">
      <alignment horizontal="center" vertical="center" wrapText="1"/>
    </xf>
    <xf numFmtId="0" fontId="18" fillId="14" borderId="74" xfId="0" applyFont="1" applyFill="1" applyBorder="1" applyAlignment="1">
      <alignment horizontal="center" vertical="center" wrapText="1"/>
    </xf>
    <xf numFmtId="49" fontId="3" fillId="15" borderId="11" xfId="0" applyNumberFormat="1" applyFont="1" applyFill="1" applyBorder="1" applyAlignment="1">
      <alignment horizontal="center" vertical="center" wrapText="1"/>
    </xf>
    <xf numFmtId="0" fontId="0" fillId="13" borderId="79" xfId="0" applyFill="1" applyBorder="1" applyAlignment="1">
      <alignment horizontal="center" vertical="center" wrapText="1"/>
    </xf>
    <xf numFmtId="0" fontId="0" fillId="13" borderId="80" xfId="0" applyFill="1" applyBorder="1" applyAlignment="1">
      <alignment horizontal="center" vertical="center" wrapText="1"/>
    </xf>
    <xf numFmtId="1" fontId="0" fillId="13" borderId="80" xfId="0" applyNumberFormat="1" applyFill="1" applyBorder="1" applyAlignment="1">
      <alignment horizontal="center" vertical="center" wrapText="1"/>
    </xf>
    <xf numFmtId="0" fontId="0" fillId="13" borderId="38" xfId="0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0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2" borderId="57" xfId="0" applyFont="1" applyFill="1" applyBorder="1" applyAlignment="1" applyProtection="1">
      <alignment horizontal="center" vertical="center" wrapText="1"/>
      <protection locked="0"/>
    </xf>
    <xf numFmtId="1" fontId="0" fillId="13" borderId="78" xfId="0" applyNumberFormat="1" applyFill="1" applyBorder="1" applyAlignment="1">
      <alignment horizontal="center" vertical="center" wrapText="1"/>
    </xf>
    <xf numFmtId="0" fontId="0" fillId="13" borderId="77" xfId="0" applyFill="1" applyBorder="1" applyAlignment="1">
      <alignment horizontal="center" vertical="center" wrapText="1"/>
    </xf>
    <xf numFmtId="0" fontId="0" fillId="13" borderId="76" xfId="0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18" fillId="12" borderId="38" xfId="0" applyFont="1" applyFill="1" applyBorder="1" applyAlignment="1">
      <alignment horizontal="center" vertical="center" wrapText="1"/>
    </xf>
    <xf numFmtId="0" fontId="18" fillId="12" borderId="40" xfId="0" applyFont="1" applyFill="1" applyBorder="1" applyAlignment="1">
      <alignment horizontal="center" vertical="center" wrapText="1"/>
    </xf>
    <xf numFmtId="1" fontId="0" fillId="13" borderId="70" xfId="0" applyNumberFormat="1" applyFill="1" applyBorder="1" applyAlignment="1">
      <alignment horizontal="center" vertical="center" wrapText="1"/>
    </xf>
    <xf numFmtId="1" fontId="0" fillId="13" borderId="47" xfId="0" applyNumberFormat="1" applyFill="1" applyBorder="1" applyAlignment="1">
      <alignment horizontal="center" vertical="center" wrapText="1"/>
    </xf>
    <xf numFmtId="0" fontId="0" fillId="13" borderId="46" xfId="0" applyFill="1" applyBorder="1" applyAlignment="1">
      <alignment horizontal="center" vertical="center" wrapText="1"/>
    </xf>
    <xf numFmtId="0" fontId="0" fillId="13" borderId="47" xfId="0" applyFill="1" applyBorder="1" applyAlignment="1">
      <alignment horizontal="center" vertical="center" wrapText="1"/>
    </xf>
    <xf numFmtId="0" fontId="0" fillId="13" borderId="51" xfId="0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1" fontId="0" fillId="13" borderId="46" xfId="0" applyNumberFormat="1" applyFill="1" applyBorder="1" applyAlignment="1">
      <alignment horizontal="center" vertical="center" wrapText="1"/>
    </xf>
    <xf numFmtId="0" fontId="0" fillId="13" borderId="48" xfId="0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8" fillId="12" borderId="57" xfId="0" applyFont="1" applyFill="1" applyBorder="1" applyAlignment="1">
      <alignment horizontal="center" vertical="center" wrapText="1"/>
    </xf>
    <xf numFmtId="0" fontId="0" fillId="13" borderId="75" xfId="0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13" borderId="81" xfId="0" applyFill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13" borderId="61" xfId="0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49" fontId="0" fillId="0" borderId="57" xfId="0" applyNumberForma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49" fontId="7" fillId="0" borderId="57" xfId="0" applyNumberFormat="1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3" fillId="15" borderId="60" xfId="0" applyFont="1" applyFill="1" applyBorder="1" applyAlignment="1">
      <alignment horizontal="center" vertical="center" wrapText="1"/>
    </xf>
    <xf numFmtId="0" fontId="3" fillId="15" borderId="61" xfId="0" applyFont="1" applyFill="1" applyBorder="1" applyAlignment="1">
      <alignment horizontal="center" vertical="center" wrapText="1"/>
    </xf>
    <xf numFmtId="0" fontId="3" fillId="15" borderId="62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1" fontId="0" fillId="13" borderId="60" xfId="0" applyNumberFormat="1" applyFill="1" applyBorder="1" applyAlignment="1">
      <alignment horizontal="center" vertical="center" wrapText="1"/>
    </xf>
    <xf numFmtId="0" fontId="0" fillId="13" borderId="60" xfId="0" applyFill="1" applyBorder="1" applyAlignment="1">
      <alignment horizontal="center" vertical="center" wrapText="1"/>
    </xf>
    <xf numFmtId="1" fontId="0" fillId="13" borderId="57" xfId="0" applyNumberFormat="1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49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1" fontId="0" fillId="0" borderId="84" xfId="0" applyNumberFormat="1" applyBorder="1" applyAlignment="1">
      <alignment horizontal="center" vertical="center"/>
    </xf>
    <xf numFmtId="0" fontId="0" fillId="0" borderId="84" xfId="0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1362076</xdr:colOff>
      <xdr:row>0</xdr:row>
      <xdr:rowOff>19050</xdr:rowOff>
    </xdr:from>
    <xdr:to>
      <xdr:col>1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XFD1048576"/>
    </sheetView>
  </sheetViews>
  <sheetFormatPr defaultRowHeight="120.75" customHeight="1" x14ac:dyDescent="0.25"/>
  <cols>
    <col min="1" max="1" width="31.28515625" style="31" customWidth="1"/>
    <col min="2" max="2" width="94.7109375" style="31" customWidth="1"/>
    <col min="3" max="3" width="51.7109375" style="31" customWidth="1"/>
    <col min="4" max="253" width="9.140625" style="31"/>
    <col min="254" max="254" width="1.42578125" style="31" customWidth="1"/>
    <col min="255" max="255" width="31.28515625" style="31" customWidth="1"/>
    <col min="256" max="256" width="83.5703125" style="31" bestFit="1" customWidth="1"/>
    <col min="257" max="257" width="51.7109375" style="31" customWidth="1"/>
    <col min="258" max="509" width="9.140625" style="31"/>
    <col min="510" max="510" width="1.42578125" style="31" customWidth="1"/>
    <col min="511" max="511" width="31.28515625" style="31" customWidth="1"/>
    <col min="512" max="512" width="83.5703125" style="31" bestFit="1" customWidth="1"/>
    <col min="513" max="513" width="51.7109375" style="31" customWidth="1"/>
    <col min="514" max="765" width="9.140625" style="31"/>
    <col min="766" max="766" width="1.42578125" style="31" customWidth="1"/>
    <col min="767" max="767" width="31.28515625" style="31" customWidth="1"/>
    <col min="768" max="768" width="83.5703125" style="31" bestFit="1" customWidth="1"/>
    <col min="769" max="769" width="51.7109375" style="31" customWidth="1"/>
    <col min="770" max="1021" width="9.140625" style="31"/>
    <col min="1022" max="1022" width="1.42578125" style="31" customWidth="1"/>
    <col min="1023" max="1023" width="31.28515625" style="31" customWidth="1"/>
    <col min="1024" max="1024" width="83.5703125" style="31" bestFit="1" customWidth="1"/>
    <col min="1025" max="1025" width="51.7109375" style="31" customWidth="1"/>
    <col min="1026" max="1277" width="9.140625" style="31"/>
    <col min="1278" max="1278" width="1.42578125" style="31" customWidth="1"/>
    <col min="1279" max="1279" width="31.28515625" style="31" customWidth="1"/>
    <col min="1280" max="1280" width="83.5703125" style="31" bestFit="1" customWidth="1"/>
    <col min="1281" max="1281" width="51.7109375" style="31" customWidth="1"/>
    <col min="1282" max="1533" width="9.140625" style="31"/>
    <col min="1534" max="1534" width="1.42578125" style="31" customWidth="1"/>
    <col min="1535" max="1535" width="31.28515625" style="31" customWidth="1"/>
    <col min="1536" max="1536" width="83.5703125" style="31" bestFit="1" customWidth="1"/>
    <col min="1537" max="1537" width="51.7109375" style="31" customWidth="1"/>
    <col min="1538" max="1789" width="9.140625" style="31"/>
    <col min="1790" max="1790" width="1.42578125" style="31" customWidth="1"/>
    <col min="1791" max="1791" width="31.28515625" style="31" customWidth="1"/>
    <col min="1792" max="1792" width="83.5703125" style="31" bestFit="1" customWidth="1"/>
    <col min="1793" max="1793" width="51.7109375" style="31" customWidth="1"/>
    <col min="1794" max="2045" width="9.140625" style="31"/>
    <col min="2046" max="2046" width="1.42578125" style="31" customWidth="1"/>
    <col min="2047" max="2047" width="31.28515625" style="31" customWidth="1"/>
    <col min="2048" max="2048" width="83.5703125" style="31" bestFit="1" customWidth="1"/>
    <col min="2049" max="2049" width="51.7109375" style="31" customWidth="1"/>
    <col min="2050" max="2301" width="9.140625" style="31"/>
    <col min="2302" max="2302" width="1.42578125" style="31" customWidth="1"/>
    <col min="2303" max="2303" width="31.28515625" style="31" customWidth="1"/>
    <col min="2304" max="2304" width="83.5703125" style="31" bestFit="1" customWidth="1"/>
    <col min="2305" max="2305" width="51.7109375" style="31" customWidth="1"/>
    <col min="2306" max="2557" width="9.140625" style="31"/>
    <col min="2558" max="2558" width="1.42578125" style="31" customWidth="1"/>
    <col min="2559" max="2559" width="31.28515625" style="31" customWidth="1"/>
    <col min="2560" max="2560" width="83.5703125" style="31" bestFit="1" customWidth="1"/>
    <col min="2561" max="2561" width="51.7109375" style="31" customWidth="1"/>
    <col min="2562" max="2813" width="9.140625" style="31"/>
    <col min="2814" max="2814" width="1.42578125" style="31" customWidth="1"/>
    <col min="2815" max="2815" width="31.28515625" style="31" customWidth="1"/>
    <col min="2816" max="2816" width="83.5703125" style="31" bestFit="1" customWidth="1"/>
    <col min="2817" max="2817" width="51.7109375" style="31" customWidth="1"/>
    <col min="2818" max="3069" width="9.140625" style="31"/>
    <col min="3070" max="3070" width="1.42578125" style="31" customWidth="1"/>
    <col min="3071" max="3071" width="31.28515625" style="31" customWidth="1"/>
    <col min="3072" max="3072" width="83.5703125" style="31" bestFit="1" customWidth="1"/>
    <col min="3073" max="3073" width="51.7109375" style="31" customWidth="1"/>
    <col min="3074" max="3325" width="9.140625" style="31"/>
    <col min="3326" max="3326" width="1.42578125" style="31" customWidth="1"/>
    <col min="3327" max="3327" width="31.28515625" style="31" customWidth="1"/>
    <col min="3328" max="3328" width="83.5703125" style="31" bestFit="1" customWidth="1"/>
    <col min="3329" max="3329" width="51.7109375" style="31" customWidth="1"/>
    <col min="3330" max="3581" width="9.140625" style="31"/>
    <col min="3582" max="3582" width="1.42578125" style="31" customWidth="1"/>
    <col min="3583" max="3583" width="31.28515625" style="31" customWidth="1"/>
    <col min="3584" max="3584" width="83.5703125" style="31" bestFit="1" customWidth="1"/>
    <col min="3585" max="3585" width="51.7109375" style="31" customWidth="1"/>
    <col min="3586" max="3837" width="9.140625" style="31"/>
    <col min="3838" max="3838" width="1.42578125" style="31" customWidth="1"/>
    <col min="3839" max="3839" width="31.28515625" style="31" customWidth="1"/>
    <col min="3840" max="3840" width="83.5703125" style="31" bestFit="1" customWidth="1"/>
    <col min="3841" max="3841" width="51.7109375" style="31" customWidth="1"/>
    <col min="3842" max="4093" width="9.140625" style="31"/>
    <col min="4094" max="4094" width="1.42578125" style="31" customWidth="1"/>
    <col min="4095" max="4095" width="31.28515625" style="31" customWidth="1"/>
    <col min="4096" max="4096" width="83.5703125" style="31" bestFit="1" customWidth="1"/>
    <col min="4097" max="4097" width="51.7109375" style="31" customWidth="1"/>
    <col min="4098" max="4349" width="9.140625" style="31"/>
    <col min="4350" max="4350" width="1.42578125" style="31" customWidth="1"/>
    <col min="4351" max="4351" width="31.28515625" style="31" customWidth="1"/>
    <col min="4352" max="4352" width="83.5703125" style="31" bestFit="1" customWidth="1"/>
    <col min="4353" max="4353" width="51.7109375" style="31" customWidth="1"/>
    <col min="4354" max="4605" width="9.140625" style="31"/>
    <col min="4606" max="4606" width="1.42578125" style="31" customWidth="1"/>
    <col min="4607" max="4607" width="31.28515625" style="31" customWidth="1"/>
    <col min="4608" max="4608" width="83.5703125" style="31" bestFit="1" customWidth="1"/>
    <col min="4609" max="4609" width="51.7109375" style="31" customWidth="1"/>
    <col min="4610" max="4861" width="9.140625" style="31"/>
    <col min="4862" max="4862" width="1.42578125" style="31" customWidth="1"/>
    <col min="4863" max="4863" width="31.28515625" style="31" customWidth="1"/>
    <col min="4864" max="4864" width="83.5703125" style="31" bestFit="1" customWidth="1"/>
    <col min="4865" max="4865" width="51.7109375" style="31" customWidth="1"/>
    <col min="4866" max="5117" width="9.140625" style="31"/>
    <col min="5118" max="5118" width="1.42578125" style="31" customWidth="1"/>
    <col min="5119" max="5119" width="31.28515625" style="31" customWidth="1"/>
    <col min="5120" max="5120" width="83.5703125" style="31" bestFit="1" customWidth="1"/>
    <col min="5121" max="5121" width="51.7109375" style="31" customWidth="1"/>
    <col min="5122" max="5373" width="9.140625" style="31"/>
    <col min="5374" max="5374" width="1.42578125" style="31" customWidth="1"/>
    <col min="5375" max="5375" width="31.28515625" style="31" customWidth="1"/>
    <col min="5376" max="5376" width="83.5703125" style="31" bestFit="1" customWidth="1"/>
    <col min="5377" max="5377" width="51.7109375" style="31" customWidth="1"/>
    <col min="5378" max="5629" width="9.140625" style="31"/>
    <col min="5630" max="5630" width="1.42578125" style="31" customWidth="1"/>
    <col min="5631" max="5631" width="31.28515625" style="31" customWidth="1"/>
    <col min="5632" max="5632" width="83.5703125" style="31" bestFit="1" customWidth="1"/>
    <col min="5633" max="5633" width="51.7109375" style="31" customWidth="1"/>
    <col min="5634" max="5885" width="9.140625" style="31"/>
    <col min="5886" max="5886" width="1.42578125" style="31" customWidth="1"/>
    <col min="5887" max="5887" width="31.28515625" style="31" customWidth="1"/>
    <col min="5888" max="5888" width="83.5703125" style="31" bestFit="1" customWidth="1"/>
    <col min="5889" max="5889" width="51.7109375" style="31" customWidth="1"/>
    <col min="5890" max="6141" width="9.140625" style="31"/>
    <col min="6142" max="6142" width="1.42578125" style="31" customWidth="1"/>
    <col min="6143" max="6143" width="31.28515625" style="31" customWidth="1"/>
    <col min="6144" max="6144" width="83.5703125" style="31" bestFit="1" customWidth="1"/>
    <col min="6145" max="6145" width="51.7109375" style="31" customWidth="1"/>
    <col min="6146" max="6397" width="9.140625" style="31"/>
    <col min="6398" max="6398" width="1.42578125" style="31" customWidth="1"/>
    <col min="6399" max="6399" width="31.28515625" style="31" customWidth="1"/>
    <col min="6400" max="6400" width="83.5703125" style="31" bestFit="1" customWidth="1"/>
    <col min="6401" max="6401" width="51.7109375" style="31" customWidth="1"/>
    <col min="6402" max="6653" width="9.140625" style="31"/>
    <col min="6654" max="6654" width="1.42578125" style="31" customWidth="1"/>
    <col min="6655" max="6655" width="31.28515625" style="31" customWidth="1"/>
    <col min="6656" max="6656" width="83.5703125" style="31" bestFit="1" customWidth="1"/>
    <col min="6657" max="6657" width="51.7109375" style="31" customWidth="1"/>
    <col min="6658" max="6909" width="9.140625" style="31"/>
    <col min="6910" max="6910" width="1.42578125" style="31" customWidth="1"/>
    <col min="6911" max="6911" width="31.28515625" style="31" customWidth="1"/>
    <col min="6912" max="6912" width="83.5703125" style="31" bestFit="1" customWidth="1"/>
    <col min="6913" max="6913" width="51.7109375" style="31" customWidth="1"/>
    <col min="6914" max="7165" width="9.140625" style="31"/>
    <col min="7166" max="7166" width="1.42578125" style="31" customWidth="1"/>
    <col min="7167" max="7167" width="31.28515625" style="31" customWidth="1"/>
    <col min="7168" max="7168" width="83.5703125" style="31" bestFit="1" customWidth="1"/>
    <col min="7169" max="7169" width="51.7109375" style="31" customWidth="1"/>
    <col min="7170" max="7421" width="9.140625" style="31"/>
    <col min="7422" max="7422" width="1.42578125" style="31" customWidth="1"/>
    <col min="7423" max="7423" width="31.28515625" style="31" customWidth="1"/>
    <col min="7424" max="7424" width="83.5703125" style="31" bestFit="1" customWidth="1"/>
    <col min="7425" max="7425" width="51.7109375" style="31" customWidth="1"/>
    <col min="7426" max="7677" width="9.140625" style="31"/>
    <col min="7678" max="7678" width="1.42578125" style="31" customWidth="1"/>
    <col min="7679" max="7679" width="31.28515625" style="31" customWidth="1"/>
    <col min="7680" max="7680" width="83.5703125" style="31" bestFit="1" customWidth="1"/>
    <col min="7681" max="7681" width="51.7109375" style="31" customWidth="1"/>
    <col min="7682" max="7933" width="9.140625" style="31"/>
    <col min="7934" max="7934" width="1.42578125" style="31" customWidth="1"/>
    <col min="7935" max="7935" width="31.28515625" style="31" customWidth="1"/>
    <col min="7936" max="7936" width="83.5703125" style="31" bestFit="1" customWidth="1"/>
    <col min="7937" max="7937" width="51.7109375" style="31" customWidth="1"/>
    <col min="7938" max="8189" width="9.140625" style="31"/>
    <col min="8190" max="8190" width="1.42578125" style="31" customWidth="1"/>
    <col min="8191" max="8191" width="31.28515625" style="31" customWidth="1"/>
    <col min="8192" max="8192" width="83.5703125" style="31" bestFit="1" customWidth="1"/>
    <col min="8193" max="8193" width="51.7109375" style="31" customWidth="1"/>
    <col min="8194" max="8445" width="9.140625" style="31"/>
    <col min="8446" max="8446" width="1.42578125" style="31" customWidth="1"/>
    <col min="8447" max="8447" width="31.28515625" style="31" customWidth="1"/>
    <col min="8448" max="8448" width="83.5703125" style="31" bestFit="1" customWidth="1"/>
    <col min="8449" max="8449" width="51.7109375" style="31" customWidth="1"/>
    <col min="8450" max="8701" width="9.140625" style="31"/>
    <col min="8702" max="8702" width="1.42578125" style="31" customWidth="1"/>
    <col min="8703" max="8703" width="31.28515625" style="31" customWidth="1"/>
    <col min="8704" max="8704" width="83.5703125" style="31" bestFit="1" customWidth="1"/>
    <col min="8705" max="8705" width="51.7109375" style="31" customWidth="1"/>
    <col min="8706" max="8957" width="9.140625" style="31"/>
    <col min="8958" max="8958" width="1.42578125" style="31" customWidth="1"/>
    <col min="8959" max="8959" width="31.28515625" style="31" customWidth="1"/>
    <col min="8960" max="8960" width="83.5703125" style="31" bestFit="1" customWidth="1"/>
    <col min="8961" max="8961" width="51.7109375" style="31" customWidth="1"/>
    <col min="8962" max="9213" width="9.140625" style="31"/>
    <col min="9214" max="9214" width="1.42578125" style="31" customWidth="1"/>
    <col min="9215" max="9215" width="31.28515625" style="31" customWidth="1"/>
    <col min="9216" max="9216" width="83.5703125" style="31" bestFit="1" customWidth="1"/>
    <col min="9217" max="9217" width="51.7109375" style="31" customWidth="1"/>
    <col min="9218" max="9469" width="9.140625" style="31"/>
    <col min="9470" max="9470" width="1.42578125" style="31" customWidth="1"/>
    <col min="9471" max="9471" width="31.28515625" style="31" customWidth="1"/>
    <col min="9472" max="9472" width="83.5703125" style="31" bestFit="1" customWidth="1"/>
    <col min="9473" max="9473" width="51.7109375" style="31" customWidth="1"/>
    <col min="9474" max="9725" width="9.140625" style="31"/>
    <col min="9726" max="9726" width="1.42578125" style="31" customWidth="1"/>
    <col min="9727" max="9727" width="31.28515625" style="31" customWidth="1"/>
    <col min="9728" max="9728" width="83.5703125" style="31" bestFit="1" customWidth="1"/>
    <col min="9729" max="9729" width="51.7109375" style="31" customWidth="1"/>
    <col min="9730" max="9981" width="9.140625" style="31"/>
    <col min="9982" max="9982" width="1.42578125" style="31" customWidth="1"/>
    <col min="9983" max="9983" width="31.28515625" style="31" customWidth="1"/>
    <col min="9984" max="9984" width="83.5703125" style="31" bestFit="1" customWidth="1"/>
    <col min="9985" max="9985" width="51.7109375" style="31" customWidth="1"/>
    <col min="9986" max="10237" width="9.140625" style="31"/>
    <col min="10238" max="10238" width="1.42578125" style="31" customWidth="1"/>
    <col min="10239" max="10239" width="31.28515625" style="31" customWidth="1"/>
    <col min="10240" max="10240" width="83.5703125" style="31" bestFit="1" customWidth="1"/>
    <col min="10241" max="10241" width="51.7109375" style="31" customWidth="1"/>
    <col min="10242" max="10493" width="9.140625" style="31"/>
    <col min="10494" max="10494" width="1.42578125" style="31" customWidth="1"/>
    <col min="10495" max="10495" width="31.28515625" style="31" customWidth="1"/>
    <col min="10496" max="10496" width="83.5703125" style="31" bestFit="1" customWidth="1"/>
    <col min="10497" max="10497" width="51.7109375" style="31" customWidth="1"/>
    <col min="10498" max="10749" width="9.140625" style="31"/>
    <col min="10750" max="10750" width="1.42578125" style="31" customWidth="1"/>
    <col min="10751" max="10751" width="31.28515625" style="31" customWidth="1"/>
    <col min="10752" max="10752" width="83.5703125" style="31" bestFit="1" customWidth="1"/>
    <col min="10753" max="10753" width="51.7109375" style="31" customWidth="1"/>
    <col min="10754" max="11005" width="9.140625" style="31"/>
    <col min="11006" max="11006" width="1.42578125" style="31" customWidth="1"/>
    <col min="11007" max="11007" width="31.28515625" style="31" customWidth="1"/>
    <col min="11008" max="11008" width="83.5703125" style="31" bestFit="1" customWidth="1"/>
    <col min="11009" max="11009" width="51.7109375" style="31" customWidth="1"/>
    <col min="11010" max="11261" width="9.140625" style="31"/>
    <col min="11262" max="11262" width="1.42578125" style="31" customWidth="1"/>
    <col min="11263" max="11263" width="31.28515625" style="31" customWidth="1"/>
    <col min="11264" max="11264" width="83.5703125" style="31" bestFit="1" customWidth="1"/>
    <col min="11265" max="11265" width="51.7109375" style="31" customWidth="1"/>
    <col min="11266" max="11517" width="9.140625" style="31"/>
    <col min="11518" max="11518" width="1.42578125" style="31" customWidth="1"/>
    <col min="11519" max="11519" width="31.28515625" style="31" customWidth="1"/>
    <col min="11520" max="11520" width="83.5703125" style="31" bestFit="1" customWidth="1"/>
    <col min="11521" max="11521" width="51.7109375" style="31" customWidth="1"/>
    <col min="11522" max="11773" width="9.140625" style="31"/>
    <col min="11774" max="11774" width="1.42578125" style="31" customWidth="1"/>
    <col min="11775" max="11775" width="31.28515625" style="31" customWidth="1"/>
    <col min="11776" max="11776" width="83.5703125" style="31" bestFit="1" customWidth="1"/>
    <col min="11777" max="11777" width="51.7109375" style="31" customWidth="1"/>
    <col min="11778" max="12029" width="9.140625" style="31"/>
    <col min="12030" max="12030" width="1.42578125" style="31" customWidth="1"/>
    <col min="12031" max="12031" width="31.28515625" style="31" customWidth="1"/>
    <col min="12032" max="12032" width="83.5703125" style="31" bestFit="1" customWidth="1"/>
    <col min="12033" max="12033" width="51.7109375" style="31" customWidth="1"/>
    <col min="12034" max="12285" width="9.140625" style="31"/>
    <col min="12286" max="12286" width="1.42578125" style="31" customWidth="1"/>
    <col min="12287" max="12287" width="31.28515625" style="31" customWidth="1"/>
    <col min="12288" max="12288" width="83.5703125" style="31" bestFit="1" customWidth="1"/>
    <col min="12289" max="12289" width="51.7109375" style="31" customWidth="1"/>
    <col min="12290" max="12541" width="9.140625" style="31"/>
    <col min="12542" max="12542" width="1.42578125" style="31" customWidth="1"/>
    <col min="12543" max="12543" width="31.28515625" style="31" customWidth="1"/>
    <col min="12544" max="12544" width="83.5703125" style="31" bestFit="1" customWidth="1"/>
    <col min="12545" max="12545" width="51.7109375" style="31" customWidth="1"/>
    <col min="12546" max="12797" width="9.140625" style="31"/>
    <col min="12798" max="12798" width="1.42578125" style="31" customWidth="1"/>
    <col min="12799" max="12799" width="31.28515625" style="31" customWidth="1"/>
    <col min="12800" max="12800" width="83.5703125" style="31" bestFit="1" customWidth="1"/>
    <col min="12801" max="12801" width="51.7109375" style="31" customWidth="1"/>
    <col min="12802" max="13053" width="9.140625" style="31"/>
    <col min="13054" max="13054" width="1.42578125" style="31" customWidth="1"/>
    <col min="13055" max="13055" width="31.28515625" style="31" customWidth="1"/>
    <col min="13056" max="13056" width="83.5703125" style="31" bestFit="1" customWidth="1"/>
    <col min="13057" max="13057" width="51.7109375" style="31" customWidth="1"/>
    <col min="13058" max="13309" width="9.140625" style="31"/>
    <col min="13310" max="13310" width="1.42578125" style="31" customWidth="1"/>
    <col min="13311" max="13311" width="31.28515625" style="31" customWidth="1"/>
    <col min="13312" max="13312" width="83.5703125" style="31" bestFit="1" customWidth="1"/>
    <col min="13313" max="13313" width="51.7109375" style="31" customWidth="1"/>
    <col min="13314" max="13565" width="9.140625" style="31"/>
    <col min="13566" max="13566" width="1.42578125" style="31" customWidth="1"/>
    <col min="13567" max="13567" width="31.28515625" style="31" customWidth="1"/>
    <col min="13568" max="13568" width="83.5703125" style="31" bestFit="1" customWidth="1"/>
    <col min="13569" max="13569" width="51.7109375" style="31" customWidth="1"/>
    <col min="13570" max="13821" width="9.140625" style="31"/>
    <col min="13822" max="13822" width="1.42578125" style="31" customWidth="1"/>
    <col min="13823" max="13823" width="31.28515625" style="31" customWidth="1"/>
    <col min="13824" max="13824" width="83.5703125" style="31" bestFit="1" customWidth="1"/>
    <col min="13825" max="13825" width="51.7109375" style="31" customWidth="1"/>
    <col min="13826" max="14077" width="9.140625" style="31"/>
    <col min="14078" max="14078" width="1.42578125" style="31" customWidth="1"/>
    <col min="14079" max="14079" width="31.28515625" style="31" customWidth="1"/>
    <col min="14080" max="14080" width="83.5703125" style="31" bestFit="1" customWidth="1"/>
    <col min="14081" max="14081" width="51.7109375" style="31" customWidth="1"/>
    <col min="14082" max="14333" width="9.140625" style="31"/>
    <col min="14334" max="14334" width="1.42578125" style="31" customWidth="1"/>
    <col min="14335" max="14335" width="31.28515625" style="31" customWidth="1"/>
    <col min="14336" max="14336" width="83.5703125" style="31" bestFit="1" customWidth="1"/>
    <col min="14337" max="14337" width="51.7109375" style="31" customWidth="1"/>
    <col min="14338" max="14589" width="9.140625" style="31"/>
    <col min="14590" max="14590" width="1.42578125" style="31" customWidth="1"/>
    <col min="14591" max="14591" width="31.28515625" style="31" customWidth="1"/>
    <col min="14592" max="14592" width="83.5703125" style="31" bestFit="1" customWidth="1"/>
    <col min="14593" max="14593" width="51.7109375" style="31" customWidth="1"/>
    <col min="14594" max="14845" width="9.140625" style="31"/>
    <col min="14846" max="14846" width="1.42578125" style="31" customWidth="1"/>
    <col min="14847" max="14847" width="31.28515625" style="31" customWidth="1"/>
    <col min="14848" max="14848" width="83.5703125" style="31" bestFit="1" customWidth="1"/>
    <col min="14849" max="14849" width="51.7109375" style="31" customWidth="1"/>
    <col min="14850" max="15101" width="9.140625" style="31"/>
    <col min="15102" max="15102" width="1.42578125" style="31" customWidth="1"/>
    <col min="15103" max="15103" width="31.28515625" style="31" customWidth="1"/>
    <col min="15104" max="15104" width="83.5703125" style="31" bestFit="1" customWidth="1"/>
    <col min="15105" max="15105" width="51.7109375" style="31" customWidth="1"/>
    <col min="15106" max="15357" width="9.140625" style="31"/>
    <col min="15358" max="15358" width="1.42578125" style="31" customWidth="1"/>
    <col min="15359" max="15359" width="31.28515625" style="31" customWidth="1"/>
    <col min="15360" max="15360" width="83.5703125" style="31" bestFit="1" customWidth="1"/>
    <col min="15361" max="15361" width="51.7109375" style="31" customWidth="1"/>
    <col min="15362" max="15613" width="9.140625" style="31"/>
    <col min="15614" max="15614" width="1.42578125" style="31" customWidth="1"/>
    <col min="15615" max="15615" width="31.28515625" style="31" customWidth="1"/>
    <col min="15616" max="15616" width="83.5703125" style="31" bestFit="1" customWidth="1"/>
    <col min="15617" max="15617" width="51.7109375" style="31" customWidth="1"/>
    <col min="15618" max="15869" width="9.140625" style="31"/>
    <col min="15870" max="15870" width="1.42578125" style="31" customWidth="1"/>
    <col min="15871" max="15871" width="31.28515625" style="31" customWidth="1"/>
    <col min="15872" max="15872" width="83.5703125" style="31" bestFit="1" customWidth="1"/>
    <col min="15873" max="15873" width="51.7109375" style="31" customWidth="1"/>
    <col min="15874" max="16125" width="9.140625" style="31"/>
    <col min="16126" max="16126" width="1.42578125" style="31" customWidth="1"/>
    <col min="16127" max="16127" width="31.28515625" style="31" customWidth="1"/>
    <col min="16128" max="16128" width="83.5703125" style="31" bestFit="1" customWidth="1"/>
    <col min="16129" max="16129" width="51.7109375" style="31" customWidth="1"/>
    <col min="16130" max="16384" width="9.140625" style="31"/>
  </cols>
  <sheetData>
    <row r="1" spans="1:14" ht="135" customHeight="1" x14ac:dyDescent="0.25"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 ht="60" customHeight="1" x14ac:dyDescent="0.25">
      <c r="A2" s="114" t="s">
        <v>41</v>
      </c>
      <c r="B2" s="11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 ht="15" customHeight="1" x14ac:dyDescent="0.25">
      <c r="A3" s="41" t="s">
        <v>0</v>
      </c>
      <c r="B3" s="42" t="s">
        <v>561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15" customHeight="1" x14ac:dyDescent="0.25">
      <c r="A4" s="41" t="s">
        <v>1</v>
      </c>
      <c r="B4" s="42" t="s">
        <v>562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</row>
    <row r="5" spans="1:14" ht="15" customHeight="1" x14ac:dyDescent="0.25">
      <c r="A5" s="41" t="s">
        <v>2</v>
      </c>
      <c r="B5" s="42" t="s">
        <v>83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 ht="15" customHeight="1" x14ac:dyDescent="0.25">
      <c r="A6" s="41" t="s">
        <v>3</v>
      </c>
      <c r="B6" s="43">
        <v>45534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1:14" ht="15" customHeight="1" x14ac:dyDescent="0.25">
      <c r="A7" s="41" t="s">
        <v>4</v>
      </c>
      <c r="B7" s="42" t="s">
        <v>113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</row>
    <row r="8" spans="1:14" ht="15" customHeight="1" x14ac:dyDescent="0.25">
      <c r="A8" s="41" t="s">
        <v>5</v>
      </c>
      <c r="B8" s="42" t="s">
        <v>79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4" ht="150" customHeight="1" x14ac:dyDescent="0.25">
      <c r="A9" s="117" t="s">
        <v>6</v>
      </c>
      <c r="B9" s="117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</row>
    <row r="10" spans="1:14" ht="15" customHeight="1" x14ac:dyDescent="0.25">
      <c r="A10" s="117"/>
      <c r="B10" s="117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</row>
    <row r="11" spans="1:14" ht="120.75" customHeight="1" x14ac:dyDescent="0.2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</row>
    <row r="12" spans="1:14" ht="120.75" customHeight="1" x14ac:dyDescent="0.2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</row>
    <row r="61" ht="15" x14ac:dyDescent="0.25"/>
  </sheetData>
  <mergeCells count="4">
    <mergeCell ref="A2:B2"/>
    <mergeCell ref="A9:B10"/>
    <mergeCell ref="C1:N10"/>
    <mergeCell ref="A11:N1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7109375" style="31" customWidth="1"/>
    <col min="2" max="3" width="20.7109375" style="31" customWidth="1"/>
    <col min="4" max="4" width="10.7109375" style="31" customWidth="1"/>
    <col min="5" max="5" width="30.7109375" style="31" customWidth="1"/>
    <col min="6" max="6" width="10.7109375" style="31" customWidth="1"/>
    <col min="7" max="7" width="45.7109375" style="31" customWidth="1"/>
    <col min="8" max="8" width="11.7109375" style="31" customWidth="1"/>
    <col min="9" max="9" width="16.7109375" style="31" customWidth="1"/>
    <col min="10" max="10" width="5.7109375" style="31" customWidth="1"/>
    <col min="11" max="11" width="11.28515625" style="31" bestFit="1" customWidth="1"/>
    <col min="12" max="12" width="9.7109375" style="31" bestFit="1" customWidth="1"/>
    <col min="13" max="16384" width="9.140625" style="31"/>
  </cols>
  <sheetData>
    <row r="1" spans="1:11" ht="30" customHeight="1" thickBot="1" x14ac:dyDescent="0.35">
      <c r="A1" s="119" t="s">
        <v>4</v>
      </c>
      <c r="B1" s="119"/>
      <c r="C1" s="118" t="str">
        <f>Copertina!B7</f>
        <v>MEV 2023_35_SIUS_Riforma_Cartabia</v>
      </c>
      <c r="D1" s="118"/>
      <c r="E1" s="118"/>
      <c r="F1" s="118"/>
      <c r="G1" s="118"/>
      <c r="H1" s="118"/>
      <c r="I1" s="118"/>
      <c r="J1" s="118"/>
    </row>
    <row r="2" spans="1:11" ht="30" customHeight="1" thickBot="1" x14ac:dyDescent="0.35">
      <c r="A2" s="119" t="s">
        <v>11</v>
      </c>
      <c r="B2" s="119"/>
      <c r="C2" s="118" t="str">
        <f>Copertina!B3</f>
        <v>SIUT-SIES-CT-1.0-20240830-Allegato_al_piano_Test_2023_035_SIUS_Riforma_Cartabia.xlsx</v>
      </c>
      <c r="D2" s="118"/>
      <c r="E2" s="118"/>
      <c r="F2" s="118"/>
      <c r="G2" s="118"/>
      <c r="H2" s="118"/>
      <c r="I2" s="118"/>
      <c r="J2" s="118"/>
    </row>
    <row r="3" spans="1:11" ht="30" customHeight="1" thickBot="1" x14ac:dyDescent="0.3">
      <c r="A3" s="71" t="s">
        <v>7</v>
      </c>
      <c r="B3" s="72" t="s">
        <v>85</v>
      </c>
      <c r="C3" s="73" t="s">
        <v>30</v>
      </c>
      <c r="D3" s="73" t="s">
        <v>86</v>
      </c>
      <c r="E3" s="73" t="s">
        <v>87</v>
      </c>
      <c r="F3" s="74" t="s">
        <v>8</v>
      </c>
      <c r="G3" s="75" t="s">
        <v>28</v>
      </c>
      <c r="H3" s="76" t="s">
        <v>9</v>
      </c>
      <c r="I3" s="77" t="s">
        <v>84</v>
      </c>
      <c r="J3" s="78" t="s">
        <v>10</v>
      </c>
    </row>
    <row r="4" spans="1:11" ht="60" x14ac:dyDescent="0.25">
      <c r="A4" s="79" t="s">
        <v>80</v>
      </c>
      <c r="B4" s="80" t="s">
        <v>114</v>
      </c>
      <c r="C4" s="80" t="str">
        <f t="shared" ref="C4:C64" si="0">B4</f>
        <v>PAR. 3.1-035-01</v>
      </c>
      <c r="D4" s="81" t="s">
        <v>76</v>
      </c>
      <c r="E4" s="82" t="s">
        <v>115</v>
      </c>
      <c r="F4" s="81" t="str">
        <f t="shared" ref="F4:F64" si="1">CONCATENATE("TF0",MID(B4,LEN(B4)-1,2),".",D4)</f>
        <v>TF001.UC01</v>
      </c>
      <c r="G4" s="82" t="s">
        <v>116</v>
      </c>
      <c r="H4" s="81">
        <v>3</v>
      </c>
      <c r="I4" s="81" t="s">
        <v>25</v>
      </c>
      <c r="J4" s="83"/>
      <c r="K4" s="37"/>
    </row>
    <row r="5" spans="1:11" ht="45" x14ac:dyDescent="0.25">
      <c r="A5" s="84" t="s">
        <v>80</v>
      </c>
      <c r="B5" s="85" t="s">
        <v>114</v>
      </c>
      <c r="C5" s="85" t="str">
        <f t="shared" si="0"/>
        <v>PAR. 3.1-035-01</v>
      </c>
      <c r="D5" s="86" t="s">
        <v>77</v>
      </c>
      <c r="E5" s="87" t="s">
        <v>133</v>
      </c>
      <c r="F5" s="86" t="str">
        <f t="shared" si="1"/>
        <v>TF001.UC02</v>
      </c>
      <c r="G5" s="87" t="s">
        <v>155</v>
      </c>
      <c r="H5" s="86">
        <v>2</v>
      </c>
      <c r="I5" s="86" t="s">
        <v>24</v>
      </c>
      <c r="J5" s="88"/>
      <c r="K5" s="37"/>
    </row>
    <row r="6" spans="1:11" ht="75" x14ac:dyDescent="0.25">
      <c r="A6" s="84" t="s">
        <v>80</v>
      </c>
      <c r="B6" s="85" t="s">
        <v>153</v>
      </c>
      <c r="C6" s="85" t="str">
        <f t="shared" si="0"/>
        <v>PAR. 3.2-035-02</v>
      </c>
      <c r="D6" s="86" t="s">
        <v>76</v>
      </c>
      <c r="E6" s="87" t="s">
        <v>152</v>
      </c>
      <c r="F6" s="86" t="str">
        <f>CONCATENATE("TF0",MID(B6,LEN(B6)-1,2),".",D6)</f>
        <v>TF002.UC01</v>
      </c>
      <c r="G6" s="87" t="s">
        <v>156</v>
      </c>
      <c r="H6" s="86">
        <v>3</v>
      </c>
      <c r="I6" s="86" t="s">
        <v>25</v>
      </c>
      <c r="J6" s="88"/>
      <c r="K6" s="37"/>
    </row>
    <row r="7" spans="1:11" ht="45" x14ac:dyDescent="0.25">
      <c r="A7" s="84" t="s">
        <v>80</v>
      </c>
      <c r="B7" s="85" t="s">
        <v>153</v>
      </c>
      <c r="C7" s="85" t="str">
        <f t="shared" si="0"/>
        <v>PAR. 3.2-035-02</v>
      </c>
      <c r="D7" s="86" t="s">
        <v>77</v>
      </c>
      <c r="E7" s="87" t="s">
        <v>154</v>
      </c>
      <c r="F7" s="86" t="str">
        <f t="shared" si="1"/>
        <v>TF002.UC02</v>
      </c>
      <c r="G7" s="87" t="s">
        <v>157</v>
      </c>
      <c r="H7" s="86">
        <v>2</v>
      </c>
      <c r="I7" s="86" t="s">
        <v>24</v>
      </c>
      <c r="J7" s="88"/>
      <c r="K7" s="37"/>
    </row>
    <row r="8" spans="1:11" ht="45" customHeight="1" x14ac:dyDescent="0.25">
      <c r="A8" s="84" t="s">
        <v>80</v>
      </c>
      <c r="B8" s="85" t="s">
        <v>153</v>
      </c>
      <c r="C8" s="85" t="str">
        <f t="shared" si="0"/>
        <v>PAR. 3.2-035-02</v>
      </c>
      <c r="D8" s="86" t="s">
        <v>78</v>
      </c>
      <c r="E8" s="87" t="s">
        <v>173</v>
      </c>
      <c r="F8" s="86" t="str">
        <f t="shared" si="1"/>
        <v>TF002.UC03</v>
      </c>
      <c r="G8" s="87" t="s">
        <v>174</v>
      </c>
      <c r="H8" s="86">
        <v>2</v>
      </c>
      <c r="I8" s="86" t="s">
        <v>24</v>
      </c>
      <c r="J8" s="88"/>
      <c r="K8" s="37"/>
    </row>
    <row r="9" spans="1:11" ht="60" customHeight="1" x14ac:dyDescent="0.25">
      <c r="A9" s="84" t="s">
        <v>80</v>
      </c>
      <c r="B9" s="85" t="s">
        <v>188</v>
      </c>
      <c r="C9" s="85" t="str">
        <f t="shared" si="0"/>
        <v>PAR. 3.3-035-03</v>
      </c>
      <c r="D9" s="86" t="s">
        <v>76</v>
      </c>
      <c r="E9" s="87" t="s">
        <v>189</v>
      </c>
      <c r="F9" s="86" t="str">
        <f t="shared" si="1"/>
        <v>TF003.UC01</v>
      </c>
      <c r="G9" s="87" t="s">
        <v>190</v>
      </c>
      <c r="H9" s="86">
        <v>3</v>
      </c>
      <c r="I9" s="86" t="s">
        <v>25</v>
      </c>
      <c r="J9" s="88"/>
      <c r="K9" s="37"/>
    </row>
    <row r="10" spans="1:11" ht="45" customHeight="1" x14ac:dyDescent="0.25">
      <c r="A10" s="84" t="s">
        <v>80</v>
      </c>
      <c r="B10" s="85" t="s">
        <v>188</v>
      </c>
      <c r="C10" s="85" t="s">
        <v>188</v>
      </c>
      <c r="D10" s="86" t="s">
        <v>77</v>
      </c>
      <c r="E10" s="87" t="s">
        <v>201</v>
      </c>
      <c r="F10" s="86" t="str">
        <f t="shared" si="1"/>
        <v>TF003.UC02</v>
      </c>
      <c r="G10" s="87" t="s">
        <v>202</v>
      </c>
      <c r="H10" s="86">
        <v>3</v>
      </c>
      <c r="I10" s="86" t="s">
        <v>25</v>
      </c>
      <c r="J10" s="88"/>
      <c r="K10" s="37"/>
    </row>
    <row r="11" spans="1:11" ht="60" x14ac:dyDescent="0.25">
      <c r="A11" s="84" t="s">
        <v>80</v>
      </c>
      <c r="B11" s="85" t="s">
        <v>215</v>
      </c>
      <c r="C11" s="85" t="str">
        <f t="shared" si="0"/>
        <v>PAR. 3.4-035-04</v>
      </c>
      <c r="D11" s="86" t="s">
        <v>76</v>
      </c>
      <c r="E11" s="87" t="s">
        <v>216</v>
      </c>
      <c r="F11" s="86" t="str">
        <f t="shared" si="1"/>
        <v>TF004.UC01</v>
      </c>
      <c r="G11" s="87" t="s">
        <v>217</v>
      </c>
      <c r="H11" s="86">
        <v>3</v>
      </c>
      <c r="I11" s="86" t="s">
        <v>25</v>
      </c>
      <c r="J11" s="88"/>
      <c r="K11" s="37"/>
    </row>
    <row r="12" spans="1:11" ht="45" customHeight="1" x14ac:dyDescent="0.25">
      <c r="A12" s="84" t="s">
        <v>80</v>
      </c>
      <c r="B12" s="85" t="s">
        <v>215</v>
      </c>
      <c r="C12" s="85" t="str">
        <f t="shared" ref="C12:C13" si="2">B12</f>
        <v>PAR. 3.4-035-04</v>
      </c>
      <c r="D12" s="86" t="s">
        <v>77</v>
      </c>
      <c r="E12" s="87" t="s">
        <v>222</v>
      </c>
      <c r="F12" s="86" t="str">
        <f t="shared" ref="F12:F14" si="3">CONCATENATE("TF0",MID(B12,LEN(B12)-1,2),".",D12)</f>
        <v>TF004.UC02</v>
      </c>
      <c r="G12" s="87" t="s">
        <v>223</v>
      </c>
      <c r="H12" s="86">
        <v>2</v>
      </c>
      <c r="I12" s="86" t="s">
        <v>24</v>
      </c>
      <c r="J12" s="88"/>
      <c r="K12" s="37"/>
    </row>
    <row r="13" spans="1:11" ht="45" customHeight="1" x14ac:dyDescent="0.25">
      <c r="A13" s="84" t="s">
        <v>80</v>
      </c>
      <c r="B13" s="85" t="s">
        <v>215</v>
      </c>
      <c r="C13" s="85" t="str">
        <f t="shared" si="2"/>
        <v>PAR. 3.4-035-04</v>
      </c>
      <c r="D13" s="86" t="s">
        <v>78</v>
      </c>
      <c r="E13" s="87" t="s">
        <v>239</v>
      </c>
      <c r="F13" s="86" t="str">
        <f t="shared" si="3"/>
        <v>TF004.UC03</v>
      </c>
      <c r="G13" s="87" t="s">
        <v>265</v>
      </c>
      <c r="H13" s="86">
        <v>2</v>
      </c>
      <c r="I13" s="86" t="s">
        <v>24</v>
      </c>
      <c r="J13" s="88"/>
      <c r="K13" s="37"/>
    </row>
    <row r="14" spans="1:11" ht="60" customHeight="1" x14ac:dyDescent="0.25">
      <c r="A14" s="84" t="s">
        <v>80</v>
      </c>
      <c r="B14" s="85" t="s">
        <v>250</v>
      </c>
      <c r="C14" s="85" t="str">
        <f t="shared" si="0"/>
        <v>PAR. 3.5-035-05</v>
      </c>
      <c r="D14" s="86" t="s">
        <v>76</v>
      </c>
      <c r="E14" s="87" t="s">
        <v>240</v>
      </c>
      <c r="F14" s="86" t="str">
        <f t="shared" si="3"/>
        <v>TF005.UC01</v>
      </c>
      <c r="G14" s="87" t="s">
        <v>241</v>
      </c>
      <c r="H14" s="86">
        <v>3</v>
      </c>
      <c r="I14" s="86" t="s">
        <v>25</v>
      </c>
      <c r="J14" s="88"/>
      <c r="K14" s="37"/>
    </row>
    <row r="15" spans="1:11" ht="60" customHeight="1" x14ac:dyDescent="0.25">
      <c r="A15" s="84" t="s">
        <v>80</v>
      </c>
      <c r="B15" s="85" t="s">
        <v>250</v>
      </c>
      <c r="C15" s="85" t="str">
        <f t="shared" ref="C15:C16" si="4">B15</f>
        <v>PAR. 3.5-035-05</v>
      </c>
      <c r="D15" s="86" t="s">
        <v>77</v>
      </c>
      <c r="E15" s="87" t="s">
        <v>242</v>
      </c>
      <c r="F15" s="86" t="str">
        <f t="shared" ref="F15" si="5">CONCATENATE("TF0",MID(B15,LEN(B15)-1,2),".",D15)</f>
        <v>TF005.UC02</v>
      </c>
      <c r="G15" s="87" t="s">
        <v>252</v>
      </c>
      <c r="H15" s="86">
        <v>2</v>
      </c>
      <c r="I15" s="86" t="s">
        <v>24</v>
      </c>
      <c r="J15" s="88"/>
    </row>
    <row r="16" spans="1:11" ht="60" x14ac:dyDescent="0.25">
      <c r="A16" s="84" t="s">
        <v>80</v>
      </c>
      <c r="B16" s="85" t="s">
        <v>251</v>
      </c>
      <c r="C16" s="85" t="str">
        <f t="shared" si="4"/>
        <v>PAR. 3.6-035-06</v>
      </c>
      <c r="D16" s="86" t="s">
        <v>76</v>
      </c>
      <c r="E16" s="87" t="s">
        <v>253</v>
      </c>
      <c r="F16" s="86" t="str">
        <f t="shared" si="1"/>
        <v>TF006.UC01</v>
      </c>
      <c r="G16" s="87" t="s">
        <v>254</v>
      </c>
      <c r="H16" s="86">
        <v>3</v>
      </c>
      <c r="I16" s="86" t="s">
        <v>25</v>
      </c>
      <c r="J16" s="88"/>
    </row>
    <row r="17" spans="1:11" ht="45" customHeight="1" x14ac:dyDescent="0.25">
      <c r="A17" s="84" t="s">
        <v>80</v>
      </c>
      <c r="B17" s="85" t="s">
        <v>251</v>
      </c>
      <c r="C17" s="85" t="str">
        <f t="shared" ref="C17" si="6">B17</f>
        <v>PAR. 3.6-035-06</v>
      </c>
      <c r="D17" s="86" t="s">
        <v>77</v>
      </c>
      <c r="E17" s="87" t="s">
        <v>255</v>
      </c>
      <c r="F17" s="86" t="str">
        <f t="shared" si="1"/>
        <v>TF006.UC02</v>
      </c>
      <c r="G17" s="87" t="s">
        <v>256</v>
      </c>
      <c r="H17" s="86">
        <v>2</v>
      </c>
      <c r="I17" s="86" t="s">
        <v>24</v>
      </c>
      <c r="J17" s="88"/>
      <c r="K17" s="37"/>
    </row>
    <row r="18" spans="1:11" ht="75" x14ac:dyDescent="0.25">
      <c r="A18" s="84" t="s">
        <v>80</v>
      </c>
      <c r="B18" s="85" t="s">
        <v>264</v>
      </c>
      <c r="C18" s="85" t="str">
        <f t="shared" si="0"/>
        <v>PAR. 3.7-035-07</v>
      </c>
      <c r="D18" s="86" t="s">
        <v>76</v>
      </c>
      <c r="E18" s="87" t="s">
        <v>266</v>
      </c>
      <c r="F18" s="86" t="str">
        <f t="shared" ref="F18:F20" si="7">CONCATENATE("TF0",MID(B18,LEN(B18)-1,2),".",D18)</f>
        <v>TF007.UC01</v>
      </c>
      <c r="G18" s="87" t="s">
        <v>267</v>
      </c>
      <c r="H18" s="86">
        <v>3</v>
      </c>
      <c r="I18" s="86" t="s">
        <v>25</v>
      </c>
      <c r="J18" s="88"/>
      <c r="K18" s="37"/>
    </row>
    <row r="19" spans="1:11" ht="60" x14ac:dyDescent="0.25">
      <c r="A19" s="84" t="s">
        <v>80</v>
      </c>
      <c r="B19" s="85" t="s">
        <v>264</v>
      </c>
      <c r="C19" s="85" t="str">
        <f t="shared" ref="C19:C20" si="8">B19</f>
        <v>PAR. 3.7-035-07</v>
      </c>
      <c r="D19" s="86" t="s">
        <v>77</v>
      </c>
      <c r="E19" s="87" t="s">
        <v>268</v>
      </c>
      <c r="F19" s="86" t="str">
        <f t="shared" si="7"/>
        <v>TF007.UC02</v>
      </c>
      <c r="G19" s="87" t="s">
        <v>271</v>
      </c>
      <c r="H19" s="86">
        <v>2</v>
      </c>
      <c r="I19" s="86" t="s">
        <v>24</v>
      </c>
      <c r="J19" s="88"/>
      <c r="K19" s="37"/>
    </row>
    <row r="20" spans="1:11" ht="60" x14ac:dyDescent="0.25">
      <c r="A20" s="84" t="s">
        <v>80</v>
      </c>
      <c r="B20" s="85" t="s">
        <v>264</v>
      </c>
      <c r="C20" s="85" t="str">
        <f t="shared" si="8"/>
        <v>PAR. 3.7-035-07</v>
      </c>
      <c r="D20" s="86" t="s">
        <v>78</v>
      </c>
      <c r="E20" s="87" t="s">
        <v>269</v>
      </c>
      <c r="F20" s="86" t="str">
        <f t="shared" si="7"/>
        <v>TF007.UC03</v>
      </c>
      <c r="G20" s="87" t="s">
        <v>270</v>
      </c>
      <c r="H20" s="86">
        <v>2</v>
      </c>
      <c r="I20" s="86" t="s">
        <v>24</v>
      </c>
      <c r="J20" s="88"/>
      <c r="K20" s="37"/>
    </row>
    <row r="21" spans="1:11" ht="120" customHeight="1" x14ac:dyDescent="0.25">
      <c r="A21" s="84" t="s">
        <v>80</v>
      </c>
      <c r="B21" s="85" t="s">
        <v>280</v>
      </c>
      <c r="C21" s="85" t="str">
        <f t="shared" si="0"/>
        <v>PAR. 3.8-035-08</v>
      </c>
      <c r="D21" s="86" t="s">
        <v>76</v>
      </c>
      <c r="E21" s="87" t="s">
        <v>281</v>
      </c>
      <c r="F21" s="86" t="str">
        <f t="shared" ref="F21:F22" si="9">CONCATENATE("TF0",MID(B21,LEN(B21)-1,2),".",D21)</f>
        <v>TF008.UC01</v>
      </c>
      <c r="G21" s="87" t="s">
        <v>282</v>
      </c>
      <c r="H21" s="86">
        <v>3</v>
      </c>
      <c r="I21" s="86" t="s">
        <v>25</v>
      </c>
      <c r="J21" s="88"/>
    </row>
    <row r="22" spans="1:11" ht="45" x14ac:dyDescent="0.25">
      <c r="A22" s="84" t="s">
        <v>80</v>
      </c>
      <c r="B22" s="85" t="s">
        <v>280</v>
      </c>
      <c r="C22" s="85" t="str">
        <f t="shared" ref="C22" si="10">B22</f>
        <v>PAR. 3.8-035-08</v>
      </c>
      <c r="D22" s="86" t="s">
        <v>77</v>
      </c>
      <c r="E22" s="87" t="s">
        <v>283</v>
      </c>
      <c r="F22" s="86" t="str">
        <f t="shared" si="9"/>
        <v>TF008.UC02</v>
      </c>
      <c r="G22" s="87" t="s">
        <v>284</v>
      </c>
      <c r="H22" s="86">
        <v>2</v>
      </c>
      <c r="I22" s="86" t="s">
        <v>24</v>
      </c>
      <c r="J22" s="88"/>
    </row>
    <row r="23" spans="1:11" ht="60" x14ac:dyDescent="0.25">
      <c r="A23" s="84" t="s">
        <v>80</v>
      </c>
      <c r="B23" s="85" t="s">
        <v>290</v>
      </c>
      <c r="C23" s="85" t="str">
        <f>B23</f>
        <v>PAR. 3.9-035-09</v>
      </c>
      <c r="D23" s="86" t="s">
        <v>76</v>
      </c>
      <c r="E23" s="87" t="s">
        <v>291</v>
      </c>
      <c r="F23" s="86" t="str">
        <f t="shared" ref="F23:F24" si="11">CONCATENATE("TF0",MID(B23,LEN(B23)-1,2),".",D23)</f>
        <v>TF009.UC01</v>
      </c>
      <c r="G23" s="87" t="s">
        <v>292</v>
      </c>
      <c r="H23" s="86">
        <v>3</v>
      </c>
      <c r="I23" s="86" t="s">
        <v>25</v>
      </c>
      <c r="J23" s="88"/>
    </row>
    <row r="24" spans="1:11" ht="45" customHeight="1" x14ac:dyDescent="0.25">
      <c r="A24" s="84" t="s">
        <v>80</v>
      </c>
      <c r="B24" s="85" t="s">
        <v>290</v>
      </c>
      <c r="C24" s="85" t="str">
        <f>B24</f>
        <v>PAR. 3.9-035-09</v>
      </c>
      <c r="D24" s="86" t="s">
        <v>77</v>
      </c>
      <c r="E24" s="87" t="s">
        <v>293</v>
      </c>
      <c r="F24" s="86" t="str">
        <f t="shared" si="11"/>
        <v>TF009.UC02</v>
      </c>
      <c r="G24" s="87" t="s">
        <v>294</v>
      </c>
      <c r="H24" s="86">
        <v>2</v>
      </c>
      <c r="I24" s="86" t="s">
        <v>24</v>
      </c>
      <c r="J24" s="88"/>
    </row>
    <row r="25" spans="1:11" ht="60" customHeight="1" x14ac:dyDescent="0.25">
      <c r="A25" s="84" t="s">
        <v>80</v>
      </c>
      <c r="B25" s="85" t="s">
        <v>295</v>
      </c>
      <c r="C25" s="85" t="str">
        <f t="shared" si="0"/>
        <v>PAR. 3.10-035-10</v>
      </c>
      <c r="D25" s="86" t="s">
        <v>76</v>
      </c>
      <c r="E25" s="87" t="s">
        <v>296</v>
      </c>
      <c r="F25" s="86" t="str">
        <f t="shared" ref="F25:F28" si="12">CONCATENATE("TF0",MID(B25,LEN(B25)-1,2),".",D25)</f>
        <v>TF010.UC01</v>
      </c>
      <c r="G25" s="87" t="s">
        <v>297</v>
      </c>
      <c r="H25" s="86">
        <v>3</v>
      </c>
      <c r="I25" s="86" t="s">
        <v>25</v>
      </c>
      <c r="J25" s="88"/>
    </row>
    <row r="26" spans="1:11" ht="45" x14ac:dyDescent="0.25">
      <c r="A26" s="84" t="s">
        <v>80</v>
      </c>
      <c r="B26" s="85" t="s">
        <v>295</v>
      </c>
      <c r="C26" s="85" t="str">
        <f t="shared" ref="C26:C27" si="13">B26</f>
        <v>PAR. 3.10-035-10</v>
      </c>
      <c r="D26" s="86" t="s">
        <v>77</v>
      </c>
      <c r="E26" s="87" t="s">
        <v>298</v>
      </c>
      <c r="F26" s="86" t="str">
        <f t="shared" si="12"/>
        <v>TF010.UC02</v>
      </c>
      <c r="G26" s="87" t="s">
        <v>299</v>
      </c>
      <c r="H26" s="86">
        <v>2</v>
      </c>
      <c r="I26" s="86" t="s">
        <v>24</v>
      </c>
      <c r="J26" s="88"/>
    </row>
    <row r="27" spans="1:11" ht="75" x14ac:dyDescent="0.25">
      <c r="A27" s="84" t="s">
        <v>80</v>
      </c>
      <c r="B27" s="85" t="s">
        <v>315</v>
      </c>
      <c r="C27" s="85" t="str">
        <f t="shared" si="13"/>
        <v>PAR. 3.11-035-11</v>
      </c>
      <c r="D27" s="86" t="s">
        <v>76</v>
      </c>
      <c r="E27" s="87" t="s">
        <v>316</v>
      </c>
      <c r="F27" s="86" t="str">
        <f t="shared" si="12"/>
        <v>TF011.UC01</v>
      </c>
      <c r="G27" s="87" t="s">
        <v>317</v>
      </c>
      <c r="H27" s="86">
        <v>3</v>
      </c>
      <c r="I27" s="86" t="s">
        <v>25</v>
      </c>
      <c r="J27" s="88"/>
    </row>
    <row r="28" spans="1:11" ht="45" customHeight="1" x14ac:dyDescent="0.25">
      <c r="A28" s="84" t="s">
        <v>80</v>
      </c>
      <c r="B28" s="85" t="s">
        <v>315</v>
      </c>
      <c r="C28" s="85" t="str">
        <f t="shared" ref="C28" si="14">B28</f>
        <v>PAR. 3.11-035-11</v>
      </c>
      <c r="D28" s="86" t="s">
        <v>77</v>
      </c>
      <c r="E28" s="87" t="s">
        <v>318</v>
      </c>
      <c r="F28" s="86" t="str">
        <f t="shared" si="12"/>
        <v>TF011.UC02</v>
      </c>
      <c r="G28" s="87" t="s">
        <v>319</v>
      </c>
      <c r="H28" s="86">
        <v>2</v>
      </c>
      <c r="I28" s="86" t="s">
        <v>24</v>
      </c>
      <c r="J28" s="88"/>
    </row>
    <row r="29" spans="1:11" ht="60" x14ac:dyDescent="0.25">
      <c r="A29" s="84" t="s">
        <v>80</v>
      </c>
      <c r="B29" s="85" t="s">
        <v>324</v>
      </c>
      <c r="C29" s="85" t="str">
        <f t="shared" si="0"/>
        <v>PAR. 3.12-035-12</v>
      </c>
      <c r="D29" s="86" t="s">
        <v>76</v>
      </c>
      <c r="E29" s="87" t="s">
        <v>325</v>
      </c>
      <c r="F29" s="86" t="str">
        <f t="shared" ref="F29:F30" si="15">CONCATENATE("TF0",MID(B29,LEN(B29)-1,2),".",D29)</f>
        <v>TF012.UC01</v>
      </c>
      <c r="G29" s="87" t="s">
        <v>326</v>
      </c>
      <c r="H29" s="86">
        <v>3</v>
      </c>
      <c r="I29" s="86" t="s">
        <v>25</v>
      </c>
      <c r="J29" s="88"/>
    </row>
    <row r="30" spans="1:11" ht="45" x14ac:dyDescent="0.25">
      <c r="A30" s="84" t="s">
        <v>80</v>
      </c>
      <c r="B30" s="85" t="s">
        <v>324</v>
      </c>
      <c r="C30" s="85" t="str">
        <f t="shared" si="0"/>
        <v>PAR. 3.12-035-12</v>
      </c>
      <c r="D30" s="86" t="s">
        <v>77</v>
      </c>
      <c r="E30" s="87" t="s">
        <v>327</v>
      </c>
      <c r="F30" s="86" t="str">
        <f t="shared" si="15"/>
        <v>TF012.UC02</v>
      </c>
      <c r="G30" s="87" t="s">
        <v>336</v>
      </c>
      <c r="H30" s="86">
        <v>2</v>
      </c>
      <c r="I30" s="86" t="s">
        <v>24</v>
      </c>
      <c r="J30" s="88"/>
    </row>
    <row r="31" spans="1:11" ht="75" x14ac:dyDescent="0.25">
      <c r="A31" s="84" t="s">
        <v>80</v>
      </c>
      <c r="B31" s="85" t="s">
        <v>332</v>
      </c>
      <c r="C31" s="85" t="str">
        <f t="shared" si="0"/>
        <v>PAR. 3.13-035-13</v>
      </c>
      <c r="D31" s="86" t="s">
        <v>76</v>
      </c>
      <c r="E31" s="87" t="s">
        <v>333</v>
      </c>
      <c r="F31" s="86" t="str">
        <f t="shared" ref="F31:F32" si="16">CONCATENATE("TF0",MID(B31,LEN(B31)-1,2),".",D31)</f>
        <v>TF013.UC01</v>
      </c>
      <c r="G31" s="87" t="s">
        <v>334</v>
      </c>
      <c r="H31" s="86">
        <v>3</v>
      </c>
      <c r="I31" s="86" t="s">
        <v>25</v>
      </c>
      <c r="J31" s="88"/>
    </row>
    <row r="32" spans="1:11" ht="135" customHeight="1" x14ac:dyDescent="0.25">
      <c r="A32" s="84" t="s">
        <v>80</v>
      </c>
      <c r="B32" s="85" t="s">
        <v>332</v>
      </c>
      <c r="C32" s="85" t="str">
        <f t="shared" ref="C32" si="17">B32</f>
        <v>PAR. 3.13-035-13</v>
      </c>
      <c r="D32" s="86" t="s">
        <v>77</v>
      </c>
      <c r="E32" s="87" t="s">
        <v>335</v>
      </c>
      <c r="F32" s="86" t="str">
        <f t="shared" si="16"/>
        <v>TF013.UC02</v>
      </c>
      <c r="G32" s="87" t="s">
        <v>336</v>
      </c>
      <c r="H32" s="86">
        <v>2</v>
      </c>
      <c r="I32" s="86" t="s">
        <v>24</v>
      </c>
      <c r="J32" s="88"/>
    </row>
    <row r="33" spans="1:11" ht="75" x14ac:dyDescent="0.25">
      <c r="A33" s="84" t="s">
        <v>80</v>
      </c>
      <c r="B33" s="85" t="s">
        <v>341</v>
      </c>
      <c r="C33" s="85" t="str">
        <f t="shared" si="0"/>
        <v>PAR. 3.15-035-14</v>
      </c>
      <c r="D33" s="86" t="s">
        <v>76</v>
      </c>
      <c r="E33" s="87" t="s">
        <v>344</v>
      </c>
      <c r="F33" s="86" t="str">
        <f t="shared" si="1"/>
        <v>TF014.UC01</v>
      </c>
      <c r="G33" s="87" t="s">
        <v>370</v>
      </c>
      <c r="H33" s="86">
        <v>3</v>
      </c>
      <c r="I33" s="86" t="s">
        <v>25</v>
      </c>
      <c r="J33" s="88"/>
    </row>
    <row r="34" spans="1:11" ht="60" x14ac:dyDescent="0.25">
      <c r="A34" s="84" t="s">
        <v>80</v>
      </c>
      <c r="B34" s="85" t="s">
        <v>341</v>
      </c>
      <c r="C34" s="85" t="str">
        <f t="shared" ref="C34" si="18">B34</f>
        <v>PAR. 3.15-035-14</v>
      </c>
      <c r="D34" s="86" t="s">
        <v>77</v>
      </c>
      <c r="E34" s="87" t="s">
        <v>342</v>
      </c>
      <c r="F34" s="86" t="str">
        <f t="shared" si="1"/>
        <v>TF014.UC02</v>
      </c>
      <c r="G34" s="87" t="s">
        <v>343</v>
      </c>
      <c r="H34" s="86">
        <v>2</v>
      </c>
      <c r="I34" s="86" t="s">
        <v>24</v>
      </c>
      <c r="J34" s="88"/>
    </row>
    <row r="35" spans="1:11" ht="75" x14ac:dyDescent="0.25">
      <c r="A35" s="84" t="s">
        <v>80</v>
      </c>
      <c r="B35" s="85" t="s">
        <v>357</v>
      </c>
      <c r="C35" s="85" t="str">
        <f t="shared" si="0"/>
        <v>PAR. 3.16-035-15</v>
      </c>
      <c r="D35" s="86" t="s">
        <v>76</v>
      </c>
      <c r="E35" s="87" t="s">
        <v>358</v>
      </c>
      <c r="F35" s="86" t="str">
        <f t="shared" si="1"/>
        <v>TF015.UC01</v>
      </c>
      <c r="G35" s="87" t="s">
        <v>360</v>
      </c>
      <c r="H35" s="86">
        <v>3</v>
      </c>
      <c r="I35" s="86" t="s">
        <v>25</v>
      </c>
      <c r="J35" s="88"/>
    </row>
    <row r="36" spans="1:11" ht="60" x14ac:dyDescent="0.25">
      <c r="A36" s="84" t="s">
        <v>80</v>
      </c>
      <c r="B36" s="85" t="s">
        <v>357</v>
      </c>
      <c r="C36" s="85" t="str">
        <f t="shared" ref="C36" si="19">B36</f>
        <v>PAR. 3.16-035-15</v>
      </c>
      <c r="D36" s="86" t="s">
        <v>77</v>
      </c>
      <c r="E36" s="87" t="s">
        <v>359</v>
      </c>
      <c r="F36" s="86" t="str">
        <f t="shared" si="1"/>
        <v>TF015.UC02</v>
      </c>
      <c r="G36" s="87" t="s">
        <v>361</v>
      </c>
      <c r="H36" s="86">
        <v>2</v>
      </c>
      <c r="I36" s="86" t="s">
        <v>24</v>
      </c>
      <c r="J36" s="88"/>
    </row>
    <row r="37" spans="1:11" ht="75" x14ac:dyDescent="0.25">
      <c r="A37" s="84" t="s">
        <v>80</v>
      </c>
      <c r="B37" s="85" t="s">
        <v>369</v>
      </c>
      <c r="C37" s="85" t="str">
        <f t="shared" si="0"/>
        <v>PAR. 3.17-035-16</v>
      </c>
      <c r="D37" s="86" t="s">
        <v>76</v>
      </c>
      <c r="E37" s="87" t="s">
        <v>371</v>
      </c>
      <c r="F37" s="86" t="str">
        <f t="shared" ref="F37:F43" si="20">CONCATENATE("TF0",MID(B37,LEN(B37)-1,2),".",D37)</f>
        <v>TF016.UC01</v>
      </c>
      <c r="G37" s="87" t="s">
        <v>372</v>
      </c>
      <c r="H37" s="86">
        <v>3</v>
      </c>
      <c r="I37" s="86" t="s">
        <v>25</v>
      </c>
      <c r="J37" s="88"/>
    </row>
    <row r="38" spans="1:11" ht="60" customHeight="1" x14ac:dyDescent="0.25">
      <c r="A38" s="84" t="s">
        <v>80</v>
      </c>
      <c r="B38" s="85" t="s">
        <v>369</v>
      </c>
      <c r="C38" s="85" t="str">
        <f t="shared" ref="C38" si="21">B38</f>
        <v>PAR. 3.17-035-16</v>
      </c>
      <c r="D38" s="86" t="s">
        <v>77</v>
      </c>
      <c r="E38" s="87" t="s">
        <v>373</v>
      </c>
      <c r="F38" s="86" t="str">
        <f t="shared" si="20"/>
        <v>TF016.UC02</v>
      </c>
      <c r="G38" s="87" t="s">
        <v>374</v>
      </c>
      <c r="H38" s="86">
        <v>2</v>
      </c>
      <c r="I38" s="86" t="s">
        <v>24</v>
      </c>
      <c r="J38" s="88"/>
    </row>
    <row r="39" spans="1:11" ht="75" x14ac:dyDescent="0.25">
      <c r="A39" s="84" t="s">
        <v>80</v>
      </c>
      <c r="B39" s="85" t="s">
        <v>381</v>
      </c>
      <c r="C39" s="85" t="str">
        <f t="shared" si="0"/>
        <v>PAR. 3.18-035-17</v>
      </c>
      <c r="D39" s="86" t="s">
        <v>76</v>
      </c>
      <c r="E39" s="87" t="s">
        <v>382</v>
      </c>
      <c r="F39" s="86" t="str">
        <f t="shared" si="20"/>
        <v>TF017.UC01</v>
      </c>
      <c r="G39" s="87" t="s">
        <v>383</v>
      </c>
      <c r="H39" s="86">
        <v>3</v>
      </c>
      <c r="I39" s="86" t="s">
        <v>25</v>
      </c>
      <c r="J39" s="88"/>
    </row>
    <row r="40" spans="1:11" ht="75" x14ac:dyDescent="0.25">
      <c r="A40" s="84" t="s">
        <v>80</v>
      </c>
      <c r="B40" s="85" t="s">
        <v>381</v>
      </c>
      <c r="C40" s="85" t="str">
        <f t="shared" ref="C40:C41" si="22">B40</f>
        <v>PAR. 3.18-035-17</v>
      </c>
      <c r="D40" s="86" t="s">
        <v>77</v>
      </c>
      <c r="E40" s="87" t="s">
        <v>384</v>
      </c>
      <c r="F40" s="86" t="str">
        <f t="shared" si="20"/>
        <v>TF017.UC02</v>
      </c>
      <c r="G40" s="87" t="s">
        <v>385</v>
      </c>
      <c r="H40" s="86">
        <v>2</v>
      </c>
      <c r="I40" s="86" t="s">
        <v>24</v>
      </c>
      <c r="J40" s="88"/>
    </row>
    <row r="41" spans="1:11" ht="60" x14ac:dyDescent="0.25">
      <c r="A41" s="84" t="s">
        <v>80</v>
      </c>
      <c r="B41" s="85" t="s">
        <v>392</v>
      </c>
      <c r="C41" s="85" t="str">
        <f t="shared" si="22"/>
        <v>PAR. 3.20-035-18</v>
      </c>
      <c r="D41" s="86" t="s">
        <v>76</v>
      </c>
      <c r="E41" s="87" t="s">
        <v>393</v>
      </c>
      <c r="F41" s="86" t="str">
        <f t="shared" si="20"/>
        <v>TF018.UC01</v>
      </c>
      <c r="G41" s="87" t="s">
        <v>394</v>
      </c>
      <c r="H41" s="86">
        <v>3</v>
      </c>
      <c r="I41" s="86" t="s">
        <v>25</v>
      </c>
      <c r="J41" s="88"/>
      <c r="K41" s="37"/>
    </row>
    <row r="42" spans="1:11" ht="45" x14ac:dyDescent="0.25">
      <c r="A42" s="84" t="s">
        <v>80</v>
      </c>
      <c r="B42" s="85" t="s">
        <v>392</v>
      </c>
      <c r="C42" s="85" t="str">
        <f t="shared" ref="C42:C49" si="23">B42</f>
        <v>PAR. 3.20-035-18</v>
      </c>
      <c r="D42" s="86" t="s">
        <v>77</v>
      </c>
      <c r="E42" s="87" t="s">
        <v>395</v>
      </c>
      <c r="F42" s="86" t="str">
        <f t="shared" si="20"/>
        <v>TF018.UC02</v>
      </c>
      <c r="G42" s="87" t="s">
        <v>396</v>
      </c>
      <c r="H42" s="86">
        <v>2</v>
      </c>
      <c r="I42" s="86" t="s">
        <v>24</v>
      </c>
      <c r="J42" s="88"/>
      <c r="K42" s="37"/>
    </row>
    <row r="43" spans="1:11" ht="45" x14ac:dyDescent="0.25">
      <c r="A43" s="84" t="s">
        <v>80</v>
      </c>
      <c r="B43" s="85" t="s">
        <v>392</v>
      </c>
      <c r="C43" s="85" t="str">
        <f t="shared" si="23"/>
        <v>PAR. 3.20-035-18</v>
      </c>
      <c r="D43" s="86" t="s">
        <v>78</v>
      </c>
      <c r="E43" s="87" t="s">
        <v>397</v>
      </c>
      <c r="F43" s="86" t="str">
        <f t="shared" si="20"/>
        <v>TF018.UC03</v>
      </c>
      <c r="G43" s="87" t="s">
        <v>398</v>
      </c>
      <c r="H43" s="86">
        <v>2</v>
      </c>
      <c r="I43" s="86" t="s">
        <v>24</v>
      </c>
      <c r="J43" s="88"/>
      <c r="K43" s="37"/>
    </row>
    <row r="44" spans="1:11" ht="60" x14ac:dyDescent="0.25">
      <c r="A44" s="84" t="s">
        <v>80</v>
      </c>
      <c r="B44" s="85" t="s">
        <v>427</v>
      </c>
      <c r="C44" s="85" t="str">
        <f t="shared" si="23"/>
        <v>PAR. 3.25-035-19</v>
      </c>
      <c r="D44" s="86" t="s">
        <v>76</v>
      </c>
      <c r="E44" s="87" t="s">
        <v>430</v>
      </c>
      <c r="F44" s="86" t="str">
        <f t="shared" ref="F44:F45" si="24">CONCATENATE("TF0",MID(B44,LEN(B44)-1,2),".",D44)</f>
        <v>TF019.UC01</v>
      </c>
      <c r="G44" s="87" t="s">
        <v>431</v>
      </c>
      <c r="H44" s="86">
        <v>3</v>
      </c>
      <c r="I44" s="86" t="s">
        <v>25</v>
      </c>
      <c r="J44" s="88"/>
      <c r="K44" s="37"/>
    </row>
    <row r="45" spans="1:11" ht="45" x14ac:dyDescent="0.25">
      <c r="A45" s="84" t="s">
        <v>80</v>
      </c>
      <c r="B45" s="85" t="s">
        <v>427</v>
      </c>
      <c r="C45" s="85" t="str">
        <f t="shared" ref="C45:C46" si="25">B45</f>
        <v>PAR. 3.25-035-19</v>
      </c>
      <c r="D45" s="86" t="s">
        <v>77</v>
      </c>
      <c r="E45" s="87" t="s">
        <v>428</v>
      </c>
      <c r="F45" s="86" t="str">
        <f t="shared" si="24"/>
        <v>TF019.UC02</v>
      </c>
      <c r="G45" s="87" t="s">
        <v>429</v>
      </c>
      <c r="H45" s="86">
        <v>2</v>
      </c>
      <c r="I45" s="86" t="s">
        <v>24</v>
      </c>
      <c r="J45" s="88"/>
      <c r="K45" s="37"/>
    </row>
    <row r="46" spans="1:11" ht="75" x14ac:dyDescent="0.25">
      <c r="A46" s="84" t="s">
        <v>80</v>
      </c>
      <c r="B46" s="85" t="s">
        <v>439</v>
      </c>
      <c r="C46" s="85" t="str">
        <f t="shared" si="25"/>
        <v>PAR. 3.26-035-20</v>
      </c>
      <c r="D46" s="86" t="s">
        <v>76</v>
      </c>
      <c r="E46" s="87" t="s">
        <v>440</v>
      </c>
      <c r="F46" s="86" t="str">
        <f t="shared" ref="F46:F47" si="26">CONCATENATE("TF0",MID(B46,LEN(B46)-1,2),".",D46)</f>
        <v>TF020.UC01</v>
      </c>
      <c r="G46" s="87" t="s">
        <v>441</v>
      </c>
      <c r="H46" s="86">
        <v>3</v>
      </c>
      <c r="I46" s="86" t="s">
        <v>25</v>
      </c>
      <c r="J46" s="88"/>
      <c r="K46" s="37"/>
    </row>
    <row r="47" spans="1:11" ht="60" x14ac:dyDescent="0.25">
      <c r="A47" s="84" t="s">
        <v>80</v>
      </c>
      <c r="B47" s="85" t="s">
        <v>439</v>
      </c>
      <c r="C47" s="85" t="str">
        <f t="shared" ref="C47" si="27">B47</f>
        <v>PAR. 3.26-035-20</v>
      </c>
      <c r="D47" s="86" t="s">
        <v>77</v>
      </c>
      <c r="E47" s="87" t="s">
        <v>442</v>
      </c>
      <c r="F47" s="86" t="str">
        <f t="shared" si="26"/>
        <v>TF020.UC02</v>
      </c>
      <c r="G47" s="87" t="s">
        <v>443</v>
      </c>
      <c r="H47" s="86">
        <v>2</v>
      </c>
      <c r="I47" s="86" t="s">
        <v>24</v>
      </c>
      <c r="J47" s="88"/>
      <c r="K47" s="37"/>
    </row>
    <row r="48" spans="1:11" ht="60" x14ac:dyDescent="0.25">
      <c r="A48" s="84" t="s">
        <v>80</v>
      </c>
      <c r="B48" s="85" t="s">
        <v>438</v>
      </c>
      <c r="C48" s="85" t="str">
        <f t="shared" si="23"/>
        <v>PAR. 3.14-035-21</v>
      </c>
      <c r="D48" s="86" t="s">
        <v>76</v>
      </c>
      <c r="E48" s="87" t="s">
        <v>408</v>
      </c>
      <c r="F48" s="86" t="str">
        <f t="shared" ref="F48:F49" si="28">CONCATENATE("TF0",MID(B48,LEN(B48)-1,2),".",D48)</f>
        <v>TF021.UC01</v>
      </c>
      <c r="G48" s="87" t="s">
        <v>409</v>
      </c>
      <c r="H48" s="86">
        <v>3</v>
      </c>
      <c r="I48" s="86" t="s">
        <v>25</v>
      </c>
      <c r="J48" s="88"/>
    </row>
    <row r="49" spans="1:10" ht="60" customHeight="1" x14ac:dyDescent="0.25">
      <c r="A49" s="84" t="s">
        <v>80</v>
      </c>
      <c r="B49" s="85" t="s">
        <v>438</v>
      </c>
      <c r="C49" s="85" t="str">
        <f t="shared" si="23"/>
        <v>PAR. 3.14-035-21</v>
      </c>
      <c r="D49" s="86" t="s">
        <v>77</v>
      </c>
      <c r="E49" s="87" t="s">
        <v>410</v>
      </c>
      <c r="F49" s="86" t="str">
        <f t="shared" si="28"/>
        <v>TF021.UC02</v>
      </c>
      <c r="G49" s="87" t="s">
        <v>411</v>
      </c>
      <c r="H49" s="86">
        <v>2</v>
      </c>
      <c r="I49" s="86" t="s">
        <v>24</v>
      </c>
      <c r="J49" s="88"/>
    </row>
    <row r="50" spans="1:10" ht="75" x14ac:dyDescent="0.25">
      <c r="A50" s="84" t="s">
        <v>80</v>
      </c>
      <c r="B50" s="85" t="s">
        <v>437</v>
      </c>
      <c r="C50" s="85" t="str">
        <f t="shared" ref="C50" si="29">B50</f>
        <v>PAR. 3.24-035-22</v>
      </c>
      <c r="D50" s="86" t="s">
        <v>76</v>
      </c>
      <c r="E50" s="87" t="s">
        <v>417</v>
      </c>
      <c r="F50" s="86" t="str">
        <f t="shared" ref="F50:F51" si="30">CONCATENATE("TF0",MID(B50,LEN(B50)-1,2),".",D50)</f>
        <v>TF022.UC01</v>
      </c>
      <c r="G50" s="87" t="s">
        <v>418</v>
      </c>
      <c r="H50" s="86">
        <v>3</v>
      </c>
      <c r="I50" s="86" t="s">
        <v>25</v>
      </c>
      <c r="J50" s="88"/>
    </row>
    <row r="51" spans="1:10" ht="60" customHeight="1" x14ac:dyDescent="0.25">
      <c r="A51" s="84" t="s">
        <v>80</v>
      </c>
      <c r="B51" s="85" t="s">
        <v>437</v>
      </c>
      <c r="C51" s="85" t="str">
        <f t="shared" ref="C51:C52" si="31">B51</f>
        <v>PAR. 3.24-035-22</v>
      </c>
      <c r="D51" s="86" t="s">
        <v>77</v>
      </c>
      <c r="E51" s="87" t="s">
        <v>419</v>
      </c>
      <c r="F51" s="86" t="str">
        <f t="shared" si="30"/>
        <v>TF022.UC02</v>
      </c>
      <c r="G51" s="87" t="s">
        <v>420</v>
      </c>
      <c r="H51" s="86">
        <v>2</v>
      </c>
      <c r="I51" s="86" t="s">
        <v>24</v>
      </c>
      <c r="J51" s="88"/>
    </row>
    <row r="52" spans="1:10" ht="75" x14ac:dyDescent="0.25">
      <c r="A52" s="84" t="s">
        <v>80</v>
      </c>
      <c r="B52" s="85" t="s">
        <v>447</v>
      </c>
      <c r="C52" s="85" t="str">
        <f t="shared" si="31"/>
        <v>PAR. 3.19-035-23</v>
      </c>
      <c r="D52" s="86" t="s">
        <v>76</v>
      </c>
      <c r="E52" s="87" t="s">
        <v>448</v>
      </c>
      <c r="F52" s="86" t="str">
        <f t="shared" ref="F52:F53" si="32">CONCATENATE("TF0",MID(B52,LEN(B52)-1,2),".",D52)</f>
        <v>TF023.UC01</v>
      </c>
      <c r="G52" s="87" t="s">
        <v>449</v>
      </c>
      <c r="H52" s="86">
        <v>3</v>
      </c>
      <c r="I52" s="86" t="s">
        <v>25</v>
      </c>
      <c r="J52" s="88"/>
    </row>
    <row r="53" spans="1:10" ht="60" customHeight="1" x14ac:dyDescent="0.25">
      <c r="A53" s="84" t="s">
        <v>80</v>
      </c>
      <c r="B53" s="85" t="s">
        <v>447</v>
      </c>
      <c r="C53" s="85" t="str">
        <f t="shared" ref="C53:C54" si="33">B53</f>
        <v>PAR. 3.19-035-23</v>
      </c>
      <c r="D53" s="86" t="s">
        <v>77</v>
      </c>
      <c r="E53" s="87" t="s">
        <v>450</v>
      </c>
      <c r="F53" s="86" t="str">
        <f t="shared" si="32"/>
        <v>TF023.UC02</v>
      </c>
      <c r="G53" s="87" t="s">
        <v>451</v>
      </c>
      <c r="H53" s="86">
        <v>2</v>
      </c>
      <c r="I53" s="86" t="s">
        <v>24</v>
      </c>
      <c r="J53" s="88"/>
    </row>
    <row r="54" spans="1:10" ht="60" x14ac:dyDescent="0.25">
      <c r="A54" s="84" t="s">
        <v>80</v>
      </c>
      <c r="B54" s="85" t="s">
        <v>462</v>
      </c>
      <c r="C54" s="85" t="str">
        <f t="shared" si="33"/>
        <v>PAR. 3.21-035-24</v>
      </c>
      <c r="D54" s="86" t="s">
        <v>76</v>
      </c>
      <c r="E54" s="87" t="s">
        <v>463</v>
      </c>
      <c r="F54" s="86" t="str">
        <f t="shared" ref="F54:F55" si="34">CONCATENATE("TF0",MID(B54,LEN(B54)-1,2),".",D54)</f>
        <v>TF024.UC01</v>
      </c>
      <c r="G54" s="87" t="s">
        <v>464</v>
      </c>
      <c r="H54" s="86">
        <v>3</v>
      </c>
      <c r="I54" s="86" t="s">
        <v>25</v>
      </c>
      <c r="J54" s="88"/>
    </row>
    <row r="55" spans="1:10" ht="60" customHeight="1" x14ac:dyDescent="0.25">
      <c r="A55" s="84" t="s">
        <v>80</v>
      </c>
      <c r="B55" s="85" t="s">
        <v>462</v>
      </c>
      <c r="C55" s="85" t="str">
        <f t="shared" ref="C55:C56" si="35">B55</f>
        <v>PAR. 3.21-035-24</v>
      </c>
      <c r="D55" s="86" t="s">
        <v>77</v>
      </c>
      <c r="E55" s="87" t="s">
        <v>465</v>
      </c>
      <c r="F55" s="86" t="str">
        <f t="shared" si="34"/>
        <v>TF024.UC02</v>
      </c>
      <c r="G55" s="87" t="s">
        <v>466</v>
      </c>
      <c r="H55" s="86">
        <v>2</v>
      </c>
      <c r="I55" s="86" t="s">
        <v>24</v>
      </c>
      <c r="J55" s="88"/>
    </row>
    <row r="56" spans="1:10" ht="60" x14ac:dyDescent="0.25">
      <c r="A56" s="84" t="s">
        <v>80</v>
      </c>
      <c r="B56" s="85" t="s">
        <v>476</v>
      </c>
      <c r="C56" s="85" t="str">
        <f t="shared" si="35"/>
        <v>PAR. 3.22-035-25</v>
      </c>
      <c r="D56" s="86" t="s">
        <v>76</v>
      </c>
      <c r="E56" s="87" t="s">
        <v>477</v>
      </c>
      <c r="F56" s="86" t="str">
        <f t="shared" ref="F56:F59" si="36">CONCATENATE("TF0",MID(B56,LEN(B56)-1,2),".",D56)</f>
        <v>TF025.UC01</v>
      </c>
      <c r="G56" s="87" t="s">
        <v>464</v>
      </c>
      <c r="H56" s="86">
        <v>3</v>
      </c>
      <c r="I56" s="86" t="s">
        <v>25</v>
      </c>
      <c r="J56" s="88"/>
    </row>
    <row r="57" spans="1:10" ht="60" customHeight="1" x14ac:dyDescent="0.25">
      <c r="A57" s="84" t="s">
        <v>80</v>
      </c>
      <c r="B57" s="85" t="s">
        <v>476</v>
      </c>
      <c r="C57" s="85" t="str">
        <f t="shared" ref="C57:C59" si="37">B57</f>
        <v>PAR. 3.22-035-25</v>
      </c>
      <c r="D57" s="86" t="s">
        <v>77</v>
      </c>
      <c r="E57" s="87" t="s">
        <v>478</v>
      </c>
      <c r="F57" s="86" t="str">
        <f t="shared" si="36"/>
        <v>TF025.UC02</v>
      </c>
      <c r="G57" s="87" t="s">
        <v>466</v>
      </c>
      <c r="H57" s="86">
        <v>2</v>
      </c>
      <c r="I57" s="86" t="s">
        <v>24</v>
      </c>
      <c r="J57" s="88"/>
    </row>
    <row r="58" spans="1:10" ht="75" x14ac:dyDescent="0.25">
      <c r="A58" s="84" t="s">
        <v>80</v>
      </c>
      <c r="B58" s="85" t="s">
        <v>482</v>
      </c>
      <c r="C58" s="85" t="str">
        <f t="shared" si="37"/>
        <v>PAR. 3.23-035-26</v>
      </c>
      <c r="D58" s="86" t="s">
        <v>76</v>
      </c>
      <c r="E58" s="87" t="s">
        <v>483</v>
      </c>
      <c r="F58" s="86" t="str">
        <f t="shared" si="36"/>
        <v>TF026.UC01</v>
      </c>
      <c r="G58" s="87" t="s">
        <v>485</v>
      </c>
      <c r="H58" s="86">
        <v>3</v>
      </c>
      <c r="I58" s="86" t="s">
        <v>25</v>
      </c>
      <c r="J58" s="88"/>
    </row>
    <row r="59" spans="1:10" ht="60" customHeight="1" x14ac:dyDescent="0.25">
      <c r="A59" s="84" t="s">
        <v>80</v>
      </c>
      <c r="B59" s="85" t="s">
        <v>482</v>
      </c>
      <c r="C59" s="85" t="str">
        <f t="shared" si="37"/>
        <v>PAR. 3.23-035-26</v>
      </c>
      <c r="D59" s="86" t="s">
        <v>77</v>
      </c>
      <c r="E59" s="87" t="s">
        <v>484</v>
      </c>
      <c r="F59" s="86" t="str">
        <f t="shared" si="36"/>
        <v>TF026.UC02</v>
      </c>
      <c r="G59" s="87" t="s">
        <v>486</v>
      </c>
      <c r="H59" s="86">
        <v>2</v>
      </c>
      <c r="I59" s="86" t="s">
        <v>24</v>
      </c>
      <c r="J59" s="88"/>
    </row>
    <row r="60" spans="1:10" ht="30" customHeight="1" x14ac:dyDescent="0.25">
      <c r="A60" s="84" t="s">
        <v>80</v>
      </c>
      <c r="B60" s="85" t="s">
        <v>492</v>
      </c>
      <c r="C60" s="85" t="str">
        <f t="shared" si="0"/>
        <v>PAR. 3.27-035-27</v>
      </c>
      <c r="D60" s="86" t="s">
        <v>76</v>
      </c>
      <c r="E60" s="87" t="s">
        <v>493</v>
      </c>
      <c r="F60" s="86" t="str">
        <f t="shared" si="1"/>
        <v>TF027.UC01</v>
      </c>
      <c r="G60" s="87" t="s">
        <v>494</v>
      </c>
      <c r="H60" s="86">
        <v>3</v>
      </c>
      <c r="I60" s="86" t="s">
        <v>25</v>
      </c>
      <c r="J60" s="88"/>
    </row>
    <row r="61" spans="1:10" ht="45" x14ac:dyDescent="0.25">
      <c r="A61" s="84" t="s">
        <v>80</v>
      </c>
      <c r="B61" s="85" t="s">
        <v>492</v>
      </c>
      <c r="C61" s="85" t="str">
        <f t="shared" ref="C61" si="38">B61</f>
        <v>PAR. 3.27-035-27</v>
      </c>
      <c r="D61" s="86" t="s">
        <v>77</v>
      </c>
      <c r="E61" s="87" t="s">
        <v>495</v>
      </c>
      <c r="F61" s="86" t="str">
        <f t="shared" si="1"/>
        <v>TF027.UC02</v>
      </c>
      <c r="G61" s="87" t="s">
        <v>496</v>
      </c>
      <c r="H61" s="86">
        <v>3</v>
      </c>
      <c r="I61" s="86" t="s">
        <v>25</v>
      </c>
      <c r="J61" s="88"/>
    </row>
    <row r="62" spans="1:10" ht="45" x14ac:dyDescent="0.25">
      <c r="A62" s="84" t="s">
        <v>80</v>
      </c>
      <c r="B62" s="85" t="s">
        <v>518</v>
      </c>
      <c r="C62" s="85" t="str">
        <f t="shared" si="0"/>
        <v>PAR. 3.28-035-28</v>
      </c>
      <c r="D62" s="86" t="s">
        <v>76</v>
      </c>
      <c r="E62" s="87" t="s">
        <v>519</v>
      </c>
      <c r="F62" s="86" t="str">
        <f t="shared" si="1"/>
        <v>TF028.UC01</v>
      </c>
      <c r="G62" s="87" t="s">
        <v>520</v>
      </c>
      <c r="H62" s="86">
        <v>3</v>
      </c>
      <c r="I62" s="86" t="s">
        <v>25</v>
      </c>
      <c r="J62" s="88"/>
    </row>
    <row r="63" spans="1:10" ht="30" customHeight="1" x14ac:dyDescent="0.25">
      <c r="A63" s="84" t="s">
        <v>80</v>
      </c>
      <c r="B63" s="85" t="s">
        <v>518</v>
      </c>
      <c r="C63" s="85" t="str">
        <f t="shared" ref="C63" si="39">B63</f>
        <v>PAR. 3.28-035-28</v>
      </c>
      <c r="D63" s="86" t="s">
        <v>77</v>
      </c>
      <c r="E63" s="87" t="s">
        <v>521</v>
      </c>
      <c r="F63" s="86" t="str">
        <f t="shared" si="1"/>
        <v>TF028.UC02</v>
      </c>
      <c r="G63" s="87" t="s">
        <v>549</v>
      </c>
      <c r="H63" s="86">
        <v>2</v>
      </c>
      <c r="I63" s="86" t="s">
        <v>24</v>
      </c>
      <c r="J63" s="88"/>
    </row>
    <row r="64" spans="1:10" ht="30" customHeight="1" thickBot="1" x14ac:dyDescent="0.3">
      <c r="A64" s="200" t="s">
        <v>80</v>
      </c>
      <c r="B64" s="201" t="s">
        <v>518</v>
      </c>
      <c r="C64" s="201" t="str">
        <f t="shared" si="0"/>
        <v>PAR. 3.28-035-28</v>
      </c>
      <c r="D64" s="202" t="s">
        <v>78</v>
      </c>
      <c r="E64" s="203" t="s">
        <v>548</v>
      </c>
      <c r="F64" s="202" t="str">
        <f t="shared" si="1"/>
        <v>TF028.UC03</v>
      </c>
      <c r="G64" s="203" t="s">
        <v>550</v>
      </c>
      <c r="H64" s="202">
        <v>2</v>
      </c>
      <c r="I64" s="202" t="s">
        <v>24</v>
      </c>
      <c r="J64" s="204"/>
    </row>
  </sheetData>
  <mergeCells count="4">
    <mergeCell ref="C1:J1"/>
    <mergeCell ref="C2:J2"/>
    <mergeCell ref="A1:B1"/>
    <mergeCell ref="A2:B2"/>
  </mergeCells>
  <phoneticPr fontId="21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Z729"/>
  <sheetViews>
    <sheetView zoomScale="99" zoomScaleNormal="99" workbookViewId="0">
      <selection sqref="A1:XFD1048576"/>
    </sheetView>
  </sheetViews>
  <sheetFormatPr defaultColWidth="5.7109375" defaultRowHeight="15" x14ac:dyDescent="0.25"/>
  <cols>
    <col min="1" max="1" width="20.7109375" style="31" customWidth="1"/>
    <col min="2" max="2" width="10.7109375" style="31" customWidth="1"/>
    <col min="3" max="3" width="20.7109375" style="31" customWidth="1"/>
    <col min="4" max="4" width="50.7109375" style="31" customWidth="1"/>
    <col min="5" max="5" width="30.7109375" style="31" customWidth="1"/>
    <col min="6" max="6" width="45.7109375" style="31" customWidth="1"/>
    <col min="7" max="7" width="5.7109375" style="31" customWidth="1"/>
    <col min="8" max="16384" width="5.7109375" style="31"/>
  </cols>
  <sheetData>
    <row r="1" spans="1:208" ht="30" customHeight="1" thickBot="1" x14ac:dyDescent="0.35">
      <c r="A1" s="119" t="s">
        <v>4</v>
      </c>
      <c r="B1" s="147"/>
      <c r="C1" s="148"/>
      <c r="D1" s="118" t="str">
        <f>Copertina!B7</f>
        <v>MEV 2023_35_SIUS_Riforma_Cartabia</v>
      </c>
      <c r="E1" s="118"/>
      <c r="F1" s="118"/>
      <c r="G1" s="118"/>
    </row>
    <row r="2" spans="1:208" ht="30" customHeight="1" thickBot="1" x14ac:dyDescent="0.35">
      <c r="A2" s="119" t="s">
        <v>11</v>
      </c>
      <c r="B2" s="149"/>
      <c r="C2" s="150"/>
      <c r="D2" s="118" t="str">
        <f>Copertina!B3</f>
        <v>SIUT-SIES-CT-1.0-20240830-Allegato_al_piano_Test_2023_035_SIUS_Riforma_Cartabia.xlsx</v>
      </c>
      <c r="E2" s="118"/>
      <c r="F2" s="118"/>
      <c r="G2" s="118"/>
    </row>
    <row r="3" spans="1:208" ht="30" customHeight="1" thickBot="1" x14ac:dyDescent="0.35">
      <c r="A3" s="70" t="s">
        <v>12</v>
      </c>
      <c r="B3" s="151" t="s">
        <v>27</v>
      </c>
      <c r="C3" s="152"/>
      <c r="D3" s="152" t="s">
        <v>29</v>
      </c>
      <c r="E3" s="152"/>
      <c r="F3" s="152" t="s">
        <v>28</v>
      </c>
      <c r="G3" s="153"/>
    </row>
    <row r="4" spans="1:208" ht="15.75" thickBot="1" x14ac:dyDescent="0.3">
      <c r="A4" s="110" t="str">
        <f>TabellaTest!F4</f>
        <v>TF001.UC01</v>
      </c>
      <c r="B4" s="155" t="str">
        <f>TabellaTest!C4</f>
        <v>PAR. 3.1-035-01</v>
      </c>
      <c r="C4" s="145"/>
      <c r="D4" s="145" t="str">
        <f>TabellaTest!E4</f>
        <v xml:space="preserve">Verifica iscrizione procedimento di Applicazione Pene Sostitutive (art. 62 L. 689/81)  </v>
      </c>
      <c r="E4" s="146"/>
      <c r="F4" s="145" t="str">
        <f>TabellaTest!G4</f>
        <v>Verifica: Verificare che nel sottosistema SIUS a seguito iscrizione procedimento con contenuto Applicazione Pene Sostitutive (art. 62 L. 689/81)  venga inserito un nuovo procedimento SIUS</v>
      </c>
      <c r="G4" s="154"/>
    </row>
    <row r="5" spans="1:208" ht="30" customHeight="1" x14ac:dyDescent="0.25">
      <c r="A5" s="124"/>
      <c r="B5" s="69" t="s">
        <v>31</v>
      </c>
      <c r="C5" s="44" t="s">
        <v>32</v>
      </c>
      <c r="D5" s="29" t="s">
        <v>33</v>
      </c>
      <c r="E5" s="29" t="s">
        <v>34</v>
      </c>
      <c r="F5" s="29" t="s">
        <v>35</v>
      </c>
      <c r="G5" s="30" t="s">
        <v>10</v>
      </c>
    </row>
    <row r="6" spans="1:208" ht="30" customHeight="1" x14ac:dyDescent="0.25">
      <c r="A6" s="125"/>
      <c r="B6" s="56" t="s">
        <v>36</v>
      </c>
      <c r="C6" s="45" t="s">
        <v>37</v>
      </c>
      <c r="D6" s="46" t="s">
        <v>119</v>
      </c>
      <c r="E6" s="46"/>
      <c r="F6" s="46"/>
      <c r="G6" s="47"/>
    </row>
    <row r="7" spans="1:208" ht="30" customHeight="1" x14ac:dyDescent="0.25">
      <c r="A7" s="125"/>
      <c r="B7" s="56" t="s">
        <v>36</v>
      </c>
      <c r="C7" s="45" t="s">
        <v>37</v>
      </c>
      <c r="D7" s="46" t="s">
        <v>117</v>
      </c>
      <c r="E7" s="46" t="s">
        <v>91</v>
      </c>
      <c r="F7" s="46"/>
      <c r="G7" s="47"/>
    </row>
    <row r="8" spans="1:208" x14ac:dyDescent="0.25">
      <c r="A8" s="125"/>
      <c r="B8" s="56" t="s">
        <v>36</v>
      </c>
      <c r="C8" s="45" t="s">
        <v>38</v>
      </c>
      <c r="D8" s="46" t="s">
        <v>118</v>
      </c>
      <c r="E8" s="46"/>
      <c r="F8" s="63"/>
      <c r="G8" s="47"/>
    </row>
    <row r="9" spans="1:208" ht="30" x14ac:dyDescent="0.25">
      <c r="A9" s="125"/>
      <c r="B9" s="57">
        <v>1</v>
      </c>
      <c r="C9" s="48" t="s">
        <v>39</v>
      </c>
      <c r="D9" s="49" t="s">
        <v>120</v>
      </c>
      <c r="E9" s="50"/>
      <c r="F9" s="46" t="s">
        <v>121</v>
      </c>
      <c r="G9" s="47"/>
    </row>
    <row r="10" spans="1:208" ht="45" x14ac:dyDescent="0.25">
      <c r="A10" s="125"/>
      <c r="B10" s="62">
        <v>2</v>
      </c>
      <c r="C10" s="52" t="s">
        <v>40</v>
      </c>
      <c r="D10" s="46" t="s">
        <v>122</v>
      </c>
      <c r="E10" s="63"/>
      <c r="F10" s="46" t="s">
        <v>123</v>
      </c>
      <c r="G10" s="47"/>
    </row>
    <row r="11" spans="1:208" ht="45" customHeight="1" x14ac:dyDescent="0.25">
      <c r="A11" s="125"/>
      <c r="B11" s="59">
        <v>3</v>
      </c>
      <c r="C11" s="52" t="s">
        <v>40</v>
      </c>
      <c r="D11" s="46" t="s">
        <v>124</v>
      </c>
      <c r="E11" s="50"/>
      <c r="F11" s="46" t="s">
        <v>125</v>
      </c>
      <c r="G11" s="47"/>
    </row>
    <row r="12" spans="1:208" ht="45" customHeight="1" x14ac:dyDescent="0.25">
      <c r="A12" s="125"/>
      <c r="B12" s="59">
        <v>4</v>
      </c>
      <c r="C12" s="52" t="s">
        <v>40</v>
      </c>
      <c r="D12" s="46" t="s">
        <v>126</v>
      </c>
      <c r="E12" s="50"/>
      <c r="F12" s="46" t="s">
        <v>127</v>
      </c>
      <c r="G12" s="47"/>
    </row>
    <row r="13" spans="1:208" ht="45" x14ac:dyDescent="0.25">
      <c r="A13" s="125"/>
      <c r="B13" s="68" t="s">
        <v>81</v>
      </c>
      <c r="C13" s="66" t="s">
        <v>82</v>
      </c>
      <c r="D13" s="60" t="s">
        <v>128</v>
      </c>
      <c r="E13" s="65"/>
      <c r="F13" s="60"/>
      <c r="G13" s="53" t="s">
        <v>47</v>
      </c>
    </row>
    <row r="14" spans="1:208" ht="60" x14ac:dyDescent="0.25">
      <c r="A14" s="125"/>
      <c r="B14" s="59">
        <v>5</v>
      </c>
      <c r="C14" s="52" t="s">
        <v>40</v>
      </c>
      <c r="D14" s="46" t="s">
        <v>130</v>
      </c>
      <c r="E14" s="50"/>
      <c r="F14" s="46" t="s">
        <v>131</v>
      </c>
      <c r="G14" s="47"/>
      <c r="GZ14" s="31" t="s">
        <v>129</v>
      </c>
    </row>
    <row r="15" spans="1:208" ht="58.15" customHeight="1" thickBot="1" x14ac:dyDescent="0.3">
      <c r="A15" s="199"/>
      <c r="B15" s="68" t="s">
        <v>81</v>
      </c>
      <c r="C15" s="66" t="s">
        <v>82</v>
      </c>
      <c r="D15" s="60" t="s">
        <v>132</v>
      </c>
      <c r="E15" s="65"/>
      <c r="F15" s="60"/>
      <c r="G15" s="53" t="s">
        <v>47</v>
      </c>
    </row>
    <row r="16" spans="1:208" ht="30" customHeight="1" thickBot="1" x14ac:dyDescent="0.3">
      <c r="A16" s="111" t="str">
        <f>TabellaTest!F5</f>
        <v>TF001.UC02</v>
      </c>
      <c r="B16" s="155" t="str">
        <f>TabellaTest!C5</f>
        <v>PAR. 3.1-035-01</v>
      </c>
      <c r="C16" s="145"/>
      <c r="D16" s="145" t="str">
        <f>TabellaTest!E5</f>
        <v>Verifica emissione ordinanza di Applicazione Pene Sostitutive</v>
      </c>
      <c r="E16" s="146"/>
      <c r="F16" s="145" t="str">
        <f>TabellaTest!G17</f>
        <v>Verifica: Verificare nel sottosistema SIUS l'utilizzo della funzione "Decreto Modifica Modalità di esecuzione Pene Sostitutive "</v>
      </c>
      <c r="G16" s="154"/>
    </row>
    <row r="17" spans="1:7" ht="30" customHeight="1" x14ac:dyDescent="0.25">
      <c r="A17" s="124"/>
      <c r="B17" s="69" t="s">
        <v>31</v>
      </c>
      <c r="C17" s="44" t="s">
        <v>32</v>
      </c>
      <c r="D17" s="29" t="s">
        <v>33</v>
      </c>
      <c r="E17" s="29" t="s">
        <v>34</v>
      </c>
      <c r="F17" s="29" t="s">
        <v>35</v>
      </c>
      <c r="G17" s="30" t="s">
        <v>10</v>
      </c>
    </row>
    <row r="18" spans="1:7" ht="30" x14ac:dyDescent="0.25">
      <c r="A18" s="125"/>
      <c r="B18" s="56" t="s">
        <v>36</v>
      </c>
      <c r="C18" s="45" t="s">
        <v>37</v>
      </c>
      <c r="D18" s="46" t="s">
        <v>117</v>
      </c>
      <c r="E18" s="46" t="s">
        <v>91</v>
      </c>
      <c r="F18" s="46"/>
      <c r="G18" s="47"/>
    </row>
    <row r="19" spans="1:7" ht="30" x14ac:dyDescent="0.25">
      <c r="A19" s="125"/>
      <c r="B19" s="57">
        <v>1</v>
      </c>
      <c r="C19" s="48" t="s">
        <v>39</v>
      </c>
      <c r="D19" s="49" t="s">
        <v>134</v>
      </c>
      <c r="E19" s="50"/>
      <c r="F19" s="46" t="s">
        <v>111</v>
      </c>
      <c r="G19" s="47"/>
    </row>
    <row r="20" spans="1:7" ht="30" x14ac:dyDescent="0.25">
      <c r="A20" s="125"/>
      <c r="B20" s="103" t="s">
        <v>108</v>
      </c>
      <c r="C20" s="52" t="s">
        <v>40</v>
      </c>
      <c r="D20" s="46" t="s">
        <v>135</v>
      </c>
      <c r="E20" s="50"/>
      <c r="F20" s="46" t="s">
        <v>136</v>
      </c>
      <c r="G20" s="47"/>
    </row>
    <row r="21" spans="1:7" ht="45" x14ac:dyDescent="0.25">
      <c r="A21" s="125"/>
      <c r="B21" s="103" t="s">
        <v>107</v>
      </c>
      <c r="C21" s="52" t="s">
        <v>40</v>
      </c>
      <c r="D21" s="46" t="s">
        <v>137</v>
      </c>
      <c r="E21" s="50"/>
      <c r="F21" s="46" t="s">
        <v>138</v>
      </c>
      <c r="G21" s="47"/>
    </row>
    <row r="22" spans="1:7" ht="45" x14ac:dyDescent="0.25">
      <c r="A22" s="125"/>
      <c r="B22" s="103" t="s">
        <v>106</v>
      </c>
      <c r="C22" s="52" t="s">
        <v>40</v>
      </c>
      <c r="D22" s="46" t="s">
        <v>139</v>
      </c>
      <c r="E22" s="50"/>
      <c r="F22" s="46" t="s">
        <v>140</v>
      </c>
      <c r="G22" s="47"/>
    </row>
    <row r="23" spans="1:7" ht="30" customHeight="1" thickBot="1" x14ac:dyDescent="0.3">
      <c r="A23" s="125"/>
      <c r="B23" s="54" t="s">
        <v>81</v>
      </c>
      <c r="C23" s="55" t="s">
        <v>82</v>
      </c>
      <c r="D23" s="61" t="s">
        <v>102</v>
      </c>
      <c r="E23" s="64"/>
      <c r="F23" s="61"/>
      <c r="G23" s="58" t="s">
        <v>47</v>
      </c>
    </row>
    <row r="24" spans="1:7" ht="30" customHeight="1" x14ac:dyDescent="0.25">
      <c r="A24" s="125"/>
      <c r="B24" s="56" t="s">
        <v>36</v>
      </c>
      <c r="C24" s="45" t="s">
        <v>38</v>
      </c>
      <c r="D24" s="46" t="s">
        <v>143</v>
      </c>
      <c r="E24" s="46"/>
      <c r="F24" s="63"/>
      <c r="G24" s="47"/>
    </row>
    <row r="25" spans="1:7" ht="30" customHeight="1" x14ac:dyDescent="0.25">
      <c r="A25" s="125"/>
      <c r="B25" s="103" t="s">
        <v>104</v>
      </c>
      <c r="C25" s="52" t="s">
        <v>40</v>
      </c>
      <c r="D25" s="46" t="s">
        <v>146</v>
      </c>
      <c r="E25" s="50"/>
      <c r="F25" s="46" t="s">
        <v>147</v>
      </c>
      <c r="G25" s="47"/>
    </row>
    <row r="26" spans="1:7" ht="30" customHeight="1" x14ac:dyDescent="0.25">
      <c r="A26" s="125"/>
      <c r="B26" s="103" t="s">
        <v>101</v>
      </c>
      <c r="C26" s="52" t="s">
        <v>40</v>
      </c>
      <c r="D26" s="46" t="s">
        <v>112</v>
      </c>
      <c r="E26" s="50"/>
      <c r="F26" s="46" t="s">
        <v>148</v>
      </c>
      <c r="G26" s="47"/>
    </row>
    <row r="27" spans="1:7" ht="30" customHeight="1" thickBot="1" x14ac:dyDescent="0.3">
      <c r="A27" s="125"/>
      <c r="B27" s="54" t="s">
        <v>81</v>
      </c>
      <c r="C27" s="55" t="s">
        <v>82</v>
      </c>
      <c r="D27" s="61" t="s">
        <v>149</v>
      </c>
      <c r="E27" s="64"/>
      <c r="F27" s="61"/>
      <c r="G27" s="58" t="s">
        <v>47</v>
      </c>
    </row>
    <row r="28" spans="1:7" ht="30" customHeight="1" x14ac:dyDescent="0.25">
      <c r="A28" s="125"/>
      <c r="B28" s="102" t="s">
        <v>93</v>
      </c>
      <c r="C28" s="101" t="s">
        <v>92</v>
      </c>
      <c r="D28" s="60" t="s">
        <v>165</v>
      </c>
      <c r="E28" s="65"/>
      <c r="F28" s="46"/>
      <c r="G28" s="53"/>
    </row>
    <row r="29" spans="1:7" ht="30" customHeight="1" x14ac:dyDescent="0.25">
      <c r="A29" s="125"/>
      <c r="B29" s="56" t="s">
        <v>36</v>
      </c>
      <c r="C29" s="45" t="s">
        <v>38</v>
      </c>
      <c r="D29" s="46" t="s">
        <v>143</v>
      </c>
      <c r="E29" s="46"/>
      <c r="F29" s="63"/>
      <c r="G29" s="47"/>
    </row>
    <row r="30" spans="1:7" ht="30" customHeight="1" x14ac:dyDescent="0.25">
      <c r="A30" s="125"/>
      <c r="B30" s="103" t="s">
        <v>98</v>
      </c>
      <c r="C30" s="52" t="s">
        <v>40</v>
      </c>
      <c r="D30" s="46" t="s">
        <v>105</v>
      </c>
      <c r="E30" s="50"/>
      <c r="F30" s="46" t="s">
        <v>141</v>
      </c>
      <c r="G30" s="47"/>
    </row>
    <row r="31" spans="1:7" ht="30" customHeight="1" x14ac:dyDescent="0.25">
      <c r="A31" s="125"/>
      <c r="B31" s="103" t="s">
        <v>96</v>
      </c>
      <c r="C31" s="52" t="s">
        <v>40</v>
      </c>
      <c r="D31" s="46" t="s">
        <v>103</v>
      </c>
      <c r="E31" s="50"/>
      <c r="F31" s="46" t="s">
        <v>142</v>
      </c>
      <c r="G31" s="47"/>
    </row>
    <row r="32" spans="1:7" ht="30" customHeight="1" thickBot="1" x14ac:dyDescent="0.3">
      <c r="A32" s="125"/>
      <c r="B32" s="54" t="s">
        <v>81</v>
      </c>
      <c r="C32" s="55" t="s">
        <v>82</v>
      </c>
      <c r="D32" s="61" t="s">
        <v>102</v>
      </c>
      <c r="E32" s="64"/>
      <c r="F32" s="61"/>
      <c r="G32" s="58" t="s">
        <v>47</v>
      </c>
    </row>
    <row r="33" spans="1:208" ht="30" x14ac:dyDescent="0.25">
      <c r="A33" s="125"/>
      <c r="B33" s="56" t="s">
        <v>36</v>
      </c>
      <c r="C33" s="45" t="s">
        <v>38</v>
      </c>
      <c r="D33" s="46" t="s">
        <v>144</v>
      </c>
      <c r="E33" s="46"/>
      <c r="F33" s="63"/>
      <c r="G33" s="47"/>
    </row>
    <row r="34" spans="1:208" ht="45" x14ac:dyDescent="0.25">
      <c r="A34" s="125"/>
      <c r="B34" s="103" t="s">
        <v>95</v>
      </c>
      <c r="C34" s="52" t="s">
        <v>40</v>
      </c>
      <c r="D34" s="46" t="s">
        <v>100</v>
      </c>
      <c r="E34" s="50"/>
      <c r="F34" s="46" t="s">
        <v>99</v>
      </c>
      <c r="G34" s="47"/>
    </row>
    <row r="35" spans="1:208" ht="30.75" thickBot="1" x14ac:dyDescent="0.3">
      <c r="A35" s="125"/>
      <c r="B35" s="54" t="s">
        <v>81</v>
      </c>
      <c r="C35" s="55" t="s">
        <v>82</v>
      </c>
      <c r="D35" s="61" t="s">
        <v>145</v>
      </c>
      <c r="E35" s="64"/>
      <c r="F35" s="61"/>
      <c r="G35" s="58" t="s">
        <v>47</v>
      </c>
    </row>
    <row r="36" spans="1:208" ht="45" x14ac:dyDescent="0.25">
      <c r="A36" s="125"/>
      <c r="B36" s="103" t="s">
        <v>94</v>
      </c>
      <c r="C36" s="52" t="s">
        <v>40</v>
      </c>
      <c r="D36" s="46" t="s">
        <v>97</v>
      </c>
      <c r="E36" s="50"/>
      <c r="F36" s="46" t="s">
        <v>150</v>
      </c>
      <c r="G36" s="47"/>
    </row>
    <row r="37" spans="1:208" ht="30" customHeight="1" thickBot="1" x14ac:dyDescent="0.3">
      <c r="A37" s="125"/>
      <c r="B37" s="54" t="s">
        <v>81</v>
      </c>
      <c r="C37" s="55" t="s">
        <v>82</v>
      </c>
      <c r="D37" s="61" t="s">
        <v>110</v>
      </c>
      <c r="E37" s="64"/>
      <c r="F37" s="61"/>
      <c r="G37" s="58" t="s">
        <v>47</v>
      </c>
    </row>
    <row r="38" spans="1:208" ht="45.75" thickBot="1" x14ac:dyDescent="0.3">
      <c r="A38" s="199"/>
      <c r="B38" s="56" t="s">
        <v>36</v>
      </c>
      <c r="C38" s="45" t="s">
        <v>151</v>
      </c>
      <c r="D38" s="46" t="s">
        <v>158</v>
      </c>
      <c r="E38" s="46"/>
      <c r="F38" s="46"/>
      <c r="G38" s="47"/>
    </row>
    <row r="39" spans="1:208" ht="45" customHeight="1" thickBot="1" x14ac:dyDescent="0.3">
      <c r="A39" s="67" t="str">
        <f>TabellaTest!F6</f>
        <v>TF002.UC01</v>
      </c>
      <c r="B39" s="155" t="str">
        <f>TabellaTest!C6</f>
        <v>PAR. 3.2-035-02</v>
      </c>
      <c r="C39" s="145"/>
      <c r="D39" s="145" t="str">
        <f>TabellaTest!E6</f>
        <v xml:space="preserve">Verifica iscrizione procedimento di Programma di trattamento per semilibertà sostitutiva </v>
      </c>
      <c r="E39" s="146"/>
      <c r="F39" s="145" t="str">
        <f>TabellaTest!G6</f>
        <v>Verifica: Verificare che nel sottosistema SIUS a seguito iscrizione procedimento con contenuto Programma di trattamento per semilibertà sostitutiva venga inserito un nuovo procedimento SIUS</v>
      </c>
      <c r="G39" s="154"/>
    </row>
    <row r="40" spans="1:208" ht="30" customHeight="1" thickBot="1" x14ac:dyDescent="0.3">
      <c r="A40" s="140"/>
      <c r="B40" s="69" t="s">
        <v>31</v>
      </c>
      <c r="C40" s="44" t="s">
        <v>32</v>
      </c>
      <c r="D40" s="29" t="s">
        <v>33</v>
      </c>
      <c r="E40" s="29" t="s">
        <v>34</v>
      </c>
      <c r="F40" s="29" t="s">
        <v>35</v>
      </c>
      <c r="G40" s="30" t="s">
        <v>10</v>
      </c>
    </row>
    <row r="41" spans="1:208" ht="30" customHeight="1" thickBot="1" x14ac:dyDescent="0.3">
      <c r="A41" s="140"/>
      <c r="B41" s="56" t="s">
        <v>36</v>
      </c>
      <c r="C41" s="45" t="s">
        <v>37</v>
      </c>
      <c r="D41" s="46" t="s">
        <v>117</v>
      </c>
      <c r="E41" s="46" t="s">
        <v>91</v>
      </c>
      <c r="F41" s="46"/>
      <c r="G41" s="47"/>
    </row>
    <row r="42" spans="1:208" ht="45" customHeight="1" thickBot="1" x14ac:dyDescent="0.3">
      <c r="A42" s="140"/>
      <c r="B42" s="56" t="s">
        <v>36</v>
      </c>
      <c r="C42" s="45" t="s">
        <v>38</v>
      </c>
      <c r="D42" s="46" t="s">
        <v>159</v>
      </c>
      <c r="E42" s="46"/>
      <c r="F42" s="63"/>
      <c r="G42" s="47"/>
    </row>
    <row r="43" spans="1:208" ht="45" customHeight="1" thickBot="1" x14ac:dyDescent="0.3">
      <c r="A43" s="140"/>
      <c r="B43" s="57">
        <v>1</v>
      </c>
      <c r="C43" s="48" t="s">
        <v>39</v>
      </c>
      <c r="D43" s="49" t="s">
        <v>160</v>
      </c>
      <c r="E43" s="50"/>
      <c r="F43" s="46" t="s">
        <v>162</v>
      </c>
      <c r="G43" s="47"/>
    </row>
    <row r="44" spans="1:208" ht="75.75" thickBot="1" x14ac:dyDescent="0.3">
      <c r="A44" s="140"/>
      <c r="B44" s="59">
        <v>2</v>
      </c>
      <c r="C44" s="52" t="s">
        <v>40</v>
      </c>
      <c r="D44" s="46" t="s">
        <v>161</v>
      </c>
      <c r="E44" s="50"/>
      <c r="F44" s="46" t="s">
        <v>131</v>
      </c>
      <c r="G44" s="47"/>
      <c r="GZ44" s="31" t="s">
        <v>129</v>
      </c>
    </row>
    <row r="45" spans="1:208" ht="60.75" thickBot="1" x14ac:dyDescent="0.3">
      <c r="A45" s="140"/>
      <c r="B45" s="68" t="s">
        <v>81</v>
      </c>
      <c r="C45" s="66" t="s">
        <v>82</v>
      </c>
      <c r="D45" s="60" t="s">
        <v>132</v>
      </c>
      <c r="E45" s="65"/>
      <c r="F45" s="60"/>
      <c r="G45" s="53" t="s">
        <v>47</v>
      </c>
    </row>
    <row r="46" spans="1:208" ht="45" customHeight="1" thickBot="1" x14ac:dyDescent="0.3">
      <c r="A46" s="67" t="str">
        <f>TabellaTest!F7</f>
        <v>TF002.UC02</v>
      </c>
      <c r="B46" s="157" t="str">
        <f>TabellaTest!C7</f>
        <v>PAR. 3.2-035-02</v>
      </c>
      <c r="C46" s="158"/>
      <c r="D46" s="158" t="str">
        <f>TabellaTest!E7</f>
        <v xml:space="preserve">Verifica emissione ordinanza di Programma di trattamento per semilibertà sostitutiva </v>
      </c>
      <c r="E46" s="148"/>
      <c r="F46" s="158" t="str">
        <f>TabellaTest!G7</f>
        <v>Verifica: Verificare nel sottosistema SIUS l'utilizzo della funzione "Ordinanza di Programma di trattamento per semilibertà sostitutiva "</v>
      </c>
      <c r="G46" s="148"/>
    </row>
    <row r="47" spans="1:208" ht="30" customHeight="1" x14ac:dyDescent="0.25">
      <c r="A47" s="124"/>
      <c r="B47" s="69" t="s">
        <v>31</v>
      </c>
      <c r="C47" s="44" t="s">
        <v>32</v>
      </c>
      <c r="D47" s="29" t="s">
        <v>33</v>
      </c>
      <c r="E47" s="29" t="s">
        <v>34</v>
      </c>
      <c r="F47" s="29" t="s">
        <v>35</v>
      </c>
      <c r="G47" s="30" t="s">
        <v>10</v>
      </c>
    </row>
    <row r="48" spans="1:208" ht="45" x14ac:dyDescent="0.25">
      <c r="A48" s="125"/>
      <c r="B48" s="56" t="s">
        <v>36</v>
      </c>
      <c r="C48" s="45" t="s">
        <v>37</v>
      </c>
      <c r="D48" s="46" t="s">
        <v>163</v>
      </c>
      <c r="E48" s="46" t="s">
        <v>91</v>
      </c>
      <c r="F48" s="46"/>
      <c r="G48" s="47"/>
    </row>
    <row r="49" spans="1:7" ht="30" x14ac:dyDescent="0.25">
      <c r="A49" s="125"/>
      <c r="B49" s="57">
        <v>1</v>
      </c>
      <c r="C49" s="48" t="s">
        <v>39</v>
      </c>
      <c r="D49" s="49" t="s">
        <v>134</v>
      </c>
      <c r="E49" s="50"/>
      <c r="F49" s="46" t="s">
        <v>111</v>
      </c>
      <c r="G49" s="47"/>
    </row>
    <row r="50" spans="1:7" ht="30" x14ac:dyDescent="0.25">
      <c r="A50" s="125"/>
      <c r="B50" s="103" t="s">
        <v>108</v>
      </c>
      <c r="C50" s="52" t="s">
        <v>40</v>
      </c>
      <c r="D50" s="46" t="s">
        <v>135</v>
      </c>
      <c r="E50" s="50"/>
      <c r="F50" s="46" t="s">
        <v>136</v>
      </c>
      <c r="G50" s="47"/>
    </row>
    <row r="51" spans="1:7" ht="60" x14ac:dyDescent="0.25">
      <c r="A51" s="125"/>
      <c r="B51" s="103" t="s">
        <v>107</v>
      </c>
      <c r="C51" s="52" t="s">
        <v>40</v>
      </c>
      <c r="D51" s="46" t="s">
        <v>137</v>
      </c>
      <c r="E51" s="50"/>
      <c r="F51" s="46" t="s">
        <v>164</v>
      </c>
      <c r="G51" s="47"/>
    </row>
    <row r="52" spans="1:7" ht="60" x14ac:dyDescent="0.25">
      <c r="A52" s="125"/>
      <c r="B52" s="103" t="s">
        <v>106</v>
      </c>
      <c r="C52" s="52" t="s">
        <v>40</v>
      </c>
      <c r="D52" s="46" t="s">
        <v>166</v>
      </c>
      <c r="E52" s="50"/>
      <c r="F52" s="46" t="s">
        <v>167</v>
      </c>
      <c r="G52" s="47"/>
    </row>
    <row r="53" spans="1:7" ht="30.75" thickBot="1" x14ac:dyDescent="0.3">
      <c r="A53" s="125"/>
      <c r="B53" s="54" t="s">
        <v>81</v>
      </c>
      <c r="C53" s="55" t="s">
        <v>82</v>
      </c>
      <c r="D53" s="61" t="s">
        <v>102</v>
      </c>
      <c r="E53" s="64"/>
      <c r="F53" s="61"/>
      <c r="G53" s="58" t="s">
        <v>47</v>
      </c>
    </row>
    <row r="54" spans="1:7" ht="45" x14ac:dyDescent="0.25">
      <c r="A54" s="125"/>
      <c r="B54" s="56" t="s">
        <v>36</v>
      </c>
      <c r="C54" s="45" t="s">
        <v>38</v>
      </c>
      <c r="D54" s="46" t="s">
        <v>168</v>
      </c>
      <c r="E54" s="46"/>
      <c r="F54" s="63"/>
      <c r="G54" s="47"/>
    </row>
    <row r="55" spans="1:7" ht="30" customHeight="1" x14ac:dyDescent="0.25">
      <c r="A55" s="125"/>
      <c r="B55" s="103" t="s">
        <v>104</v>
      </c>
      <c r="C55" s="52" t="s">
        <v>40</v>
      </c>
      <c r="D55" s="46" t="s">
        <v>105</v>
      </c>
      <c r="E55" s="50"/>
      <c r="F55" s="46" t="s">
        <v>141</v>
      </c>
      <c r="G55" s="47"/>
    </row>
    <row r="56" spans="1:7" ht="45" x14ac:dyDescent="0.25">
      <c r="A56" s="125"/>
      <c r="B56" s="103" t="s">
        <v>101</v>
      </c>
      <c r="C56" s="52" t="s">
        <v>40</v>
      </c>
      <c r="D56" s="46" t="s">
        <v>103</v>
      </c>
      <c r="E56" s="50"/>
      <c r="F56" s="46" t="s">
        <v>170</v>
      </c>
      <c r="G56" s="47"/>
    </row>
    <row r="57" spans="1:7" ht="30" customHeight="1" thickBot="1" x14ac:dyDescent="0.3">
      <c r="A57" s="125"/>
      <c r="B57" s="54" t="s">
        <v>81</v>
      </c>
      <c r="C57" s="55" t="s">
        <v>82</v>
      </c>
      <c r="D57" s="61" t="s">
        <v>102</v>
      </c>
      <c r="E57" s="64"/>
      <c r="F57" s="61"/>
      <c r="G57" s="58" t="s">
        <v>47</v>
      </c>
    </row>
    <row r="58" spans="1:7" ht="45" x14ac:dyDescent="0.25">
      <c r="A58" s="125"/>
      <c r="B58" s="56" t="s">
        <v>36</v>
      </c>
      <c r="C58" s="45" t="s">
        <v>38</v>
      </c>
      <c r="D58" s="46" t="s">
        <v>171</v>
      </c>
      <c r="E58" s="46"/>
      <c r="F58" s="63"/>
      <c r="G58" s="47"/>
    </row>
    <row r="59" spans="1:7" ht="45" x14ac:dyDescent="0.25">
      <c r="A59" s="125"/>
      <c r="B59" s="103" t="s">
        <v>98</v>
      </c>
      <c r="C59" s="52" t="s">
        <v>40</v>
      </c>
      <c r="D59" s="46" t="s">
        <v>100</v>
      </c>
      <c r="E59" s="50"/>
      <c r="F59" s="46" t="s">
        <v>99</v>
      </c>
      <c r="G59" s="47"/>
    </row>
    <row r="60" spans="1:7" ht="30.75" thickBot="1" x14ac:dyDescent="0.3">
      <c r="A60" s="125"/>
      <c r="B60" s="54" t="s">
        <v>81</v>
      </c>
      <c r="C60" s="55" t="s">
        <v>82</v>
      </c>
      <c r="D60" s="61" t="s">
        <v>169</v>
      </c>
      <c r="E60" s="64"/>
      <c r="F60" s="61"/>
      <c r="G60" s="58" t="s">
        <v>47</v>
      </c>
    </row>
    <row r="61" spans="1:7" ht="45" x14ac:dyDescent="0.25">
      <c r="A61" s="125"/>
      <c r="B61" s="56" t="s">
        <v>36</v>
      </c>
      <c r="C61" s="45" t="s">
        <v>38</v>
      </c>
      <c r="D61" s="46" t="s">
        <v>168</v>
      </c>
      <c r="E61" s="46"/>
      <c r="F61" s="63"/>
      <c r="G61" s="47"/>
    </row>
    <row r="62" spans="1:7" ht="30" customHeight="1" x14ac:dyDescent="0.25">
      <c r="A62" s="125"/>
      <c r="B62" s="103" t="s">
        <v>96</v>
      </c>
      <c r="C62" s="52" t="s">
        <v>40</v>
      </c>
      <c r="D62" s="46" t="s">
        <v>146</v>
      </c>
      <c r="E62" s="50"/>
      <c r="F62" s="46" t="s">
        <v>147</v>
      </c>
      <c r="G62" s="47"/>
    </row>
    <row r="63" spans="1:7" ht="30" customHeight="1" x14ac:dyDescent="0.25">
      <c r="A63" s="125"/>
      <c r="B63" s="103" t="s">
        <v>95</v>
      </c>
      <c r="C63" s="52" t="s">
        <v>40</v>
      </c>
      <c r="D63" s="46" t="s">
        <v>112</v>
      </c>
      <c r="E63" s="50"/>
      <c r="F63" s="46" t="s">
        <v>148</v>
      </c>
      <c r="G63" s="47"/>
    </row>
    <row r="64" spans="1:7" ht="30" customHeight="1" thickBot="1" x14ac:dyDescent="0.3">
      <c r="A64" s="125"/>
      <c r="B64" s="54" t="s">
        <v>81</v>
      </c>
      <c r="C64" s="55" t="s">
        <v>82</v>
      </c>
      <c r="D64" s="61" t="s">
        <v>172</v>
      </c>
      <c r="E64" s="64"/>
      <c r="F64" s="61"/>
      <c r="G64" s="58" t="s">
        <v>47</v>
      </c>
    </row>
    <row r="65" spans="1:7" ht="45" customHeight="1" thickBot="1" x14ac:dyDescent="0.3">
      <c r="A65" s="67" t="str">
        <f>TabellaTest!F8</f>
        <v>TF002.UC03</v>
      </c>
      <c r="B65" s="156" t="str">
        <f>TabellaTest!C8</f>
        <v>PAR. 3.2-035-02</v>
      </c>
      <c r="C65" s="145"/>
      <c r="D65" s="145" t="str">
        <f>TabellaTest!E8</f>
        <v xml:space="preserve">Verifica emissione decreto di Programma di trattamento per semilibertà sostitutiva </v>
      </c>
      <c r="E65" s="146"/>
      <c r="F65" s="145" t="str">
        <f>TabellaTest!G8</f>
        <v>Verifica: Verificare nel sottosistema SIUS l'utilizzo della funzione "Decreto di Programma di trattamento per semilibertà sostitutiva "</v>
      </c>
      <c r="G65" s="154"/>
    </row>
    <row r="66" spans="1:7" ht="30" customHeight="1" thickBot="1" x14ac:dyDescent="0.3">
      <c r="A66" s="140"/>
      <c r="B66" s="69" t="s">
        <v>31</v>
      </c>
      <c r="C66" s="44" t="s">
        <v>32</v>
      </c>
      <c r="D66" s="29" t="s">
        <v>33</v>
      </c>
      <c r="E66" s="29" t="s">
        <v>34</v>
      </c>
      <c r="F66" s="29" t="s">
        <v>35</v>
      </c>
      <c r="G66" s="30" t="s">
        <v>10</v>
      </c>
    </row>
    <row r="67" spans="1:7" ht="45.75" thickBot="1" x14ac:dyDescent="0.3">
      <c r="A67" s="140"/>
      <c r="B67" s="56" t="s">
        <v>36</v>
      </c>
      <c r="C67" s="45" t="s">
        <v>37</v>
      </c>
      <c r="D67" s="46" t="s">
        <v>175</v>
      </c>
      <c r="E67" s="46" t="s">
        <v>91</v>
      </c>
      <c r="F67" s="46"/>
      <c r="G67" s="47"/>
    </row>
    <row r="68" spans="1:7" ht="30.75" thickBot="1" x14ac:dyDescent="0.3">
      <c r="A68" s="140"/>
      <c r="B68" s="57">
        <v>1</v>
      </c>
      <c r="C68" s="48" t="s">
        <v>39</v>
      </c>
      <c r="D68" s="49" t="s">
        <v>176</v>
      </c>
      <c r="E68" s="50"/>
      <c r="F68" s="46" t="s">
        <v>111</v>
      </c>
      <c r="G68" s="47"/>
    </row>
    <row r="69" spans="1:7" ht="30.75" thickBot="1" x14ac:dyDescent="0.3">
      <c r="A69" s="140"/>
      <c r="B69" s="103" t="s">
        <v>108</v>
      </c>
      <c r="C69" s="52" t="s">
        <v>40</v>
      </c>
      <c r="D69" s="46" t="s">
        <v>135</v>
      </c>
      <c r="E69" s="50"/>
      <c r="F69" s="46" t="s">
        <v>177</v>
      </c>
      <c r="G69" s="47"/>
    </row>
    <row r="70" spans="1:7" ht="60.75" thickBot="1" x14ac:dyDescent="0.3">
      <c r="A70" s="140"/>
      <c r="B70" s="103" t="s">
        <v>107</v>
      </c>
      <c r="C70" s="52" t="s">
        <v>40</v>
      </c>
      <c r="D70" s="46" t="s">
        <v>137</v>
      </c>
      <c r="E70" s="50"/>
      <c r="F70" s="46" t="s">
        <v>178</v>
      </c>
      <c r="G70" s="47"/>
    </row>
    <row r="71" spans="1:7" ht="60.75" thickBot="1" x14ac:dyDescent="0.3">
      <c r="A71" s="140"/>
      <c r="B71" s="103" t="s">
        <v>106</v>
      </c>
      <c r="C71" s="52" t="s">
        <v>40</v>
      </c>
      <c r="D71" s="46" t="s">
        <v>166</v>
      </c>
      <c r="E71" s="50"/>
      <c r="F71" s="46" t="s">
        <v>179</v>
      </c>
      <c r="G71" s="47"/>
    </row>
    <row r="72" spans="1:7" ht="30.75" thickBot="1" x14ac:dyDescent="0.3">
      <c r="A72" s="140"/>
      <c r="B72" s="54" t="s">
        <v>81</v>
      </c>
      <c r="C72" s="55" t="s">
        <v>82</v>
      </c>
      <c r="D72" s="61" t="s">
        <v>102</v>
      </c>
      <c r="E72" s="64"/>
      <c r="F72" s="61"/>
      <c r="G72" s="58" t="s">
        <v>47</v>
      </c>
    </row>
    <row r="73" spans="1:7" ht="45.75" thickBot="1" x14ac:dyDescent="0.3">
      <c r="A73" s="140"/>
      <c r="B73" s="56" t="s">
        <v>36</v>
      </c>
      <c r="C73" s="45" t="s">
        <v>38</v>
      </c>
      <c r="D73" s="46" t="s">
        <v>180</v>
      </c>
      <c r="E73" s="46"/>
      <c r="F73" s="63"/>
      <c r="G73" s="47"/>
    </row>
    <row r="74" spans="1:7" ht="30" customHeight="1" thickBot="1" x14ac:dyDescent="0.3">
      <c r="A74" s="140"/>
      <c r="B74" s="103" t="s">
        <v>104</v>
      </c>
      <c r="C74" s="52" t="s">
        <v>40</v>
      </c>
      <c r="D74" s="46" t="s">
        <v>105</v>
      </c>
      <c r="E74" s="50"/>
      <c r="F74" s="46" t="s">
        <v>181</v>
      </c>
      <c r="G74" s="47"/>
    </row>
    <row r="75" spans="1:7" ht="45.75" thickBot="1" x14ac:dyDescent="0.3">
      <c r="A75" s="140"/>
      <c r="B75" s="103" t="s">
        <v>101</v>
      </c>
      <c r="C75" s="52" t="s">
        <v>40</v>
      </c>
      <c r="D75" s="46" t="s">
        <v>103</v>
      </c>
      <c r="E75" s="50"/>
      <c r="F75" s="46" t="s">
        <v>182</v>
      </c>
      <c r="G75" s="47"/>
    </row>
    <row r="76" spans="1:7" ht="30" customHeight="1" thickBot="1" x14ac:dyDescent="0.3">
      <c r="A76" s="140"/>
      <c r="B76" s="54" t="s">
        <v>81</v>
      </c>
      <c r="C76" s="55" t="s">
        <v>82</v>
      </c>
      <c r="D76" s="61" t="s">
        <v>102</v>
      </c>
      <c r="E76" s="64"/>
      <c r="F76" s="61"/>
      <c r="G76" s="58" t="s">
        <v>47</v>
      </c>
    </row>
    <row r="77" spans="1:7" ht="45.75" thickBot="1" x14ac:dyDescent="0.3">
      <c r="A77" s="140"/>
      <c r="B77" s="56" t="s">
        <v>36</v>
      </c>
      <c r="C77" s="45" t="s">
        <v>38</v>
      </c>
      <c r="D77" s="46" t="s">
        <v>183</v>
      </c>
      <c r="E77" s="46"/>
      <c r="F77" s="63"/>
      <c r="G77" s="47"/>
    </row>
    <row r="78" spans="1:7" ht="45.75" thickBot="1" x14ac:dyDescent="0.3">
      <c r="A78" s="140"/>
      <c r="B78" s="103" t="s">
        <v>98</v>
      </c>
      <c r="C78" s="52" t="s">
        <v>40</v>
      </c>
      <c r="D78" s="46" t="s">
        <v>100</v>
      </c>
      <c r="E78" s="50"/>
      <c r="F78" s="46" t="s">
        <v>99</v>
      </c>
      <c r="G78" s="47"/>
    </row>
    <row r="79" spans="1:7" ht="30.75" thickBot="1" x14ac:dyDescent="0.3">
      <c r="A79" s="140"/>
      <c r="B79" s="54" t="s">
        <v>81</v>
      </c>
      <c r="C79" s="55" t="s">
        <v>82</v>
      </c>
      <c r="D79" s="61" t="s">
        <v>184</v>
      </c>
      <c r="E79" s="64"/>
      <c r="F79" s="61"/>
      <c r="G79" s="58" t="s">
        <v>47</v>
      </c>
    </row>
    <row r="80" spans="1:7" ht="45.75" thickBot="1" x14ac:dyDescent="0.3">
      <c r="A80" s="140"/>
      <c r="B80" s="103" t="s">
        <v>96</v>
      </c>
      <c r="C80" s="52" t="s">
        <v>40</v>
      </c>
      <c r="D80" s="46" t="s">
        <v>97</v>
      </c>
      <c r="E80" s="50"/>
      <c r="F80" s="46" t="s">
        <v>185</v>
      </c>
      <c r="G80" s="47"/>
    </row>
    <row r="81" spans="1:208" ht="30" customHeight="1" thickBot="1" x14ac:dyDescent="0.3">
      <c r="A81" s="140"/>
      <c r="B81" s="54" t="s">
        <v>81</v>
      </c>
      <c r="C81" s="55" t="s">
        <v>82</v>
      </c>
      <c r="D81" s="61" t="s">
        <v>110</v>
      </c>
      <c r="E81" s="64"/>
      <c r="F81" s="61"/>
      <c r="G81" s="58" t="s">
        <v>47</v>
      </c>
    </row>
    <row r="82" spans="1:208" ht="45.75" thickBot="1" x14ac:dyDescent="0.3">
      <c r="A82" s="140"/>
      <c r="B82" s="56" t="s">
        <v>36</v>
      </c>
      <c r="C82" s="45" t="s">
        <v>186</v>
      </c>
      <c r="D82" s="46" t="s">
        <v>187</v>
      </c>
      <c r="E82" s="46"/>
      <c r="F82" s="46"/>
      <c r="G82" s="47"/>
    </row>
    <row r="83" spans="1:208" ht="45" customHeight="1" thickBot="1" x14ac:dyDescent="0.3">
      <c r="A83" s="67" t="str">
        <f>TabellaTest!F9</f>
        <v>TF003.UC01</v>
      </c>
      <c r="B83" s="128" t="str">
        <f>TabellaTest!C9</f>
        <v>PAR. 3.3-035-03</v>
      </c>
      <c r="C83" s="129"/>
      <c r="D83" s="136" t="str">
        <f>TabellaTest!E9</f>
        <v xml:space="preserve">Verifica iscrizione procedimento di Esecuzione Pena sostitutiva </v>
      </c>
      <c r="E83" s="137"/>
      <c r="F83" s="136" t="str">
        <f>TabellaTest!G9</f>
        <v>Verifica: Verificare che nel sottosistema SIUS a seguito iscrizione procedimento con contenuto Esecuzione Pena Sostitutiva venga inserito un nuovo procedimento SIUS</v>
      </c>
      <c r="G83" s="138"/>
    </row>
    <row r="84" spans="1:208" ht="30" x14ac:dyDescent="0.25">
      <c r="A84" s="124"/>
      <c r="B84" s="35" t="s">
        <v>31</v>
      </c>
      <c r="C84" s="32" t="s">
        <v>32</v>
      </c>
      <c r="D84" s="29" t="s">
        <v>33</v>
      </c>
      <c r="E84" s="29" t="s">
        <v>34</v>
      </c>
      <c r="F84" s="29" t="s">
        <v>35</v>
      </c>
      <c r="G84" s="30" t="s">
        <v>10</v>
      </c>
    </row>
    <row r="85" spans="1:208" ht="30" customHeight="1" x14ac:dyDescent="0.25">
      <c r="A85" s="125"/>
      <c r="B85" s="56" t="s">
        <v>36</v>
      </c>
      <c r="C85" s="45" t="s">
        <v>37</v>
      </c>
      <c r="D85" s="46" t="s">
        <v>117</v>
      </c>
      <c r="E85" s="46" t="s">
        <v>91</v>
      </c>
      <c r="F85" s="46"/>
      <c r="G85" s="47"/>
    </row>
    <row r="86" spans="1:208" x14ac:dyDescent="0.25">
      <c r="A86" s="125"/>
      <c r="B86" s="56" t="s">
        <v>36</v>
      </c>
      <c r="C86" s="45" t="s">
        <v>38</v>
      </c>
      <c r="D86" s="46" t="s">
        <v>118</v>
      </c>
      <c r="E86" s="46"/>
      <c r="F86" s="63"/>
      <c r="G86" s="47"/>
    </row>
    <row r="87" spans="1:208" ht="30" x14ac:dyDescent="0.25">
      <c r="A87" s="125"/>
      <c r="B87" s="57">
        <v>1</v>
      </c>
      <c r="C87" s="48" t="s">
        <v>39</v>
      </c>
      <c r="D87" s="49" t="s">
        <v>120</v>
      </c>
      <c r="E87" s="50"/>
      <c r="F87" s="46" t="s">
        <v>121</v>
      </c>
      <c r="G87" s="47"/>
    </row>
    <row r="88" spans="1:208" ht="60" x14ac:dyDescent="0.25">
      <c r="A88" s="125"/>
      <c r="B88" s="62">
        <v>2</v>
      </c>
      <c r="C88" s="52" t="s">
        <v>40</v>
      </c>
      <c r="D88" s="46" t="s">
        <v>191</v>
      </c>
      <c r="E88" s="63"/>
      <c r="F88" s="46" t="s">
        <v>192</v>
      </c>
      <c r="G88" s="47"/>
    </row>
    <row r="89" spans="1:208" ht="45" customHeight="1" x14ac:dyDescent="0.25">
      <c r="A89" s="125"/>
      <c r="B89" s="59">
        <v>3</v>
      </c>
      <c r="C89" s="52" t="s">
        <v>40</v>
      </c>
      <c r="D89" s="46" t="s">
        <v>124</v>
      </c>
      <c r="E89" s="50"/>
      <c r="F89" s="46" t="s">
        <v>193</v>
      </c>
      <c r="G89" s="47"/>
    </row>
    <row r="90" spans="1:208" ht="45" customHeight="1" x14ac:dyDescent="0.25">
      <c r="A90" s="125"/>
      <c r="B90" s="59">
        <v>4</v>
      </c>
      <c r="C90" s="52" t="s">
        <v>40</v>
      </c>
      <c r="D90" s="46" t="s">
        <v>194</v>
      </c>
      <c r="E90" s="50"/>
      <c r="F90" s="46" t="s">
        <v>195</v>
      </c>
      <c r="G90" s="47"/>
    </row>
    <row r="91" spans="1:208" ht="45" x14ac:dyDescent="0.25">
      <c r="A91" s="125"/>
      <c r="B91" s="68" t="s">
        <v>81</v>
      </c>
      <c r="C91" s="66" t="s">
        <v>82</v>
      </c>
      <c r="D91" s="60" t="s">
        <v>128</v>
      </c>
      <c r="E91" s="65"/>
      <c r="F91" s="60"/>
      <c r="G91" s="53" t="s">
        <v>47</v>
      </c>
    </row>
    <row r="92" spans="1:208" ht="75" x14ac:dyDescent="0.25">
      <c r="A92" s="125"/>
      <c r="B92" s="59">
        <v>5</v>
      </c>
      <c r="C92" s="52" t="s">
        <v>40</v>
      </c>
      <c r="D92" s="46" t="s">
        <v>196</v>
      </c>
      <c r="E92" s="50"/>
      <c r="F92" s="46" t="s">
        <v>131</v>
      </c>
      <c r="G92" s="47"/>
      <c r="GZ92" s="31" t="s">
        <v>129</v>
      </c>
    </row>
    <row r="93" spans="1:208" ht="90" x14ac:dyDescent="0.25">
      <c r="A93" s="125"/>
      <c r="B93" s="68" t="s">
        <v>81</v>
      </c>
      <c r="C93" s="66" t="s">
        <v>82</v>
      </c>
      <c r="D93" s="60" t="s">
        <v>197</v>
      </c>
      <c r="E93" s="65"/>
      <c r="F93" s="60"/>
      <c r="G93" s="53" t="s">
        <v>47</v>
      </c>
    </row>
    <row r="94" spans="1:208" ht="30" x14ac:dyDescent="0.25">
      <c r="A94" s="125"/>
      <c r="B94" s="59">
        <v>6</v>
      </c>
      <c r="C94" s="52" t="s">
        <v>40</v>
      </c>
      <c r="D94" s="46" t="s">
        <v>198</v>
      </c>
      <c r="E94" s="50"/>
      <c r="F94" s="46" t="s">
        <v>199</v>
      </c>
      <c r="G94" s="47"/>
      <c r="GZ94" s="31" t="s">
        <v>129</v>
      </c>
    </row>
    <row r="95" spans="1:208" ht="105.75" thickBot="1" x14ac:dyDescent="0.3">
      <c r="A95" s="199"/>
      <c r="B95" s="68" t="s">
        <v>81</v>
      </c>
      <c r="C95" s="66" t="s">
        <v>82</v>
      </c>
      <c r="D95" s="60" t="s">
        <v>200</v>
      </c>
      <c r="E95" s="65"/>
      <c r="F95" s="60"/>
      <c r="G95" s="53" t="s">
        <v>47</v>
      </c>
    </row>
    <row r="96" spans="1:208" ht="43.5" customHeight="1" thickBot="1" x14ac:dyDescent="0.3">
      <c r="A96" s="67" t="str">
        <f>TabellaTest!F10</f>
        <v>TF003.UC02</v>
      </c>
      <c r="B96" s="128" t="str">
        <f>TabellaTest!C10</f>
        <v>PAR. 3.3-035-03</v>
      </c>
      <c r="C96" s="129"/>
      <c r="D96" s="136" t="str">
        <f>TabellaTest!E10</f>
        <v>Verifica funzione Inizio/Ripresa Pena Sostitutiva</v>
      </c>
      <c r="E96" s="137"/>
      <c r="F96" s="136" t="str">
        <f>TabellaTest!G10</f>
        <v>Verifica: Verificare la corretta valorizzazione della data Inizio e Temine Pena Sostitutiva a seguito dell'utilizzo funzione Inizio/Ripresa Pena Sostitutiva</v>
      </c>
      <c r="G96" s="138"/>
    </row>
    <row r="97" spans="1:7" ht="41.25" customHeight="1" x14ac:dyDescent="0.25">
      <c r="A97" s="124"/>
      <c r="B97" s="35" t="s">
        <v>31</v>
      </c>
      <c r="C97" s="32" t="s">
        <v>32</v>
      </c>
      <c r="D97" s="29" t="s">
        <v>33</v>
      </c>
      <c r="E97" s="29" t="s">
        <v>34</v>
      </c>
      <c r="F97" s="29" t="s">
        <v>35</v>
      </c>
      <c r="G97" s="30" t="s">
        <v>10</v>
      </c>
    </row>
    <row r="98" spans="1:7" ht="30" x14ac:dyDescent="0.25">
      <c r="A98" s="125"/>
      <c r="B98" s="56" t="s">
        <v>36</v>
      </c>
      <c r="C98" s="45" t="s">
        <v>37</v>
      </c>
      <c r="D98" s="46" t="s">
        <v>203</v>
      </c>
      <c r="E98" s="46" t="s">
        <v>91</v>
      </c>
      <c r="F98" s="46"/>
      <c r="G98" s="47"/>
    </row>
    <row r="99" spans="1:7" ht="60" customHeight="1" x14ac:dyDescent="0.25">
      <c r="A99" s="125"/>
      <c r="B99" s="56" t="s">
        <v>36</v>
      </c>
      <c r="C99" s="45" t="s">
        <v>38</v>
      </c>
      <c r="D99" s="46" t="s">
        <v>204</v>
      </c>
      <c r="E99" s="46"/>
      <c r="F99" s="63" t="s">
        <v>205</v>
      </c>
      <c r="G99" s="47"/>
    </row>
    <row r="100" spans="1:7" ht="30" x14ac:dyDescent="0.25">
      <c r="A100" s="125"/>
      <c r="B100" s="57">
        <v>1</v>
      </c>
      <c r="C100" s="48" t="s">
        <v>39</v>
      </c>
      <c r="D100" s="49" t="s">
        <v>207</v>
      </c>
      <c r="E100" s="50"/>
      <c r="F100" s="46" t="s">
        <v>206</v>
      </c>
      <c r="G100" s="47"/>
    </row>
    <row r="101" spans="1:7" ht="60" x14ac:dyDescent="0.25">
      <c r="A101" s="125"/>
      <c r="B101" s="62">
        <v>2</v>
      </c>
      <c r="C101" s="52" t="s">
        <v>40</v>
      </c>
      <c r="D101" s="46" t="s">
        <v>208</v>
      </c>
      <c r="E101" s="63"/>
      <c r="F101" s="46" t="s">
        <v>210</v>
      </c>
      <c r="G101" s="47"/>
    </row>
    <row r="102" spans="1:7" ht="45" customHeight="1" x14ac:dyDescent="0.25">
      <c r="A102" s="125"/>
      <c r="B102" s="59">
        <v>3</v>
      </c>
      <c r="C102" s="52" t="s">
        <v>40</v>
      </c>
      <c r="D102" s="46" t="s">
        <v>211</v>
      </c>
      <c r="E102" s="50"/>
      <c r="F102" s="46" t="s">
        <v>212</v>
      </c>
      <c r="G102" s="47"/>
    </row>
    <row r="103" spans="1:7" ht="30" x14ac:dyDescent="0.25">
      <c r="A103" s="125"/>
      <c r="B103" s="68" t="s">
        <v>81</v>
      </c>
      <c r="C103" s="66" t="s">
        <v>82</v>
      </c>
      <c r="D103" s="60" t="s">
        <v>213</v>
      </c>
      <c r="E103" s="65" t="s">
        <v>209</v>
      </c>
      <c r="F103" s="60"/>
      <c r="G103" s="53" t="s">
        <v>47</v>
      </c>
    </row>
    <row r="104" spans="1:7" ht="60.75" thickBot="1" x14ac:dyDescent="0.3">
      <c r="A104" s="125"/>
      <c r="B104" s="54" t="s">
        <v>81</v>
      </c>
      <c r="C104" s="55" t="s">
        <v>82</v>
      </c>
      <c r="D104" s="61" t="s">
        <v>214</v>
      </c>
      <c r="E104" s="61"/>
      <c r="F104" s="61"/>
      <c r="G104" s="47" t="s">
        <v>47</v>
      </c>
    </row>
    <row r="105" spans="1:7" ht="42.75" customHeight="1" thickBot="1" x14ac:dyDescent="0.3">
      <c r="A105" s="67" t="str">
        <f>TabellaTest!F11</f>
        <v>TF004.UC01</v>
      </c>
      <c r="B105" s="128" t="str">
        <f>TabellaTest!C11</f>
        <v>PAR. 3.4-035-04</v>
      </c>
      <c r="C105" s="129"/>
      <c r="D105" s="136" t="str">
        <f>TabellaTest!E11</f>
        <v xml:space="preserve">Verifica iscrizione procedimento di Sospensione Esecuzione Pene Sostitutive </v>
      </c>
      <c r="E105" s="137"/>
      <c r="F105" s="136" t="str">
        <f>TabellaTest!G11</f>
        <v>Verifica: Verificare che nel sottosistema SIUS a seguito iscrizione procedimento con contenuto Sospensione Esecuzione Pene Sostitutive venga inserito un nuovo procedimento SIUS</v>
      </c>
      <c r="G105" s="138"/>
    </row>
    <row r="106" spans="1:7" ht="30.75" thickBot="1" x14ac:dyDescent="0.3">
      <c r="A106" s="140"/>
      <c r="B106" s="36" t="s">
        <v>31</v>
      </c>
      <c r="C106" s="33" t="s">
        <v>32</v>
      </c>
      <c r="D106" s="33" t="s">
        <v>33</v>
      </c>
      <c r="E106" s="33" t="s">
        <v>34</v>
      </c>
      <c r="F106" s="33" t="s">
        <v>35</v>
      </c>
      <c r="G106" s="34" t="s">
        <v>10</v>
      </c>
    </row>
    <row r="107" spans="1:7" ht="30" customHeight="1" thickBot="1" x14ac:dyDescent="0.3">
      <c r="A107" s="140"/>
      <c r="B107" s="56" t="s">
        <v>36</v>
      </c>
      <c r="C107" s="45" t="s">
        <v>37</v>
      </c>
      <c r="D107" s="46" t="s">
        <v>203</v>
      </c>
      <c r="E107" s="46" t="s">
        <v>91</v>
      </c>
      <c r="F107" s="46"/>
      <c r="G107" s="47"/>
    </row>
    <row r="108" spans="1:7" ht="60" customHeight="1" thickBot="1" x14ac:dyDescent="0.3">
      <c r="A108" s="140"/>
      <c r="B108" s="56" t="s">
        <v>36</v>
      </c>
      <c r="C108" s="45" t="s">
        <v>38</v>
      </c>
      <c r="D108" s="46" t="s">
        <v>218</v>
      </c>
      <c r="E108" s="46"/>
      <c r="F108" s="63" t="s">
        <v>205</v>
      </c>
      <c r="G108" s="47"/>
    </row>
    <row r="109" spans="1:7" ht="30" customHeight="1" thickBot="1" x14ac:dyDescent="0.3">
      <c r="A109" s="140"/>
      <c r="B109" s="57">
        <v>1</v>
      </c>
      <c r="C109" s="48" t="s">
        <v>39</v>
      </c>
      <c r="D109" s="46" t="s">
        <v>198</v>
      </c>
      <c r="E109" s="50"/>
      <c r="F109" s="46" t="s">
        <v>199</v>
      </c>
      <c r="G109" s="47"/>
    </row>
    <row r="110" spans="1:7" ht="45.75" thickBot="1" x14ac:dyDescent="0.3">
      <c r="A110" s="140"/>
      <c r="B110" s="59">
        <v>2</v>
      </c>
      <c r="C110" s="52" t="s">
        <v>40</v>
      </c>
      <c r="D110" s="46" t="s">
        <v>219</v>
      </c>
      <c r="E110" s="50"/>
      <c r="F110" s="46" t="s">
        <v>220</v>
      </c>
      <c r="G110" s="47"/>
    </row>
    <row r="111" spans="1:7" ht="45" customHeight="1" thickBot="1" x14ac:dyDescent="0.3">
      <c r="A111" s="140"/>
      <c r="B111" s="89">
        <v>3</v>
      </c>
      <c r="C111" s="90" t="s">
        <v>40</v>
      </c>
      <c r="D111" s="60" t="s">
        <v>345</v>
      </c>
      <c r="E111" s="91"/>
      <c r="F111" s="46" t="s">
        <v>131</v>
      </c>
      <c r="G111" s="53"/>
    </row>
    <row r="112" spans="1:7" ht="105.75" thickBot="1" x14ac:dyDescent="0.3">
      <c r="A112" s="140"/>
      <c r="B112" s="54" t="s">
        <v>81</v>
      </c>
      <c r="C112" s="55" t="s">
        <v>82</v>
      </c>
      <c r="D112" s="60" t="s">
        <v>221</v>
      </c>
      <c r="E112" s="64"/>
      <c r="F112" s="92"/>
      <c r="G112" s="58"/>
    </row>
    <row r="113" spans="1:7" ht="42.75" customHeight="1" thickBot="1" x14ac:dyDescent="0.3">
      <c r="A113" s="67" t="str">
        <f>TabellaTest!F12</f>
        <v>TF004.UC02</v>
      </c>
      <c r="B113" s="128" t="str">
        <f>TabellaTest!C12</f>
        <v>PAR. 3.4-035-04</v>
      </c>
      <c r="C113" s="129"/>
      <c r="D113" s="136" t="str">
        <f>TabellaTest!E12</f>
        <v xml:space="preserve">Verifica emissione ordinanza di Sospensione Esecuzione Pene Sostitutive </v>
      </c>
      <c r="E113" s="137"/>
      <c r="F113" s="136" t="str">
        <f>TabellaTest!G12</f>
        <v>Verifica: Verificare nel sottosistema SIUS l'utilizzo della funzione "Ordinanza di Sospensione Esecuzione Pene Sostitutive "</v>
      </c>
      <c r="G113" s="138"/>
    </row>
    <row r="114" spans="1:7" ht="30.75" thickBot="1" x14ac:dyDescent="0.3">
      <c r="A114" s="140"/>
      <c r="B114" s="35" t="s">
        <v>31</v>
      </c>
      <c r="C114" s="32" t="s">
        <v>32</v>
      </c>
      <c r="D114" s="29" t="s">
        <v>33</v>
      </c>
      <c r="E114" s="29" t="s">
        <v>34</v>
      </c>
      <c r="F114" s="29" t="s">
        <v>35</v>
      </c>
      <c r="G114" s="30" t="s">
        <v>10</v>
      </c>
    </row>
    <row r="115" spans="1:7" ht="45.75" thickBot="1" x14ac:dyDescent="0.3">
      <c r="A115" s="140"/>
      <c r="B115" s="56" t="s">
        <v>36</v>
      </c>
      <c r="C115" s="45" t="s">
        <v>37</v>
      </c>
      <c r="D115" s="46" t="s">
        <v>224</v>
      </c>
      <c r="E115" s="46" t="s">
        <v>91</v>
      </c>
      <c r="F115" s="46"/>
      <c r="G115" s="47"/>
    </row>
    <row r="116" spans="1:7" ht="30.75" thickBot="1" x14ac:dyDescent="0.3">
      <c r="A116" s="140"/>
      <c r="B116" s="57">
        <v>1</v>
      </c>
      <c r="C116" s="48" t="s">
        <v>39</v>
      </c>
      <c r="D116" s="49" t="s">
        <v>134</v>
      </c>
      <c r="E116" s="50"/>
      <c r="F116" s="46" t="s">
        <v>111</v>
      </c>
      <c r="G116" s="47"/>
    </row>
    <row r="117" spans="1:7" ht="30.75" thickBot="1" x14ac:dyDescent="0.3">
      <c r="A117" s="140"/>
      <c r="B117" s="103" t="s">
        <v>108</v>
      </c>
      <c r="C117" s="52" t="s">
        <v>40</v>
      </c>
      <c r="D117" s="46" t="s">
        <v>135</v>
      </c>
      <c r="E117" s="50"/>
      <c r="F117" s="46" t="s">
        <v>136</v>
      </c>
      <c r="G117" s="47"/>
    </row>
    <row r="118" spans="1:7" ht="45.75" thickBot="1" x14ac:dyDescent="0.3">
      <c r="A118" s="140"/>
      <c r="B118" s="103" t="s">
        <v>107</v>
      </c>
      <c r="C118" s="52" t="s">
        <v>40</v>
      </c>
      <c r="D118" s="46" t="s">
        <v>137</v>
      </c>
      <c r="E118" s="50"/>
      <c r="F118" s="46" t="s">
        <v>225</v>
      </c>
      <c r="G118" s="47"/>
    </row>
    <row r="119" spans="1:7" ht="60.75" thickBot="1" x14ac:dyDescent="0.3">
      <c r="A119" s="140"/>
      <c r="B119" s="103" t="s">
        <v>107</v>
      </c>
      <c r="C119" s="52" t="s">
        <v>40</v>
      </c>
      <c r="D119" s="46" t="s">
        <v>226</v>
      </c>
      <c r="E119" s="50"/>
      <c r="F119" s="46" t="s">
        <v>227</v>
      </c>
      <c r="G119" s="47"/>
    </row>
    <row r="120" spans="1:7" ht="30.75" thickBot="1" x14ac:dyDescent="0.3">
      <c r="A120" s="140"/>
      <c r="B120" s="54" t="s">
        <v>81</v>
      </c>
      <c r="C120" s="55" t="s">
        <v>82</v>
      </c>
      <c r="D120" s="61" t="s">
        <v>102</v>
      </c>
      <c r="E120" s="64"/>
      <c r="F120" s="61"/>
      <c r="G120" s="58" t="s">
        <v>47</v>
      </c>
    </row>
    <row r="121" spans="1:7" ht="45.75" thickBot="1" x14ac:dyDescent="0.3">
      <c r="A121" s="140"/>
      <c r="B121" s="56" t="s">
        <v>36</v>
      </c>
      <c r="C121" s="45" t="s">
        <v>38</v>
      </c>
      <c r="D121" s="46" t="s">
        <v>228</v>
      </c>
      <c r="E121" s="46"/>
      <c r="F121" s="63"/>
      <c r="G121" s="47"/>
    </row>
    <row r="122" spans="1:7" ht="30" customHeight="1" thickBot="1" x14ac:dyDescent="0.3">
      <c r="A122" s="140"/>
      <c r="B122" s="103" t="s">
        <v>106</v>
      </c>
      <c r="C122" s="52" t="s">
        <v>40</v>
      </c>
      <c r="D122" s="46" t="s">
        <v>105</v>
      </c>
      <c r="E122" s="50"/>
      <c r="F122" s="46" t="s">
        <v>141</v>
      </c>
      <c r="G122" s="47"/>
    </row>
    <row r="123" spans="1:7" ht="45.75" thickBot="1" x14ac:dyDescent="0.3">
      <c r="A123" s="140"/>
      <c r="B123" s="103" t="s">
        <v>104</v>
      </c>
      <c r="C123" s="52" t="s">
        <v>40</v>
      </c>
      <c r="D123" s="46" t="s">
        <v>103</v>
      </c>
      <c r="E123" s="50"/>
      <c r="F123" s="46" t="s">
        <v>229</v>
      </c>
      <c r="G123" s="47"/>
    </row>
    <row r="124" spans="1:7" ht="30" customHeight="1" thickBot="1" x14ac:dyDescent="0.3">
      <c r="A124" s="140"/>
      <c r="B124" s="54" t="s">
        <v>81</v>
      </c>
      <c r="C124" s="55" t="s">
        <v>82</v>
      </c>
      <c r="D124" s="61" t="s">
        <v>102</v>
      </c>
      <c r="E124" s="64"/>
      <c r="F124" s="61"/>
      <c r="G124" s="58" t="s">
        <v>47</v>
      </c>
    </row>
    <row r="125" spans="1:7" ht="45.75" thickBot="1" x14ac:dyDescent="0.3">
      <c r="A125" s="140"/>
      <c r="B125" s="56" t="s">
        <v>36</v>
      </c>
      <c r="C125" s="45" t="s">
        <v>38</v>
      </c>
      <c r="D125" s="46" t="s">
        <v>231</v>
      </c>
      <c r="E125" s="46"/>
      <c r="F125" s="63"/>
      <c r="G125" s="47"/>
    </row>
    <row r="126" spans="1:7" ht="45.75" thickBot="1" x14ac:dyDescent="0.3">
      <c r="A126" s="140"/>
      <c r="B126" s="103" t="s">
        <v>101</v>
      </c>
      <c r="C126" s="52" t="s">
        <v>40</v>
      </c>
      <c r="D126" s="46" t="s">
        <v>100</v>
      </c>
      <c r="E126" s="50"/>
      <c r="F126" s="46" t="s">
        <v>99</v>
      </c>
      <c r="G126" s="47"/>
    </row>
    <row r="127" spans="1:7" ht="30.75" thickBot="1" x14ac:dyDescent="0.3">
      <c r="A127" s="140"/>
      <c r="B127" s="54" t="s">
        <v>81</v>
      </c>
      <c r="C127" s="55" t="s">
        <v>82</v>
      </c>
      <c r="D127" s="61" t="s">
        <v>230</v>
      </c>
      <c r="E127" s="64"/>
      <c r="F127" s="61"/>
      <c r="G127" s="58" t="s">
        <v>47</v>
      </c>
    </row>
    <row r="128" spans="1:7" ht="45.75" thickBot="1" x14ac:dyDescent="0.3">
      <c r="A128" s="140"/>
      <c r="B128" s="56" t="s">
        <v>36</v>
      </c>
      <c r="C128" s="45" t="s">
        <v>38</v>
      </c>
      <c r="D128" s="46" t="s">
        <v>228</v>
      </c>
      <c r="E128" s="46"/>
      <c r="F128" s="63"/>
      <c r="G128" s="47"/>
    </row>
    <row r="129" spans="1:7" ht="30" customHeight="1" thickBot="1" x14ac:dyDescent="0.3">
      <c r="A129" s="140"/>
      <c r="B129" s="103" t="s">
        <v>98</v>
      </c>
      <c r="C129" s="52" t="s">
        <v>40</v>
      </c>
      <c r="D129" s="46" t="s">
        <v>146</v>
      </c>
      <c r="E129" s="50"/>
      <c r="F129" s="46" t="s">
        <v>147</v>
      </c>
      <c r="G129" s="47"/>
    </row>
    <row r="130" spans="1:7" ht="30" customHeight="1" thickBot="1" x14ac:dyDescent="0.3">
      <c r="A130" s="140"/>
      <c r="B130" s="103" t="s">
        <v>96</v>
      </c>
      <c r="C130" s="52" t="s">
        <v>40</v>
      </c>
      <c r="D130" s="46" t="s">
        <v>112</v>
      </c>
      <c r="E130" s="50"/>
      <c r="F130" s="46" t="s">
        <v>148</v>
      </c>
      <c r="G130" s="47"/>
    </row>
    <row r="131" spans="1:7" ht="30" customHeight="1" thickBot="1" x14ac:dyDescent="0.3">
      <c r="A131" s="140"/>
      <c r="B131" s="54" t="s">
        <v>81</v>
      </c>
      <c r="C131" s="55" t="s">
        <v>82</v>
      </c>
      <c r="D131" s="61" t="s">
        <v>172</v>
      </c>
      <c r="E131" s="64"/>
      <c r="F131" s="61"/>
      <c r="G131" s="58" t="s">
        <v>47</v>
      </c>
    </row>
    <row r="132" spans="1:7" ht="45.75" customHeight="1" thickBot="1" x14ac:dyDescent="0.3">
      <c r="A132" s="67" t="str">
        <f>TabellaTest!F13</f>
        <v>TF004.UC03</v>
      </c>
      <c r="B132" s="126" t="str">
        <f>TabellaTest!C13</f>
        <v>PAR. 3.4-035-04</v>
      </c>
      <c r="C132" s="127"/>
      <c r="D132" s="128" t="str">
        <f>TabellaTest!E13</f>
        <v xml:space="preserve">Verifica emissione decreto di Sospensione Esecuzione Pene Sostitutive </v>
      </c>
      <c r="E132" s="129"/>
      <c r="F132" s="128" t="str">
        <f>TabellaTest!G13</f>
        <v>Verifica: Verificare nel sottosistema SIUS l'utilizzo della funzione "Decreto Sospensione Esecuzione Pene Sostitutive"</v>
      </c>
      <c r="G132" s="130"/>
    </row>
    <row r="133" spans="1:7" ht="30" x14ac:dyDescent="0.25">
      <c r="A133" s="124"/>
      <c r="B133" s="35" t="s">
        <v>31</v>
      </c>
      <c r="C133" s="32" t="s">
        <v>32</v>
      </c>
      <c r="D133" s="29" t="s">
        <v>33</v>
      </c>
      <c r="E133" s="29" t="s">
        <v>34</v>
      </c>
      <c r="F133" s="29" t="s">
        <v>35</v>
      </c>
      <c r="G133" s="30" t="s">
        <v>10</v>
      </c>
    </row>
    <row r="134" spans="1:7" ht="45" x14ac:dyDescent="0.25">
      <c r="A134" s="125"/>
      <c r="B134" s="56" t="s">
        <v>36</v>
      </c>
      <c r="C134" s="45" t="s">
        <v>37</v>
      </c>
      <c r="D134" s="46" t="s">
        <v>243</v>
      </c>
      <c r="E134" s="46" t="s">
        <v>91</v>
      </c>
      <c r="F134" s="46"/>
      <c r="G134" s="47"/>
    </row>
    <row r="135" spans="1:7" ht="30" x14ac:dyDescent="0.25">
      <c r="A135" s="125"/>
      <c r="B135" s="57">
        <v>1</v>
      </c>
      <c r="C135" s="48" t="s">
        <v>39</v>
      </c>
      <c r="D135" s="49" t="s">
        <v>176</v>
      </c>
      <c r="E135" s="50"/>
      <c r="F135" s="46" t="s">
        <v>111</v>
      </c>
      <c r="G135" s="47"/>
    </row>
    <row r="136" spans="1:7" ht="30" x14ac:dyDescent="0.25">
      <c r="A136" s="125"/>
      <c r="B136" s="103" t="s">
        <v>108</v>
      </c>
      <c r="C136" s="52" t="s">
        <v>40</v>
      </c>
      <c r="D136" s="46" t="s">
        <v>135</v>
      </c>
      <c r="E136" s="50"/>
      <c r="F136" s="46" t="s">
        <v>177</v>
      </c>
      <c r="G136" s="47"/>
    </row>
    <row r="137" spans="1:7" ht="45" x14ac:dyDescent="0.25">
      <c r="A137" s="125"/>
      <c r="B137" s="103" t="s">
        <v>107</v>
      </c>
      <c r="C137" s="52" t="s">
        <v>40</v>
      </c>
      <c r="D137" s="46" t="s">
        <v>137</v>
      </c>
      <c r="E137" s="50"/>
      <c r="F137" s="46" t="s">
        <v>233</v>
      </c>
      <c r="G137" s="47"/>
    </row>
    <row r="138" spans="1:7" ht="60" x14ac:dyDescent="0.25">
      <c r="A138" s="125"/>
      <c r="B138" s="103" t="s">
        <v>106</v>
      </c>
      <c r="C138" s="52" t="s">
        <v>40</v>
      </c>
      <c r="D138" s="46" t="s">
        <v>226</v>
      </c>
      <c r="E138" s="50"/>
      <c r="F138" s="46" t="s">
        <v>234</v>
      </c>
      <c r="G138" s="47"/>
    </row>
    <row r="139" spans="1:7" ht="30.75" thickBot="1" x14ac:dyDescent="0.3">
      <c r="A139" s="125"/>
      <c r="B139" s="54" t="s">
        <v>81</v>
      </c>
      <c r="C139" s="55" t="s">
        <v>82</v>
      </c>
      <c r="D139" s="61" t="s">
        <v>102</v>
      </c>
      <c r="E139" s="64"/>
      <c r="F139" s="61"/>
      <c r="G139" s="58" t="s">
        <v>47</v>
      </c>
    </row>
    <row r="140" spans="1:7" ht="30" x14ac:dyDescent="0.25">
      <c r="A140" s="125"/>
      <c r="B140" s="56" t="s">
        <v>36</v>
      </c>
      <c r="C140" s="45" t="s">
        <v>38</v>
      </c>
      <c r="D140" s="46" t="s">
        <v>235</v>
      </c>
      <c r="E140" s="46"/>
      <c r="F140" s="63"/>
      <c r="G140" s="47"/>
    </row>
    <row r="141" spans="1:7" ht="30" customHeight="1" x14ac:dyDescent="0.25">
      <c r="A141" s="125"/>
      <c r="B141" s="103" t="s">
        <v>104</v>
      </c>
      <c r="C141" s="52" t="s">
        <v>40</v>
      </c>
      <c r="D141" s="46" t="s">
        <v>105</v>
      </c>
      <c r="E141" s="50"/>
      <c r="F141" s="46" t="s">
        <v>181</v>
      </c>
      <c r="G141" s="47"/>
    </row>
    <row r="142" spans="1:7" ht="30" x14ac:dyDescent="0.25">
      <c r="A142" s="125"/>
      <c r="B142" s="103" t="s">
        <v>101</v>
      </c>
      <c r="C142" s="52" t="s">
        <v>40</v>
      </c>
      <c r="D142" s="46" t="s">
        <v>103</v>
      </c>
      <c r="E142" s="50"/>
      <c r="F142" s="46" t="s">
        <v>236</v>
      </c>
      <c r="G142" s="47"/>
    </row>
    <row r="143" spans="1:7" ht="30" customHeight="1" thickBot="1" x14ac:dyDescent="0.3">
      <c r="A143" s="125"/>
      <c r="B143" s="54" t="s">
        <v>81</v>
      </c>
      <c r="C143" s="55" t="s">
        <v>82</v>
      </c>
      <c r="D143" s="61" t="s">
        <v>102</v>
      </c>
      <c r="E143" s="64"/>
      <c r="F143" s="61"/>
      <c r="G143" s="58" t="s">
        <v>47</v>
      </c>
    </row>
    <row r="144" spans="1:7" ht="30" x14ac:dyDescent="0.25">
      <c r="A144" s="125"/>
      <c r="B144" s="56" t="s">
        <v>36</v>
      </c>
      <c r="C144" s="45" t="s">
        <v>38</v>
      </c>
      <c r="D144" s="46" t="s">
        <v>237</v>
      </c>
      <c r="E144" s="46"/>
      <c r="F144" s="63"/>
      <c r="G144" s="47"/>
    </row>
    <row r="145" spans="1:7" ht="45" x14ac:dyDescent="0.25">
      <c r="A145" s="125"/>
      <c r="B145" s="103" t="s">
        <v>98</v>
      </c>
      <c r="C145" s="52" t="s">
        <v>40</v>
      </c>
      <c r="D145" s="46" t="s">
        <v>100</v>
      </c>
      <c r="E145" s="50"/>
      <c r="F145" s="46" t="s">
        <v>99</v>
      </c>
      <c r="G145" s="47"/>
    </row>
    <row r="146" spans="1:7" ht="30.75" thickBot="1" x14ac:dyDescent="0.3">
      <c r="A146" s="125"/>
      <c r="B146" s="54" t="s">
        <v>81</v>
      </c>
      <c r="C146" s="55" t="s">
        <v>82</v>
      </c>
      <c r="D146" s="61" t="s">
        <v>238</v>
      </c>
      <c r="E146" s="64"/>
      <c r="F146" s="61"/>
      <c r="G146" s="58" t="s">
        <v>47</v>
      </c>
    </row>
    <row r="147" spans="1:7" ht="45" x14ac:dyDescent="0.25">
      <c r="A147" s="125"/>
      <c r="B147" s="103" t="s">
        <v>96</v>
      </c>
      <c r="C147" s="52" t="s">
        <v>40</v>
      </c>
      <c r="D147" s="46" t="s">
        <v>97</v>
      </c>
      <c r="E147" s="50"/>
      <c r="F147" s="46" t="s">
        <v>185</v>
      </c>
      <c r="G147" s="47"/>
    </row>
    <row r="148" spans="1:7" ht="30" customHeight="1" thickBot="1" x14ac:dyDescent="0.3">
      <c r="A148" s="125"/>
      <c r="B148" s="54" t="s">
        <v>81</v>
      </c>
      <c r="C148" s="55" t="s">
        <v>82</v>
      </c>
      <c r="D148" s="61" t="s">
        <v>110</v>
      </c>
      <c r="E148" s="64"/>
      <c r="F148" s="61"/>
      <c r="G148" s="58" t="s">
        <v>47</v>
      </c>
    </row>
    <row r="149" spans="1:7" ht="45.75" thickBot="1" x14ac:dyDescent="0.3">
      <c r="A149" s="125"/>
      <c r="B149" s="56" t="s">
        <v>36</v>
      </c>
      <c r="C149" s="45" t="s">
        <v>186</v>
      </c>
      <c r="D149" s="46" t="s">
        <v>187</v>
      </c>
      <c r="E149" s="46"/>
      <c r="F149" s="46"/>
      <c r="G149" s="47"/>
    </row>
    <row r="150" spans="1:7" ht="51.75" customHeight="1" thickBot="1" x14ac:dyDescent="0.3">
      <c r="A150" s="67" t="str">
        <f>TabellaTest!F14</f>
        <v>TF005.UC01</v>
      </c>
      <c r="B150" s="135" t="str">
        <f>TabellaTest!C14</f>
        <v>PAR. 3.5-035-05</v>
      </c>
      <c r="C150" s="129"/>
      <c r="D150" s="136" t="str">
        <f>TabellaTest!E14</f>
        <v xml:space="preserve">Verifica iscrizione procedimento di Autorizzazione Pene Sostitutive   </v>
      </c>
      <c r="E150" s="137"/>
      <c r="F150" s="136" t="str">
        <f>TabellaTest!G14</f>
        <v>Verifica: Verificare che nel sottosistema SIUS a seguito iscrizione procedimento con contenuto Autorizzazione Pene Sostitutive venga inserito un nuovo procedimento SIUS</v>
      </c>
      <c r="G150" s="138"/>
    </row>
    <row r="151" spans="1:7" ht="30.75" thickBot="1" x14ac:dyDescent="0.3">
      <c r="A151" s="140"/>
      <c r="B151" s="36" t="s">
        <v>31</v>
      </c>
      <c r="C151" s="33" t="s">
        <v>32</v>
      </c>
      <c r="D151" s="33" t="s">
        <v>33</v>
      </c>
      <c r="E151" s="33" t="s">
        <v>34</v>
      </c>
      <c r="F151" s="33" t="s">
        <v>35</v>
      </c>
      <c r="G151" s="34" t="s">
        <v>10</v>
      </c>
    </row>
    <row r="152" spans="1:7" ht="30" customHeight="1" thickBot="1" x14ac:dyDescent="0.3">
      <c r="A152" s="140"/>
      <c r="B152" s="56" t="s">
        <v>36</v>
      </c>
      <c r="C152" s="45" t="s">
        <v>37</v>
      </c>
      <c r="D152" s="46" t="s">
        <v>203</v>
      </c>
      <c r="E152" s="46" t="s">
        <v>91</v>
      </c>
      <c r="F152" s="46"/>
      <c r="G152" s="47"/>
    </row>
    <row r="153" spans="1:7" ht="60" customHeight="1" thickBot="1" x14ac:dyDescent="0.3">
      <c r="A153" s="140"/>
      <c r="B153" s="56" t="s">
        <v>36</v>
      </c>
      <c r="C153" s="45" t="s">
        <v>38</v>
      </c>
      <c r="D153" s="46" t="s">
        <v>218</v>
      </c>
      <c r="E153" s="46"/>
      <c r="F153" s="63" t="s">
        <v>205</v>
      </c>
      <c r="G153" s="47"/>
    </row>
    <row r="154" spans="1:7" ht="30" customHeight="1" thickBot="1" x14ac:dyDescent="0.3">
      <c r="A154" s="140"/>
      <c r="B154" s="57">
        <v>1</v>
      </c>
      <c r="C154" s="48" t="s">
        <v>39</v>
      </c>
      <c r="D154" s="46" t="s">
        <v>198</v>
      </c>
      <c r="E154" s="50"/>
      <c r="F154" s="46" t="s">
        <v>199</v>
      </c>
      <c r="G154" s="47"/>
    </row>
    <row r="155" spans="1:7" ht="45.75" thickBot="1" x14ac:dyDescent="0.3">
      <c r="A155" s="140"/>
      <c r="B155" s="59">
        <v>2</v>
      </c>
      <c r="C155" s="52" t="s">
        <v>40</v>
      </c>
      <c r="D155" s="46" t="s">
        <v>219</v>
      </c>
      <c r="E155" s="50"/>
      <c r="F155" s="46" t="s">
        <v>220</v>
      </c>
      <c r="G155" s="47"/>
    </row>
    <row r="156" spans="1:7" ht="45" customHeight="1" thickBot="1" x14ac:dyDescent="0.3">
      <c r="A156" s="140"/>
      <c r="B156" s="89">
        <v>3</v>
      </c>
      <c r="C156" s="90" t="s">
        <v>40</v>
      </c>
      <c r="D156" s="60" t="s">
        <v>346</v>
      </c>
      <c r="E156" s="91"/>
      <c r="F156" s="46" t="s">
        <v>131</v>
      </c>
      <c r="G156" s="53"/>
    </row>
    <row r="157" spans="1:7" ht="105.75" thickBot="1" x14ac:dyDescent="0.3">
      <c r="A157" s="140"/>
      <c r="B157" s="54" t="s">
        <v>81</v>
      </c>
      <c r="C157" s="55" t="s">
        <v>82</v>
      </c>
      <c r="D157" s="60" t="s">
        <v>221</v>
      </c>
      <c r="E157" s="64"/>
      <c r="F157" s="92"/>
      <c r="G157" s="58"/>
    </row>
    <row r="158" spans="1:7" ht="50.25" customHeight="1" thickBot="1" x14ac:dyDescent="0.3">
      <c r="A158" s="67" t="str">
        <f>TabellaTest!F15</f>
        <v>TF005.UC02</v>
      </c>
      <c r="B158" s="135" t="str">
        <f>TabellaTest!C15</f>
        <v>PAR. 3.5-035-05</v>
      </c>
      <c r="C158" s="127"/>
      <c r="D158" s="128" t="str">
        <f>TabellaTest!E15</f>
        <v xml:space="preserve">Verifica emissione decreto di Autorizzazione Pene Sostitutive   </v>
      </c>
      <c r="E158" s="129"/>
      <c r="F158" s="128" t="str">
        <f>TabellaTest!G15</f>
        <v>Verifica: Verificare nel sottosistema SIUS l'utilizzo della funzione "Decreto Autorizzazione Pene Sostitutive"</v>
      </c>
      <c r="G158" s="130"/>
    </row>
    <row r="159" spans="1:7" ht="30" x14ac:dyDescent="0.25">
      <c r="A159" s="124"/>
      <c r="B159" s="35" t="s">
        <v>31</v>
      </c>
      <c r="C159" s="32" t="s">
        <v>32</v>
      </c>
      <c r="D159" s="29" t="s">
        <v>33</v>
      </c>
      <c r="E159" s="29" t="s">
        <v>34</v>
      </c>
      <c r="F159" s="29" t="s">
        <v>35</v>
      </c>
      <c r="G159" s="30" t="s">
        <v>10</v>
      </c>
    </row>
    <row r="160" spans="1:7" ht="45" x14ac:dyDescent="0.25">
      <c r="A160" s="125"/>
      <c r="B160" s="56" t="s">
        <v>36</v>
      </c>
      <c r="C160" s="45" t="s">
        <v>37</v>
      </c>
      <c r="D160" s="46" t="s">
        <v>243</v>
      </c>
      <c r="E160" s="46" t="s">
        <v>91</v>
      </c>
      <c r="F160" s="46"/>
      <c r="G160" s="47"/>
    </row>
    <row r="161" spans="1:7" ht="30" x14ac:dyDescent="0.25">
      <c r="A161" s="125"/>
      <c r="B161" s="57">
        <v>1</v>
      </c>
      <c r="C161" s="48" t="s">
        <v>39</v>
      </c>
      <c r="D161" s="49" t="s">
        <v>176</v>
      </c>
      <c r="E161" s="50"/>
      <c r="F161" s="46" t="s">
        <v>111</v>
      </c>
      <c r="G161" s="47"/>
    </row>
    <row r="162" spans="1:7" ht="30" x14ac:dyDescent="0.25">
      <c r="A162" s="125"/>
      <c r="B162" s="103" t="s">
        <v>108</v>
      </c>
      <c r="C162" s="52" t="s">
        <v>40</v>
      </c>
      <c r="D162" s="46" t="s">
        <v>135</v>
      </c>
      <c r="E162" s="50"/>
      <c r="F162" s="46" t="s">
        <v>177</v>
      </c>
      <c r="G162" s="47"/>
    </row>
    <row r="163" spans="1:7" ht="45" x14ac:dyDescent="0.25">
      <c r="A163" s="125"/>
      <c r="B163" s="103" t="s">
        <v>107</v>
      </c>
      <c r="C163" s="52" t="s">
        <v>40</v>
      </c>
      <c r="D163" s="46" t="s">
        <v>137</v>
      </c>
      <c r="E163" s="50"/>
      <c r="F163" s="46" t="s">
        <v>244</v>
      </c>
      <c r="G163" s="47"/>
    </row>
    <row r="164" spans="1:7" ht="45" x14ac:dyDescent="0.25">
      <c r="A164" s="125"/>
      <c r="B164" s="103" t="s">
        <v>106</v>
      </c>
      <c r="C164" s="52" t="s">
        <v>40</v>
      </c>
      <c r="D164" s="46" t="s">
        <v>248</v>
      </c>
      <c r="E164" s="50"/>
      <c r="F164" s="46" t="s">
        <v>245</v>
      </c>
      <c r="G164" s="47"/>
    </row>
    <row r="165" spans="1:7" ht="30.75" thickBot="1" x14ac:dyDescent="0.3">
      <c r="A165" s="125"/>
      <c r="B165" s="54" t="s">
        <v>81</v>
      </c>
      <c r="C165" s="55" t="s">
        <v>82</v>
      </c>
      <c r="D165" s="61" t="s">
        <v>102</v>
      </c>
      <c r="E165" s="64"/>
      <c r="F165" s="61"/>
      <c r="G165" s="58" t="s">
        <v>47</v>
      </c>
    </row>
    <row r="166" spans="1:7" ht="30" x14ac:dyDescent="0.25">
      <c r="A166" s="125"/>
      <c r="B166" s="56" t="s">
        <v>36</v>
      </c>
      <c r="C166" s="45" t="s">
        <v>38</v>
      </c>
      <c r="D166" s="46" t="s">
        <v>246</v>
      </c>
      <c r="E166" s="46"/>
      <c r="F166" s="63"/>
      <c r="G166" s="47"/>
    </row>
    <row r="167" spans="1:7" ht="30" customHeight="1" x14ac:dyDescent="0.25">
      <c r="A167" s="125"/>
      <c r="B167" s="103" t="s">
        <v>104</v>
      </c>
      <c r="C167" s="52" t="s">
        <v>40</v>
      </c>
      <c r="D167" s="46" t="s">
        <v>105</v>
      </c>
      <c r="E167" s="50"/>
      <c r="F167" s="46" t="s">
        <v>181</v>
      </c>
      <c r="G167" s="47"/>
    </row>
    <row r="168" spans="1:7" ht="30" x14ac:dyDescent="0.25">
      <c r="A168" s="125"/>
      <c r="B168" s="103" t="s">
        <v>101</v>
      </c>
      <c r="C168" s="52" t="s">
        <v>40</v>
      </c>
      <c r="D168" s="46" t="s">
        <v>103</v>
      </c>
      <c r="E168" s="50"/>
      <c r="F168" s="46" t="s">
        <v>236</v>
      </c>
      <c r="G168" s="47"/>
    </row>
    <row r="169" spans="1:7" ht="30" customHeight="1" thickBot="1" x14ac:dyDescent="0.3">
      <c r="A169" s="125"/>
      <c r="B169" s="54" t="s">
        <v>81</v>
      </c>
      <c r="C169" s="55" t="s">
        <v>82</v>
      </c>
      <c r="D169" s="61" t="s">
        <v>102</v>
      </c>
      <c r="E169" s="64"/>
      <c r="F169" s="61"/>
      <c r="G169" s="58" t="s">
        <v>47</v>
      </c>
    </row>
    <row r="170" spans="1:7" ht="30" x14ac:dyDescent="0.25">
      <c r="A170" s="125"/>
      <c r="B170" s="56" t="s">
        <v>36</v>
      </c>
      <c r="C170" s="45" t="s">
        <v>38</v>
      </c>
      <c r="D170" s="46" t="s">
        <v>247</v>
      </c>
      <c r="E170" s="46"/>
      <c r="F170" s="63"/>
      <c r="G170" s="47"/>
    </row>
    <row r="171" spans="1:7" ht="45" x14ac:dyDescent="0.25">
      <c r="A171" s="125"/>
      <c r="B171" s="103" t="s">
        <v>101</v>
      </c>
      <c r="C171" s="52" t="s">
        <v>40</v>
      </c>
      <c r="D171" s="46" t="s">
        <v>100</v>
      </c>
      <c r="E171" s="50"/>
      <c r="F171" s="46" t="s">
        <v>99</v>
      </c>
      <c r="G171" s="47"/>
    </row>
    <row r="172" spans="1:7" ht="30.75" thickBot="1" x14ac:dyDescent="0.3">
      <c r="A172" s="125"/>
      <c r="B172" s="54" t="s">
        <v>81</v>
      </c>
      <c r="C172" s="55" t="s">
        <v>82</v>
      </c>
      <c r="D172" s="61" t="s">
        <v>249</v>
      </c>
      <c r="E172" s="64"/>
      <c r="F172" s="61"/>
      <c r="G172" s="58" t="s">
        <v>47</v>
      </c>
    </row>
    <row r="173" spans="1:7" ht="45" x14ac:dyDescent="0.25">
      <c r="A173" s="125"/>
      <c r="B173" s="103" t="s">
        <v>98</v>
      </c>
      <c r="C173" s="52" t="s">
        <v>40</v>
      </c>
      <c r="D173" s="46" t="s">
        <v>97</v>
      </c>
      <c r="E173" s="50"/>
      <c r="F173" s="46" t="s">
        <v>185</v>
      </c>
      <c r="G173" s="47"/>
    </row>
    <row r="174" spans="1:7" ht="30" customHeight="1" thickBot="1" x14ac:dyDescent="0.3">
      <c r="A174" s="125"/>
      <c r="B174" s="54" t="s">
        <v>81</v>
      </c>
      <c r="C174" s="55" t="s">
        <v>82</v>
      </c>
      <c r="D174" s="61" t="s">
        <v>110</v>
      </c>
      <c r="E174" s="64"/>
      <c r="F174" s="61"/>
      <c r="G174" s="58" t="s">
        <v>47</v>
      </c>
    </row>
    <row r="175" spans="1:7" ht="45.75" thickBot="1" x14ac:dyDescent="0.3">
      <c r="A175" s="125"/>
      <c r="B175" s="56" t="s">
        <v>36</v>
      </c>
      <c r="C175" s="45" t="s">
        <v>186</v>
      </c>
      <c r="D175" s="46" t="s">
        <v>187</v>
      </c>
      <c r="E175" s="46"/>
      <c r="F175" s="46"/>
      <c r="G175" s="47"/>
    </row>
    <row r="176" spans="1:7" ht="54.75" customHeight="1" thickBot="1" x14ac:dyDescent="0.3">
      <c r="A176" s="67" t="str">
        <f>TabellaTest!F16</f>
        <v>TF006.UC01</v>
      </c>
      <c r="B176" s="135" t="str">
        <f>TabellaTest!C16</f>
        <v>PAR. 3.6-035-06</v>
      </c>
      <c r="C176" s="127"/>
      <c r="D176" s="128" t="str">
        <f>TabellaTest!E16</f>
        <v xml:space="preserve">Verifica iscrizione procedimento di Modifica Modalità di esecuzione Pene Sostitutive </v>
      </c>
      <c r="E176" s="129"/>
      <c r="F176" s="128" t="str">
        <f>TabellaTest!G16</f>
        <v>Verifica: Verificare che nel sottosistema SIUS a seguito iscrizione procedimento con contenuto Modifica Modalità di esecuzione Pene Sostitutive  venga inserito un nuovo procedimento SIUS</v>
      </c>
      <c r="G176" s="130"/>
    </row>
    <row r="177" spans="1:7" ht="30.75" thickBot="1" x14ac:dyDescent="0.3">
      <c r="A177" s="140"/>
      <c r="B177" s="36" t="s">
        <v>31</v>
      </c>
      <c r="C177" s="33" t="s">
        <v>32</v>
      </c>
      <c r="D177" s="33" t="s">
        <v>33</v>
      </c>
      <c r="E177" s="33" t="s">
        <v>34</v>
      </c>
      <c r="F177" s="33" t="s">
        <v>35</v>
      </c>
      <c r="G177" s="34" t="s">
        <v>10</v>
      </c>
    </row>
    <row r="178" spans="1:7" ht="30" customHeight="1" thickBot="1" x14ac:dyDescent="0.3">
      <c r="A178" s="140"/>
      <c r="B178" s="56" t="s">
        <v>36</v>
      </c>
      <c r="C178" s="45" t="s">
        <v>37</v>
      </c>
      <c r="D178" s="46" t="s">
        <v>203</v>
      </c>
      <c r="E178" s="46" t="s">
        <v>91</v>
      </c>
      <c r="F178" s="46"/>
      <c r="G178" s="47"/>
    </row>
    <row r="179" spans="1:7" ht="60" customHeight="1" thickBot="1" x14ac:dyDescent="0.3">
      <c r="A179" s="140"/>
      <c r="B179" s="56" t="s">
        <v>36</v>
      </c>
      <c r="C179" s="45" t="s">
        <v>38</v>
      </c>
      <c r="D179" s="46" t="s">
        <v>218</v>
      </c>
      <c r="E179" s="46"/>
      <c r="F179" s="63" t="s">
        <v>205</v>
      </c>
      <c r="G179" s="47"/>
    </row>
    <row r="180" spans="1:7" ht="30" customHeight="1" thickBot="1" x14ac:dyDescent="0.3">
      <c r="A180" s="140"/>
      <c r="B180" s="57">
        <v>1</v>
      </c>
      <c r="C180" s="48" t="s">
        <v>39</v>
      </c>
      <c r="D180" s="46" t="s">
        <v>198</v>
      </c>
      <c r="E180" s="50"/>
      <c r="F180" s="46" t="s">
        <v>199</v>
      </c>
      <c r="G180" s="47"/>
    </row>
    <row r="181" spans="1:7" ht="45.75" thickBot="1" x14ac:dyDescent="0.3">
      <c r="A181" s="140"/>
      <c r="B181" s="59">
        <v>2</v>
      </c>
      <c r="C181" s="52" t="s">
        <v>40</v>
      </c>
      <c r="D181" s="46" t="s">
        <v>219</v>
      </c>
      <c r="E181" s="50"/>
      <c r="F181" s="46" t="s">
        <v>220</v>
      </c>
      <c r="G181" s="47"/>
    </row>
    <row r="182" spans="1:7" ht="75.75" thickBot="1" x14ac:dyDescent="0.3">
      <c r="A182" s="140"/>
      <c r="B182" s="89">
        <v>3</v>
      </c>
      <c r="C182" s="90" t="s">
        <v>40</v>
      </c>
      <c r="D182" s="60" t="s">
        <v>257</v>
      </c>
      <c r="E182" s="91"/>
      <c r="F182" s="46" t="s">
        <v>131</v>
      </c>
      <c r="G182" s="53"/>
    </row>
    <row r="183" spans="1:7" ht="105.75" thickBot="1" x14ac:dyDescent="0.3">
      <c r="A183" s="140"/>
      <c r="B183" s="54" t="s">
        <v>81</v>
      </c>
      <c r="C183" s="55" t="s">
        <v>82</v>
      </c>
      <c r="D183" s="60" t="s">
        <v>221</v>
      </c>
      <c r="E183" s="64"/>
      <c r="F183" s="92"/>
      <c r="G183" s="58"/>
    </row>
    <row r="184" spans="1:7" ht="42.75" customHeight="1" thickBot="1" x14ac:dyDescent="0.3">
      <c r="A184" s="67" t="str">
        <f>TabellaTest!F17</f>
        <v>TF006.UC02</v>
      </c>
      <c r="B184" s="135" t="str">
        <f>TabellaTest!C17</f>
        <v>PAR. 3.6-035-06</v>
      </c>
      <c r="C184" s="129"/>
      <c r="D184" s="136" t="str">
        <f>TabellaTest!E17</f>
        <v xml:space="preserve">Verifica emissione decreto di Modifica Modalità di esecuzione Pene Sostitutive </v>
      </c>
      <c r="E184" s="137"/>
      <c r="F184" s="136" t="str">
        <f>TabellaTest!G17</f>
        <v>Verifica: Verificare nel sottosistema SIUS l'utilizzo della funzione "Decreto Modifica Modalità di esecuzione Pene Sostitutive "</v>
      </c>
      <c r="G184" s="138"/>
    </row>
    <row r="185" spans="1:7" ht="30.75" thickBot="1" x14ac:dyDescent="0.3">
      <c r="A185" s="140"/>
      <c r="B185" s="35" t="s">
        <v>31</v>
      </c>
      <c r="C185" s="32" t="s">
        <v>32</v>
      </c>
      <c r="D185" s="29" t="s">
        <v>33</v>
      </c>
      <c r="E185" s="29" t="s">
        <v>34</v>
      </c>
      <c r="F185" s="29" t="s">
        <v>35</v>
      </c>
      <c r="G185" s="30" t="s">
        <v>10</v>
      </c>
    </row>
    <row r="186" spans="1:7" ht="45.75" thickBot="1" x14ac:dyDescent="0.3">
      <c r="A186" s="140"/>
      <c r="B186" s="56" t="s">
        <v>36</v>
      </c>
      <c r="C186" s="45" t="s">
        <v>37</v>
      </c>
      <c r="D186" s="46" t="s">
        <v>243</v>
      </c>
      <c r="E186" s="46" t="s">
        <v>91</v>
      </c>
      <c r="F186" s="46"/>
      <c r="G186" s="47"/>
    </row>
    <row r="187" spans="1:7" ht="30.75" thickBot="1" x14ac:dyDescent="0.3">
      <c r="A187" s="140"/>
      <c r="B187" s="57">
        <v>1</v>
      </c>
      <c r="C187" s="48" t="s">
        <v>39</v>
      </c>
      <c r="D187" s="49" t="s">
        <v>176</v>
      </c>
      <c r="E187" s="50"/>
      <c r="F187" s="46" t="s">
        <v>111</v>
      </c>
      <c r="G187" s="47"/>
    </row>
    <row r="188" spans="1:7" ht="30.75" thickBot="1" x14ac:dyDescent="0.3">
      <c r="A188" s="140"/>
      <c r="B188" s="103" t="s">
        <v>108</v>
      </c>
      <c r="C188" s="52" t="s">
        <v>40</v>
      </c>
      <c r="D188" s="46" t="s">
        <v>135</v>
      </c>
      <c r="E188" s="50"/>
      <c r="F188" s="46" t="s">
        <v>177</v>
      </c>
      <c r="G188" s="47"/>
    </row>
    <row r="189" spans="1:7" ht="60.75" thickBot="1" x14ac:dyDescent="0.3">
      <c r="A189" s="140"/>
      <c r="B189" s="103" t="s">
        <v>107</v>
      </c>
      <c r="C189" s="52" t="s">
        <v>40</v>
      </c>
      <c r="D189" s="46" t="s">
        <v>137</v>
      </c>
      <c r="E189" s="50"/>
      <c r="F189" s="46" t="s">
        <v>258</v>
      </c>
      <c r="G189" s="47"/>
    </row>
    <row r="190" spans="1:7" ht="60.75" thickBot="1" x14ac:dyDescent="0.3">
      <c r="A190" s="140"/>
      <c r="B190" s="103" t="s">
        <v>106</v>
      </c>
      <c r="C190" s="52" t="s">
        <v>40</v>
      </c>
      <c r="D190" s="46" t="s">
        <v>259</v>
      </c>
      <c r="E190" s="50"/>
      <c r="F190" s="46" t="s">
        <v>260</v>
      </c>
      <c r="G190" s="47"/>
    </row>
    <row r="191" spans="1:7" ht="30.75" thickBot="1" x14ac:dyDescent="0.3">
      <c r="A191" s="140"/>
      <c r="B191" s="54" t="s">
        <v>81</v>
      </c>
      <c r="C191" s="55" t="s">
        <v>82</v>
      </c>
      <c r="D191" s="61" t="s">
        <v>102</v>
      </c>
      <c r="E191" s="64"/>
      <c r="F191" s="61"/>
      <c r="G191" s="58" t="s">
        <v>47</v>
      </c>
    </row>
    <row r="192" spans="1:7" ht="45.75" thickBot="1" x14ac:dyDescent="0.3">
      <c r="A192" s="140"/>
      <c r="B192" s="56" t="s">
        <v>36</v>
      </c>
      <c r="C192" s="45" t="s">
        <v>38</v>
      </c>
      <c r="D192" s="46" t="s">
        <v>261</v>
      </c>
      <c r="E192" s="46"/>
      <c r="F192" s="63"/>
      <c r="G192" s="47"/>
    </row>
    <row r="193" spans="1:7" ht="30" customHeight="1" thickBot="1" x14ac:dyDescent="0.3">
      <c r="A193" s="140"/>
      <c r="B193" s="103" t="s">
        <v>104</v>
      </c>
      <c r="C193" s="52" t="s">
        <v>40</v>
      </c>
      <c r="D193" s="46" t="s">
        <v>105</v>
      </c>
      <c r="E193" s="50"/>
      <c r="F193" s="46" t="s">
        <v>181</v>
      </c>
      <c r="G193" s="47"/>
    </row>
    <row r="194" spans="1:7" ht="30.75" thickBot="1" x14ac:dyDescent="0.3">
      <c r="A194" s="140"/>
      <c r="B194" s="103" t="s">
        <v>101</v>
      </c>
      <c r="C194" s="52" t="s">
        <v>40</v>
      </c>
      <c r="D194" s="46" t="s">
        <v>103</v>
      </c>
      <c r="E194" s="50"/>
      <c r="F194" s="46" t="s">
        <v>236</v>
      </c>
      <c r="G194" s="47"/>
    </row>
    <row r="195" spans="1:7" ht="30" customHeight="1" thickBot="1" x14ac:dyDescent="0.3">
      <c r="A195" s="140"/>
      <c r="B195" s="54" t="s">
        <v>81</v>
      </c>
      <c r="C195" s="55" t="s">
        <v>82</v>
      </c>
      <c r="D195" s="61" t="s">
        <v>102</v>
      </c>
      <c r="E195" s="64"/>
      <c r="F195" s="61"/>
      <c r="G195" s="58" t="s">
        <v>47</v>
      </c>
    </row>
    <row r="196" spans="1:7" ht="45.75" thickBot="1" x14ac:dyDescent="0.3">
      <c r="A196" s="140"/>
      <c r="B196" s="56" t="s">
        <v>36</v>
      </c>
      <c r="C196" s="45" t="s">
        <v>38</v>
      </c>
      <c r="D196" s="46" t="s">
        <v>262</v>
      </c>
      <c r="E196" s="46"/>
      <c r="F196" s="63"/>
      <c r="G196" s="47"/>
    </row>
    <row r="197" spans="1:7" ht="45.75" thickBot="1" x14ac:dyDescent="0.3">
      <c r="A197" s="140"/>
      <c r="B197" s="103" t="s">
        <v>98</v>
      </c>
      <c r="C197" s="52" t="s">
        <v>40</v>
      </c>
      <c r="D197" s="46" t="s">
        <v>100</v>
      </c>
      <c r="E197" s="50"/>
      <c r="F197" s="46" t="s">
        <v>99</v>
      </c>
      <c r="G197" s="47"/>
    </row>
    <row r="198" spans="1:7" ht="30.75" thickBot="1" x14ac:dyDescent="0.3">
      <c r="A198" s="140"/>
      <c r="B198" s="54" t="s">
        <v>81</v>
      </c>
      <c r="C198" s="55" t="s">
        <v>82</v>
      </c>
      <c r="D198" s="61" t="s">
        <v>263</v>
      </c>
      <c r="E198" s="64"/>
      <c r="F198" s="61"/>
      <c r="G198" s="58" t="s">
        <v>47</v>
      </c>
    </row>
    <row r="199" spans="1:7" ht="45.75" thickBot="1" x14ac:dyDescent="0.3">
      <c r="A199" s="140"/>
      <c r="B199" s="103" t="s">
        <v>96</v>
      </c>
      <c r="C199" s="52" t="s">
        <v>40</v>
      </c>
      <c r="D199" s="46" t="s">
        <v>97</v>
      </c>
      <c r="E199" s="50"/>
      <c r="F199" s="46" t="s">
        <v>185</v>
      </c>
      <c r="G199" s="47"/>
    </row>
    <row r="200" spans="1:7" ht="30" customHeight="1" thickBot="1" x14ac:dyDescent="0.3">
      <c r="A200" s="140"/>
      <c r="B200" s="54" t="s">
        <v>81</v>
      </c>
      <c r="C200" s="55" t="s">
        <v>82</v>
      </c>
      <c r="D200" s="61" t="s">
        <v>110</v>
      </c>
      <c r="E200" s="64"/>
      <c r="F200" s="61"/>
      <c r="G200" s="58" t="s">
        <v>47</v>
      </c>
    </row>
    <row r="201" spans="1:7" ht="45.75" thickBot="1" x14ac:dyDescent="0.3">
      <c r="A201" s="140"/>
      <c r="B201" s="56" t="s">
        <v>36</v>
      </c>
      <c r="C201" s="45" t="s">
        <v>186</v>
      </c>
      <c r="D201" s="46" t="s">
        <v>187</v>
      </c>
      <c r="E201" s="46"/>
      <c r="F201" s="46"/>
      <c r="G201" s="47"/>
    </row>
    <row r="202" spans="1:7" ht="30" customHeight="1" thickBot="1" x14ac:dyDescent="0.3">
      <c r="A202" s="67" t="str">
        <f>TabellaTest!F18</f>
        <v>TF007.UC01</v>
      </c>
      <c r="B202" s="135" t="str">
        <f>TabellaTest!C18</f>
        <v>PAR. 3.7-035-07</v>
      </c>
      <c r="C202" s="129"/>
      <c r="D202" s="136" t="str">
        <f>TabellaTest!E18</f>
        <v xml:space="preserve">Verifica iscrizione procedimento di Revoca Autorizzazione/Modifica Prescrizioni Pene Sostitutive </v>
      </c>
      <c r="E202" s="137"/>
      <c r="F202" s="136" t="str">
        <f>TabellaTest!G18</f>
        <v>Verifica: Verificare che nel sottosistema SIUS a seguito iscrizione procedimento con contenutoRevoca Autorizzazione/Modifica Prescrizioni Pene Sostitutive  venga inserito un nuovo procedimento SIUS</v>
      </c>
      <c r="G202" s="138"/>
    </row>
    <row r="203" spans="1:7" ht="30" x14ac:dyDescent="0.25">
      <c r="A203" s="124"/>
      <c r="B203" s="35" t="s">
        <v>31</v>
      </c>
      <c r="C203" s="32" t="s">
        <v>32</v>
      </c>
      <c r="D203" s="29" t="s">
        <v>33</v>
      </c>
      <c r="E203" s="29" t="s">
        <v>34</v>
      </c>
      <c r="F203" s="29" t="s">
        <v>35</v>
      </c>
      <c r="G203" s="30" t="s">
        <v>10</v>
      </c>
    </row>
    <row r="204" spans="1:7" ht="30" customHeight="1" x14ac:dyDescent="0.25">
      <c r="A204" s="131"/>
      <c r="B204" s="56" t="s">
        <v>36</v>
      </c>
      <c r="C204" s="45" t="s">
        <v>37</v>
      </c>
      <c r="D204" s="46" t="s">
        <v>203</v>
      </c>
      <c r="E204" s="46" t="s">
        <v>91</v>
      </c>
      <c r="F204" s="46"/>
      <c r="G204" s="47"/>
    </row>
    <row r="205" spans="1:7" ht="60" customHeight="1" x14ac:dyDescent="0.25">
      <c r="A205" s="131"/>
      <c r="B205" s="56" t="s">
        <v>36</v>
      </c>
      <c r="C205" s="45" t="s">
        <v>38</v>
      </c>
      <c r="D205" s="46" t="s">
        <v>218</v>
      </c>
      <c r="E205" s="46"/>
      <c r="F205" s="63" t="s">
        <v>205</v>
      </c>
      <c r="G205" s="47"/>
    </row>
    <row r="206" spans="1:7" ht="30" customHeight="1" x14ac:dyDescent="0.25">
      <c r="A206" s="131"/>
      <c r="B206" s="57">
        <v>1</v>
      </c>
      <c r="C206" s="48" t="s">
        <v>39</v>
      </c>
      <c r="D206" s="46" t="s">
        <v>198</v>
      </c>
      <c r="E206" s="50"/>
      <c r="F206" s="46" t="s">
        <v>199</v>
      </c>
      <c r="G206" s="47"/>
    </row>
    <row r="207" spans="1:7" ht="45" x14ac:dyDescent="0.25">
      <c r="A207" s="131"/>
      <c r="B207" s="59">
        <v>2</v>
      </c>
      <c r="C207" s="52" t="s">
        <v>40</v>
      </c>
      <c r="D207" s="46" t="s">
        <v>219</v>
      </c>
      <c r="E207" s="50"/>
      <c r="F207" s="46" t="s">
        <v>220</v>
      </c>
      <c r="G207" s="47"/>
    </row>
    <row r="208" spans="1:7" ht="60" x14ac:dyDescent="0.25">
      <c r="A208" s="131"/>
      <c r="B208" s="89">
        <v>3</v>
      </c>
      <c r="C208" s="90" t="s">
        <v>40</v>
      </c>
      <c r="D208" s="60" t="s">
        <v>347</v>
      </c>
      <c r="E208" s="91"/>
      <c r="F208" s="46" t="s">
        <v>131</v>
      </c>
      <c r="G208" s="53"/>
    </row>
    <row r="209" spans="1:7" ht="105.75" thickBot="1" x14ac:dyDescent="0.3">
      <c r="A209" s="132"/>
      <c r="B209" s="54" t="s">
        <v>81</v>
      </c>
      <c r="C209" s="55" t="s">
        <v>82</v>
      </c>
      <c r="D209" s="60" t="s">
        <v>221</v>
      </c>
      <c r="E209" s="64"/>
      <c r="F209" s="92"/>
      <c r="G209" s="58"/>
    </row>
    <row r="210" spans="1:7" ht="45" customHeight="1" thickBot="1" x14ac:dyDescent="0.3">
      <c r="A210" s="67" t="str">
        <f>TabellaTest!F19</f>
        <v>TF007.UC02</v>
      </c>
      <c r="B210" s="126" t="str">
        <f>TabellaTest!C19</f>
        <v>PAR. 3.7-035-07</v>
      </c>
      <c r="C210" s="127"/>
      <c r="D210" s="128" t="str">
        <f>TabellaTest!E19</f>
        <v xml:space="preserve">Verifica emissione ordinanza di Revoca Autorizzazione/Modifica Prescrizioni Pene Sostitutive </v>
      </c>
      <c r="E210" s="129"/>
      <c r="F210" s="128" t="str">
        <f>TabellaTest!G19</f>
        <v>Verifica: Verificare nel sottosistema SIUS l'utilizzo della funzione "Ordinanza Revoca Autorizzazione/Modifica Prescrizioni Pene Sostitutive  "</v>
      </c>
      <c r="G210" s="130"/>
    </row>
    <row r="211" spans="1:7" ht="30" x14ac:dyDescent="0.25">
      <c r="A211" s="124"/>
      <c r="B211" s="35" t="s">
        <v>31</v>
      </c>
      <c r="C211" s="32" t="s">
        <v>32</v>
      </c>
      <c r="D211" s="29" t="s">
        <v>33</v>
      </c>
      <c r="E211" s="29" t="s">
        <v>34</v>
      </c>
      <c r="F211" s="29" t="s">
        <v>35</v>
      </c>
      <c r="G211" s="30" t="s">
        <v>10</v>
      </c>
    </row>
    <row r="212" spans="1:7" ht="45" x14ac:dyDescent="0.25">
      <c r="A212" s="131"/>
      <c r="B212" s="56" t="s">
        <v>36</v>
      </c>
      <c r="C212" s="45" t="s">
        <v>37</v>
      </c>
      <c r="D212" s="46" t="s">
        <v>272</v>
      </c>
      <c r="E212" s="46" t="s">
        <v>91</v>
      </c>
      <c r="F212" s="46"/>
      <c r="G212" s="47"/>
    </row>
    <row r="213" spans="1:7" ht="30" x14ac:dyDescent="0.25">
      <c r="A213" s="131"/>
      <c r="B213" s="57">
        <v>1</v>
      </c>
      <c r="C213" s="48" t="s">
        <v>39</v>
      </c>
      <c r="D213" s="49" t="s">
        <v>134</v>
      </c>
      <c r="E213" s="50"/>
      <c r="F213" s="46" t="s">
        <v>111</v>
      </c>
      <c r="G213" s="47"/>
    </row>
    <row r="214" spans="1:7" ht="30" x14ac:dyDescent="0.25">
      <c r="A214" s="131"/>
      <c r="B214" s="103" t="s">
        <v>109</v>
      </c>
      <c r="C214" s="52" t="s">
        <v>40</v>
      </c>
      <c r="D214" s="46" t="s">
        <v>135</v>
      </c>
      <c r="E214" s="50"/>
      <c r="F214" s="46" t="s">
        <v>136</v>
      </c>
      <c r="G214" s="47"/>
    </row>
    <row r="215" spans="1:7" ht="60" x14ac:dyDescent="0.25">
      <c r="A215" s="131"/>
      <c r="B215" s="103" t="s">
        <v>108</v>
      </c>
      <c r="C215" s="52" t="s">
        <v>40</v>
      </c>
      <c r="D215" s="46" t="s">
        <v>137</v>
      </c>
      <c r="E215" s="50"/>
      <c r="F215" s="46" t="s">
        <v>273</v>
      </c>
      <c r="G215" s="47"/>
    </row>
    <row r="216" spans="1:7" ht="60" x14ac:dyDescent="0.25">
      <c r="A216" s="131"/>
      <c r="B216" s="103" t="s">
        <v>107</v>
      </c>
      <c r="C216" s="52" t="s">
        <v>40</v>
      </c>
      <c r="D216" s="46" t="s">
        <v>226</v>
      </c>
      <c r="E216" s="50"/>
      <c r="F216" s="46" t="s">
        <v>274</v>
      </c>
      <c r="G216" s="47"/>
    </row>
    <row r="217" spans="1:7" ht="30.75" thickBot="1" x14ac:dyDescent="0.3">
      <c r="A217" s="131"/>
      <c r="B217" s="54" t="s">
        <v>81</v>
      </c>
      <c r="C217" s="55" t="s">
        <v>82</v>
      </c>
      <c r="D217" s="61" t="s">
        <v>102</v>
      </c>
      <c r="E217" s="64"/>
      <c r="F217" s="61"/>
      <c r="G217" s="58" t="s">
        <v>47</v>
      </c>
    </row>
    <row r="218" spans="1:7" ht="45" x14ac:dyDescent="0.25">
      <c r="A218" s="131"/>
      <c r="B218" s="56" t="s">
        <v>36</v>
      </c>
      <c r="C218" s="45" t="s">
        <v>38</v>
      </c>
      <c r="D218" s="46" t="s">
        <v>275</v>
      </c>
      <c r="E218" s="46"/>
      <c r="F218" s="63"/>
      <c r="G218" s="47"/>
    </row>
    <row r="219" spans="1:7" ht="30" customHeight="1" x14ac:dyDescent="0.25">
      <c r="A219" s="131"/>
      <c r="B219" s="103" t="s">
        <v>106</v>
      </c>
      <c r="C219" s="52" t="s">
        <v>40</v>
      </c>
      <c r="D219" s="46" t="s">
        <v>105</v>
      </c>
      <c r="E219" s="50"/>
      <c r="F219" s="46" t="s">
        <v>141</v>
      </c>
      <c r="G219" s="47"/>
    </row>
    <row r="220" spans="1:7" ht="45" x14ac:dyDescent="0.25">
      <c r="A220" s="131"/>
      <c r="B220" s="103" t="s">
        <v>104</v>
      </c>
      <c r="C220" s="52" t="s">
        <v>40</v>
      </c>
      <c r="D220" s="46" t="s">
        <v>103</v>
      </c>
      <c r="E220" s="50"/>
      <c r="F220" s="46" t="s">
        <v>276</v>
      </c>
      <c r="G220" s="47"/>
    </row>
    <row r="221" spans="1:7" ht="30" customHeight="1" thickBot="1" x14ac:dyDescent="0.3">
      <c r="A221" s="131"/>
      <c r="B221" s="54" t="s">
        <v>81</v>
      </c>
      <c r="C221" s="55" t="s">
        <v>82</v>
      </c>
      <c r="D221" s="61" t="s">
        <v>102</v>
      </c>
      <c r="E221" s="64"/>
      <c r="F221" s="61"/>
      <c r="G221" s="58" t="s">
        <v>47</v>
      </c>
    </row>
    <row r="222" spans="1:7" ht="45" x14ac:dyDescent="0.25">
      <c r="A222" s="131"/>
      <c r="B222" s="56" t="s">
        <v>36</v>
      </c>
      <c r="C222" s="45" t="s">
        <v>38</v>
      </c>
      <c r="D222" s="46" t="s">
        <v>277</v>
      </c>
      <c r="E222" s="46"/>
      <c r="F222" s="63"/>
      <c r="G222" s="47"/>
    </row>
    <row r="223" spans="1:7" ht="45" x14ac:dyDescent="0.25">
      <c r="A223" s="131"/>
      <c r="B223" s="103" t="s">
        <v>101</v>
      </c>
      <c r="C223" s="52" t="s">
        <v>40</v>
      </c>
      <c r="D223" s="46" t="s">
        <v>100</v>
      </c>
      <c r="E223" s="50"/>
      <c r="F223" s="46" t="s">
        <v>99</v>
      </c>
      <c r="G223" s="47"/>
    </row>
    <row r="224" spans="1:7" ht="30.75" thickBot="1" x14ac:dyDescent="0.3">
      <c r="A224" s="131"/>
      <c r="B224" s="54" t="s">
        <v>81</v>
      </c>
      <c r="C224" s="55" t="s">
        <v>82</v>
      </c>
      <c r="D224" s="61" t="s">
        <v>169</v>
      </c>
      <c r="E224" s="64"/>
      <c r="F224" s="61"/>
      <c r="G224" s="58" t="s">
        <v>47</v>
      </c>
    </row>
    <row r="225" spans="1:7" ht="45" x14ac:dyDescent="0.25">
      <c r="A225" s="131"/>
      <c r="B225" s="56" t="s">
        <v>36</v>
      </c>
      <c r="C225" s="45" t="s">
        <v>38</v>
      </c>
      <c r="D225" s="46" t="s">
        <v>275</v>
      </c>
      <c r="E225" s="46"/>
      <c r="F225" s="63"/>
      <c r="G225" s="47"/>
    </row>
    <row r="226" spans="1:7" ht="30" customHeight="1" x14ac:dyDescent="0.25">
      <c r="A226" s="131"/>
      <c r="B226" s="103" t="s">
        <v>98</v>
      </c>
      <c r="C226" s="52" t="s">
        <v>40</v>
      </c>
      <c r="D226" s="46" t="s">
        <v>146</v>
      </c>
      <c r="E226" s="50"/>
      <c r="F226" s="46" t="s">
        <v>147</v>
      </c>
      <c r="G226" s="47"/>
    </row>
    <row r="227" spans="1:7" ht="30" customHeight="1" x14ac:dyDescent="0.25">
      <c r="A227" s="131"/>
      <c r="B227" s="103" t="s">
        <v>96</v>
      </c>
      <c r="C227" s="52" t="s">
        <v>40</v>
      </c>
      <c r="D227" s="46" t="s">
        <v>112</v>
      </c>
      <c r="E227" s="50"/>
      <c r="F227" s="46" t="s">
        <v>148</v>
      </c>
      <c r="G227" s="47"/>
    </row>
    <row r="228" spans="1:7" ht="30" customHeight="1" thickBot="1" x14ac:dyDescent="0.3">
      <c r="A228" s="132"/>
      <c r="B228" s="54" t="s">
        <v>81</v>
      </c>
      <c r="C228" s="55" t="s">
        <v>82</v>
      </c>
      <c r="D228" s="61" t="s">
        <v>172</v>
      </c>
      <c r="E228" s="64"/>
      <c r="F228" s="61"/>
      <c r="G228" s="58" t="s">
        <v>47</v>
      </c>
    </row>
    <row r="229" spans="1:7" ht="30" customHeight="1" thickBot="1" x14ac:dyDescent="0.3">
      <c r="A229" s="67" t="str">
        <f>TabellaTest!F20</f>
        <v>TF007.UC03</v>
      </c>
      <c r="B229" s="135" t="str">
        <f>TabellaTest!C20</f>
        <v>PAR. 3.7-035-07</v>
      </c>
      <c r="C229" s="129"/>
      <c r="D229" s="136" t="str">
        <f>TabellaTest!E20</f>
        <v xml:space="preserve">Verifica emissione decreto di Revoca Autorizzazione/Modifica Prescrizioni Pene Sostitutive </v>
      </c>
      <c r="E229" s="137"/>
      <c r="F229" s="136" t="str">
        <f>TabellaTest!G20</f>
        <v>Verifica: Verificare nel sottosistema SIUS l'utilizzo della funzione "Decreto Revoca Autorizzazione/Modifica Prescrizioni Pene Sostitutive "</v>
      </c>
      <c r="G229" s="138"/>
    </row>
    <row r="230" spans="1:7" ht="30" x14ac:dyDescent="0.25">
      <c r="A230" s="134"/>
      <c r="B230" s="35" t="s">
        <v>31</v>
      </c>
      <c r="C230" s="32" t="s">
        <v>32</v>
      </c>
      <c r="D230" s="29" t="s">
        <v>33</v>
      </c>
      <c r="E230" s="29" t="s">
        <v>34</v>
      </c>
      <c r="F230" s="29" t="s">
        <v>35</v>
      </c>
      <c r="G230" s="30" t="s">
        <v>10</v>
      </c>
    </row>
    <row r="231" spans="1:7" ht="45" x14ac:dyDescent="0.25">
      <c r="A231" s="133"/>
      <c r="B231" s="56" t="s">
        <v>36</v>
      </c>
      <c r="C231" s="45" t="s">
        <v>37</v>
      </c>
      <c r="D231" s="46" t="s">
        <v>232</v>
      </c>
      <c r="E231" s="46" t="s">
        <v>91</v>
      </c>
      <c r="F231" s="46"/>
      <c r="G231" s="47"/>
    </row>
    <row r="232" spans="1:7" ht="30" x14ac:dyDescent="0.25">
      <c r="A232" s="133"/>
      <c r="B232" s="57">
        <v>1</v>
      </c>
      <c r="C232" s="48" t="s">
        <v>39</v>
      </c>
      <c r="D232" s="49" t="s">
        <v>176</v>
      </c>
      <c r="E232" s="50"/>
      <c r="F232" s="46" t="s">
        <v>111</v>
      </c>
      <c r="G232" s="47"/>
    </row>
    <row r="233" spans="1:7" ht="30" x14ac:dyDescent="0.25">
      <c r="A233" s="133"/>
      <c r="B233" s="103" t="s">
        <v>108</v>
      </c>
      <c r="C233" s="52" t="s">
        <v>40</v>
      </c>
      <c r="D233" s="46" t="s">
        <v>135</v>
      </c>
      <c r="E233" s="50"/>
      <c r="F233" s="46" t="s">
        <v>177</v>
      </c>
      <c r="G233" s="47"/>
    </row>
    <row r="234" spans="1:7" ht="45" x14ac:dyDescent="0.25">
      <c r="A234" s="133"/>
      <c r="B234" s="103" t="s">
        <v>107</v>
      </c>
      <c r="C234" s="52" t="s">
        <v>40</v>
      </c>
      <c r="D234" s="46" t="s">
        <v>137</v>
      </c>
      <c r="E234" s="50"/>
      <c r="F234" s="46" t="s">
        <v>278</v>
      </c>
      <c r="G234" s="47"/>
    </row>
    <row r="235" spans="1:7" ht="60" x14ac:dyDescent="0.25">
      <c r="A235" s="133"/>
      <c r="B235" s="103" t="s">
        <v>106</v>
      </c>
      <c r="C235" s="52" t="s">
        <v>40</v>
      </c>
      <c r="D235" s="46" t="s">
        <v>226</v>
      </c>
      <c r="E235" s="50"/>
      <c r="F235" s="46" t="s">
        <v>279</v>
      </c>
      <c r="G235" s="47"/>
    </row>
    <row r="236" spans="1:7" ht="30.75" thickBot="1" x14ac:dyDescent="0.3">
      <c r="A236" s="133"/>
      <c r="B236" s="54" t="s">
        <v>81</v>
      </c>
      <c r="C236" s="55" t="s">
        <v>82</v>
      </c>
      <c r="D236" s="61" t="s">
        <v>102</v>
      </c>
      <c r="E236" s="64"/>
      <c r="F236" s="61"/>
      <c r="G236" s="58" t="s">
        <v>47</v>
      </c>
    </row>
    <row r="237" spans="1:7" ht="30" x14ac:dyDescent="0.25">
      <c r="A237" s="133"/>
      <c r="B237" s="56" t="s">
        <v>36</v>
      </c>
      <c r="C237" s="45" t="s">
        <v>38</v>
      </c>
      <c r="D237" s="46" t="s">
        <v>237</v>
      </c>
      <c r="E237" s="46"/>
      <c r="F237" s="63"/>
      <c r="G237" s="47"/>
    </row>
    <row r="238" spans="1:7" ht="45" x14ac:dyDescent="0.25">
      <c r="A238" s="133"/>
      <c r="B238" s="103" t="s">
        <v>104</v>
      </c>
      <c r="C238" s="52" t="s">
        <v>40</v>
      </c>
      <c r="D238" s="46" t="s">
        <v>100</v>
      </c>
      <c r="E238" s="50"/>
      <c r="F238" s="46" t="s">
        <v>99</v>
      </c>
      <c r="G238" s="47"/>
    </row>
    <row r="239" spans="1:7" ht="30.75" thickBot="1" x14ac:dyDescent="0.3">
      <c r="A239" s="133"/>
      <c r="B239" s="54" t="s">
        <v>81</v>
      </c>
      <c r="C239" s="55" t="s">
        <v>82</v>
      </c>
      <c r="D239" s="61" t="s">
        <v>238</v>
      </c>
      <c r="E239" s="64"/>
      <c r="F239" s="61"/>
      <c r="G239" s="58" t="s">
        <v>47</v>
      </c>
    </row>
    <row r="240" spans="1:7" ht="45" x14ac:dyDescent="0.25">
      <c r="A240" s="133"/>
      <c r="B240" s="103" t="s">
        <v>101</v>
      </c>
      <c r="C240" s="52" t="s">
        <v>40</v>
      </c>
      <c r="D240" s="46" t="s">
        <v>97</v>
      </c>
      <c r="E240" s="50"/>
      <c r="F240" s="46" t="s">
        <v>185</v>
      </c>
      <c r="G240" s="47"/>
    </row>
    <row r="241" spans="1:7" ht="30" customHeight="1" thickBot="1" x14ac:dyDescent="0.3">
      <c r="A241" s="133"/>
      <c r="B241" s="54" t="s">
        <v>81</v>
      </c>
      <c r="C241" s="55" t="s">
        <v>82</v>
      </c>
      <c r="D241" s="61" t="s">
        <v>110</v>
      </c>
      <c r="E241" s="64"/>
      <c r="F241" s="61"/>
      <c r="G241" s="58" t="s">
        <v>47</v>
      </c>
    </row>
    <row r="242" spans="1:7" ht="105" customHeight="1" thickBot="1" x14ac:dyDescent="0.3">
      <c r="A242" s="100" t="str">
        <f>TabellaTest!F21</f>
        <v>TF008.UC01</v>
      </c>
      <c r="B242" s="135" t="str">
        <f>TabellaTest!C21</f>
        <v>PAR. 3.8-035-08</v>
      </c>
      <c r="C242" s="129"/>
      <c r="D242" s="136" t="str">
        <f>TabellaTest!E21</f>
        <v>Verifica iscrizione procedimento di Revoca Pene Sostitutive (artt. 66, 108 L. 689/81)</v>
      </c>
      <c r="E242" s="137"/>
      <c r="F242" s="136" t="str">
        <f>TabellaTest!G21</f>
        <v>Verifica: Verificare che nel sottosistema SIUS a seguito iscrizione procedimento con contenuto Revoca Pene Sostitutive (artt. 66, 108 L. 689/81) venga inserito un nuovo procedimento SIUS</v>
      </c>
      <c r="G242" s="138"/>
    </row>
    <row r="243" spans="1:7" ht="30" x14ac:dyDescent="0.25">
      <c r="A243" s="125"/>
      <c r="B243" s="105" t="s">
        <v>31</v>
      </c>
      <c r="C243" s="32" t="s">
        <v>32</v>
      </c>
      <c r="D243" s="29" t="s">
        <v>33</v>
      </c>
      <c r="E243" s="29" t="s">
        <v>34</v>
      </c>
      <c r="F243" s="29" t="s">
        <v>35</v>
      </c>
      <c r="G243" s="30" t="s">
        <v>10</v>
      </c>
    </row>
    <row r="244" spans="1:7" ht="30" customHeight="1" x14ac:dyDescent="0.25">
      <c r="A244" s="125"/>
      <c r="B244" s="56" t="s">
        <v>36</v>
      </c>
      <c r="C244" s="45" t="s">
        <v>37</v>
      </c>
      <c r="D244" s="46" t="s">
        <v>203</v>
      </c>
      <c r="E244" s="46" t="s">
        <v>91</v>
      </c>
      <c r="F244" s="46"/>
      <c r="G244" s="47"/>
    </row>
    <row r="245" spans="1:7" ht="60" customHeight="1" x14ac:dyDescent="0.25">
      <c r="A245" s="125"/>
      <c r="B245" s="56" t="s">
        <v>36</v>
      </c>
      <c r="C245" s="45" t="s">
        <v>38</v>
      </c>
      <c r="D245" s="46" t="s">
        <v>218</v>
      </c>
      <c r="E245" s="46"/>
      <c r="F245" s="63" t="s">
        <v>205</v>
      </c>
      <c r="G245" s="47"/>
    </row>
    <row r="246" spans="1:7" ht="30" customHeight="1" x14ac:dyDescent="0.25">
      <c r="A246" s="125"/>
      <c r="B246" s="57">
        <v>1</v>
      </c>
      <c r="C246" s="48" t="s">
        <v>39</v>
      </c>
      <c r="D246" s="46" t="s">
        <v>198</v>
      </c>
      <c r="E246" s="50"/>
      <c r="F246" s="46" t="s">
        <v>199</v>
      </c>
      <c r="G246" s="47"/>
    </row>
    <row r="247" spans="1:7" ht="45" x14ac:dyDescent="0.25">
      <c r="A247" s="125"/>
      <c r="B247" s="59">
        <v>2</v>
      </c>
      <c r="C247" s="52" t="s">
        <v>40</v>
      </c>
      <c r="D247" s="46" t="s">
        <v>219</v>
      </c>
      <c r="E247" s="50"/>
      <c r="F247" s="46" t="s">
        <v>220</v>
      </c>
      <c r="G247" s="47"/>
    </row>
    <row r="248" spans="1:7" ht="75" x14ac:dyDescent="0.25">
      <c r="A248" s="125"/>
      <c r="B248" s="89">
        <v>3</v>
      </c>
      <c r="C248" s="90" t="s">
        <v>40</v>
      </c>
      <c r="D248" s="60" t="s">
        <v>348</v>
      </c>
      <c r="E248" s="91"/>
      <c r="F248" s="46" t="s">
        <v>131</v>
      </c>
      <c r="G248" s="53"/>
    </row>
    <row r="249" spans="1:7" ht="105.75" thickBot="1" x14ac:dyDescent="0.3">
      <c r="A249" s="125"/>
      <c r="B249" s="54" t="s">
        <v>81</v>
      </c>
      <c r="C249" s="55" t="s">
        <v>82</v>
      </c>
      <c r="D249" s="60" t="s">
        <v>221</v>
      </c>
      <c r="E249" s="64"/>
      <c r="F249" s="92"/>
      <c r="G249" s="58"/>
    </row>
    <row r="250" spans="1:7" ht="30" customHeight="1" thickBot="1" x14ac:dyDescent="0.3">
      <c r="A250" s="100" t="str">
        <f>TabellaTest!F22</f>
        <v>TF008.UC02</v>
      </c>
      <c r="B250" s="135" t="str">
        <f>TabellaTest!C22</f>
        <v>PAR. 3.8-035-08</v>
      </c>
      <c r="C250" s="129"/>
      <c r="D250" s="136" t="str">
        <f>TabellaTest!E22</f>
        <v>Verifica emissione ordinanza di Revoca Pene Sostitutive (artt. 66, 108 L. 689/81)</v>
      </c>
      <c r="E250" s="137"/>
      <c r="F250" s="136" t="str">
        <f>TabellaTest!G22</f>
        <v>Verifica: Verificare nel sottosistema SIUS l'utilizzo della funzione "Ordinanza Revoca Pene Sostitutive (artt. 66, 108 L. 689/81)"</v>
      </c>
      <c r="G250" s="138"/>
    </row>
    <row r="251" spans="1:7" ht="30" x14ac:dyDescent="0.25">
      <c r="A251" s="125"/>
      <c r="B251" s="105" t="s">
        <v>31</v>
      </c>
      <c r="C251" s="32" t="s">
        <v>32</v>
      </c>
      <c r="D251" s="29" t="s">
        <v>33</v>
      </c>
      <c r="E251" s="29" t="s">
        <v>34</v>
      </c>
      <c r="F251" s="29" t="s">
        <v>35</v>
      </c>
      <c r="G251" s="30" t="s">
        <v>10</v>
      </c>
    </row>
    <row r="252" spans="1:7" ht="45" x14ac:dyDescent="0.25">
      <c r="A252" s="125"/>
      <c r="B252" s="56" t="s">
        <v>36</v>
      </c>
      <c r="C252" s="45" t="s">
        <v>37</v>
      </c>
      <c r="D252" s="46" t="s">
        <v>285</v>
      </c>
      <c r="E252" s="46" t="s">
        <v>91</v>
      </c>
      <c r="F252" s="46"/>
      <c r="G252" s="47"/>
    </row>
    <row r="253" spans="1:7" ht="30" x14ac:dyDescent="0.25">
      <c r="A253" s="125"/>
      <c r="B253" s="57">
        <v>1</v>
      </c>
      <c r="C253" s="48" t="s">
        <v>39</v>
      </c>
      <c r="D253" s="49" t="s">
        <v>134</v>
      </c>
      <c r="E253" s="50"/>
      <c r="F253" s="46" t="s">
        <v>111</v>
      </c>
      <c r="G253" s="47"/>
    </row>
    <row r="254" spans="1:7" ht="30" x14ac:dyDescent="0.25">
      <c r="A254" s="125"/>
      <c r="B254" s="103" t="s">
        <v>108</v>
      </c>
      <c r="C254" s="52" t="s">
        <v>40</v>
      </c>
      <c r="D254" s="46" t="s">
        <v>135</v>
      </c>
      <c r="E254" s="50"/>
      <c r="F254" s="46" t="s">
        <v>136</v>
      </c>
      <c r="G254" s="47"/>
    </row>
    <row r="255" spans="1:7" ht="45" x14ac:dyDescent="0.25">
      <c r="A255" s="125"/>
      <c r="B255" s="103" t="s">
        <v>107</v>
      </c>
      <c r="C255" s="52" t="s">
        <v>40</v>
      </c>
      <c r="D255" s="46" t="s">
        <v>137</v>
      </c>
      <c r="E255" s="50"/>
      <c r="F255" s="46" t="s">
        <v>286</v>
      </c>
      <c r="G255" s="47"/>
    </row>
    <row r="256" spans="1:7" ht="60" x14ac:dyDescent="0.25">
      <c r="A256" s="125"/>
      <c r="B256" s="103" t="s">
        <v>106</v>
      </c>
      <c r="C256" s="52" t="s">
        <v>40</v>
      </c>
      <c r="D256" s="46" t="s">
        <v>226</v>
      </c>
      <c r="E256" s="50"/>
      <c r="F256" s="46" t="s">
        <v>287</v>
      </c>
      <c r="G256" s="47"/>
    </row>
    <row r="257" spans="1:7" ht="30.75" thickBot="1" x14ac:dyDescent="0.3">
      <c r="A257" s="125"/>
      <c r="B257" s="54" t="s">
        <v>81</v>
      </c>
      <c r="C257" s="55" t="s">
        <v>82</v>
      </c>
      <c r="D257" s="61" t="s">
        <v>102</v>
      </c>
      <c r="E257" s="64"/>
      <c r="F257" s="61"/>
      <c r="G257" s="58" t="s">
        <v>47</v>
      </c>
    </row>
    <row r="258" spans="1:7" ht="30" x14ac:dyDescent="0.25">
      <c r="A258" s="125"/>
      <c r="B258" s="56" t="s">
        <v>36</v>
      </c>
      <c r="C258" s="45" t="s">
        <v>38</v>
      </c>
      <c r="D258" s="46" t="s">
        <v>288</v>
      </c>
      <c r="E258" s="46"/>
      <c r="F258" s="63"/>
      <c r="G258" s="47"/>
    </row>
    <row r="259" spans="1:7" ht="45" x14ac:dyDescent="0.25">
      <c r="A259" s="125"/>
      <c r="B259" s="103" t="s">
        <v>104</v>
      </c>
      <c r="C259" s="52" t="s">
        <v>40</v>
      </c>
      <c r="D259" s="46" t="s">
        <v>100</v>
      </c>
      <c r="E259" s="50"/>
      <c r="F259" s="46" t="s">
        <v>99</v>
      </c>
      <c r="G259" s="47"/>
    </row>
    <row r="260" spans="1:7" ht="30.75" thickBot="1" x14ac:dyDescent="0.3">
      <c r="A260" s="125"/>
      <c r="B260" s="54" t="s">
        <v>81</v>
      </c>
      <c r="C260" s="55" t="s">
        <v>82</v>
      </c>
      <c r="D260" s="61" t="s">
        <v>289</v>
      </c>
      <c r="E260" s="64"/>
      <c r="F260" s="61"/>
      <c r="G260" s="58" t="s">
        <v>47</v>
      </c>
    </row>
    <row r="261" spans="1:7" ht="30" x14ac:dyDescent="0.25">
      <c r="A261" s="125"/>
      <c r="B261" s="56" t="s">
        <v>36</v>
      </c>
      <c r="C261" s="45" t="s">
        <v>38</v>
      </c>
      <c r="D261" s="46" t="s">
        <v>288</v>
      </c>
      <c r="E261" s="46"/>
      <c r="F261" s="63"/>
      <c r="G261" s="47"/>
    </row>
    <row r="262" spans="1:7" ht="45" x14ac:dyDescent="0.25">
      <c r="A262" s="125"/>
      <c r="B262" s="103" t="s">
        <v>101</v>
      </c>
      <c r="C262" s="52" t="s">
        <v>40</v>
      </c>
      <c r="D262" s="46" t="s">
        <v>97</v>
      </c>
      <c r="E262" s="50"/>
      <c r="F262" s="46" t="s">
        <v>150</v>
      </c>
      <c r="G262" s="47"/>
    </row>
    <row r="263" spans="1:7" ht="30" customHeight="1" thickBot="1" x14ac:dyDescent="0.3">
      <c r="A263" s="125"/>
      <c r="B263" s="54" t="s">
        <v>81</v>
      </c>
      <c r="C263" s="55" t="s">
        <v>82</v>
      </c>
      <c r="D263" s="61" t="s">
        <v>110</v>
      </c>
      <c r="E263" s="64"/>
      <c r="F263" s="61"/>
      <c r="G263" s="58" t="s">
        <v>47</v>
      </c>
    </row>
    <row r="264" spans="1:7" ht="30" customHeight="1" thickBot="1" x14ac:dyDescent="0.3">
      <c r="A264" s="100" t="str">
        <f>TabellaTest!F23</f>
        <v>TF009.UC01</v>
      </c>
      <c r="B264" s="135" t="str">
        <f>TabellaTest!C23</f>
        <v>PAR. 3.9-035-09</v>
      </c>
      <c r="C264" s="129"/>
      <c r="D264" s="136" t="str">
        <f>TabellaTest!E23</f>
        <v>Verifica iscrizione procedimento di Revoca Pene Sostitutive (art. 72 L. 689/81)</v>
      </c>
      <c r="E264" s="137"/>
      <c r="F264" s="136" t="str">
        <f>TabellaTest!G23</f>
        <v>Verifica: Verificare che nel sottosistema SIUS a seguito iscrizione procedimento con contenuto Revoca Pene Sostitutive  (art. 72 L. 689/81) venga inserito un nuovo procedimento SIUS</v>
      </c>
      <c r="G264" s="138"/>
    </row>
    <row r="265" spans="1:7" ht="30" x14ac:dyDescent="0.25">
      <c r="A265" s="125"/>
      <c r="B265" s="105" t="s">
        <v>31</v>
      </c>
      <c r="C265" s="32" t="s">
        <v>32</v>
      </c>
      <c r="D265" s="29" t="s">
        <v>33</v>
      </c>
      <c r="E265" s="29" t="s">
        <v>34</v>
      </c>
      <c r="F265" s="29" t="s">
        <v>35</v>
      </c>
      <c r="G265" s="30" t="s">
        <v>10</v>
      </c>
    </row>
    <row r="266" spans="1:7" ht="30" customHeight="1" x14ac:dyDescent="0.25">
      <c r="A266" s="125"/>
      <c r="B266" s="56" t="s">
        <v>36</v>
      </c>
      <c r="C266" s="45" t="s">
        <v>37</v>
      </c>
      <c r="D266" s="46" t="s">
        <v>203</v>
      </c>
      <c r="E266" s="46" t="s">
        <v>91</v>
      </c>
      <c r="F266" s="46"/>
      <c r="G266" s="47"/>
    </row>
    <row r="267" spans="1:7" ht="60" customHeight="1" x14ac:dyDescent="0.25">
      <c r="A267" s="125"/>
      <c r="B267" s="56" t="s">
        <v>36</v>
      </c>
      <c r="C267" s="45" t="s">
        <v>38</v>
      </c>
      <c r="D267" s="46" t="s">
        <v>218</v>
      </c>
      <c r="E267" s="46"/>
      <c r="F267" s="63" t="s">
        <v>205</v>
      </c>
      <c r="G267" s="47"/>
    </row>
    <row r="268" spans="1:7" ht="30" customHeight="1" x14ac:dyDescent="0.25">
      <c r="A268" s="125"/>
      <c r="B268" s="57">
        <v>1</v>
      </c>
      <c r="C268" s="48" t="s">
        <v>39</v>
      </c>
      <c r="D268" s="46" t="s">
        <v>198</v>
      </c>
      <c r="E268" s="50"/>
      <c r="F268" s="46" t="s">
        <v>199</v>
      </c>
      <c r="G268" s="47"/>
    </row>
    <row r="269" spans="1:7" ht="45" x14ac:dyDescent="0.25">
      <c r="A269" s="125"/>
      <c r="B269" s="59">
        <v>2</v>
      </c>
      <c r="C269" s="52" t="s">
        <v>40</v>
      </c>
      <c r="D269" s="46" t="s">
        <v>219</v>
      </c>
      <c r="E269" s="50"/>
      <c r="F269" s="46" t="s">
        <v>220</v>
      </c>
      <c r="G269" s="47"/>
    </row>
    <row r="270" spans="1:7" ht="75" x14ac:dyDescent="0.25">
      <c r="A270" s="125"/>
      <c r="B270" s="89">
        <v>3</v>
      </c>
      <c r="C270" s="90" t="s">
        <v>40</v>
      </c>
      <c r="D270" s="60" t="s">
        <v>349</v>
      </c>
      <c r="E270" s="91"/>
      <c r="F270" s="46" t="s">
        <v>131</v>
      </c>
      <c r="G270" s="53"/>
    </row>
    <row r="271" spans="1:7" ht="105.75" thickBot="1" x14ac:dyDescent="0.3">
      <c r="A271" s="125"/>
      <c r="B271" s="54" t="s">
        <v>81</v>
      </c>
      <c r="C271" s="55" t="s">
        <v>82</v>
      </c>
      <c r="D271" s="60" t="s">
        <v>221</v>
      </c>
      <c r="E271" s="64"/>
      <c r="F271" s="92"/>
      <c r="G271" s="58"/>
    </row>
    <row r="272" spans="1:7" ht="49.9" customHeight="1" thickBot="1" x14ac:dyDescent="0.3">
      <c r="A272" s="100" t="str">
        <f>TabellaTest!F24</f>
        <v>TF009.UC02</v>
      </c>
      <c r="B272" s="135" t="str">
        <f>TabellaTest!C24</f>
        <v>PAR. 3.9-035-09</v>
      </c>
      <c r="C272" s="129"/>
      <c r="D272" s="136" t="str">
        <f>TabellaTest!E24</f>
        <v>Verifica emissione ordinanza di Revoca Pene Sostitutive  (art. 72 L. 689/81)</v>
      </c>
      <c r="E272" s="137"/>
      <c r="F272" s="136" t="str">
        <f>TabellaTest!G24</f>
        <v>Verifica: Verificare nel sottosistema SIUS l'utilizzo della funzione "Ordinanza Revoca Pene Sostitutive  (art. 72 L. 689/81)"</v>
      </c>
      <c r="G272" s="138"/>
    </row>
    <row r="273" spans="1:7" ht="30" x14ac:dyDescent="0.25">
      <c r="A273" s="125"/>
      <c r="B273" s="105" t="s">
        <v>31</v>
      </c>
      <c r="C273" s="32" t="s">
        <v>32</v>
      </c>
      <c r="D273" s="29" t="s">
        <v>33</v>
      </c>
      <c r="E273" s="29" t="s">
        <v>34</v>
      </c>
      <c r="F273" s="29" t="s">
        <v>35</v>
      </c>
      <c r="G273" s="30" t="s">
        <v>10</v>
      </c>
    </row>
    <row r="274" spans="1:7" ht="45" x14ac:dyDescent="0.25">
      <c r="A274" s="125"/>
      <c r="B274" s="56" t="s">
        <v>36</v>
      </c>
      <c r="C274" s="45" t="s">
        <v>37</v>
      </c>
      <c r="D274" s="46" t="s">
        <v>285</v>
      </c>
      <c r="E274" s="46" t="s">
        <v>91</v>
      </c>
      <c r="F274" s="46"/>
      <c r="G274" s="47"/>
    </row>
    <row r="275" spans="1:7" ht="30" x14ac:dyDescent="0.25">
      <c r="A275" s="125"/>
      <c r="B275" s="57">
        <v>1</v>
      </c>
      <c r="C275" s="48" t="s">
        <v>39</v>
      </c>
      <c r="D275" s="49" t="s">
        <v>134</v>
      </c>
      <c r="E275" s="50"/>
      <c r="F275" s="46" t="s">
        <v>111</v>
      </c>
      <c r="G275" s="47"/>
    </row>
    <row r="276" spans="1:7" ht="30" x14ac:dyDescent="0.25">
      <c r="A276" s="125"/>
      <c r="B276" s="103" t="s">
        <v>108</v>
      </c>
      <c r="C276" s="52" t="s">
        <v>40</v>
      </c>
      <c r="D276" s="46" t="s">
        <v>135</v>
      </c>
      <c r="E276" s="50"/>
      <c r="F276" s="46" t="s">
        <v>136</v>
      </c>
      <c r="G276" s="47"/>
    </row>
    <row r="277" spans="1:7" ht="45" x14ac:dyDescent="0.25">
      <c r="A277" s="125"/>
      <c r="B277" s="103" t="s">
        <v>107</v>
      </c>
      <c r="C277" s="52" t="s">
        <v>40</v>
      </c>
      <c r="D277" s="46" t="s">
        <v>137</v>
      </c>
      <c r="E277" s="50"/>
      <c r="F277" s="46" t="s">
        <v>286</v>
      </c>
      <c r="G277" s="47"/>
    </row>
    <row r="278" spans="1:7" ht="60" x14ac:dyDescent="0.25">
      <c r="A278" s="125"/>
      <c r="B278" s="103" t="s">
        <v>106</v>
      </c>
      <c r="C278" s="52" t="s">
        <v>40</v>
      </c>
      <c r="D278" s="46" t="s">
        <v>226</v>
      </c>
      <c r="E278" s="50"/>
      <c r="F278" s="46" t="s">
        <v>287</v>
      </c>
      <c r="G278" s="47"/>
    </row>
    <row r="279" spans="1:7" ht="30.75" thickBot="1" x14ac:dyDescent="0.3">
      <c r="A279" s="125"/>
      <c r="B279" s="54" t="s">
        <v>81</v>
      </c>
      <c r="C279" s="55" t="s">
        <v>82</v>
      </c>
      <c r="D279" s="61" t="s">
        <v>102</v>
      </c>
      <c r="E279" s="64"/>
      <c r="F279" s="61"/>
      <c r="G279" s="58" t="s">
        <v>47</v>
      </c>
    </row>
    <row r="280" spans="1:7" ht="30" x14ac:dyDescent="0.25">
      <c r="A280" s="125"/>
      <c r="B280" s="56" t="s">
        <v>36</v>
      </c>
      <c r="C280" s="45" t="s">
        <v>38</v>
      </c>
      <c r="D280" s="46" t="s">
        <v>288</v>
      </c>
      <c r="E280" s="46"/>
      <c r="F280" s="63"/>
      <c r="G280" s="47"/>
    </row>
    <row r="281" spans="1:7" ht="45" x14ac:dyDescent="0.25">
      <c r="A281" s="125"/>
      <c r="B281" s="103" t="s">
        <v>104</v>
      </c>
      <c r="C281" s="52" t="s">
        <v>40</v>
      </c>
      <c r="D281" s="46" t="s">
        <v>100</v>
      </c>
      <c r="E281" s="50"/>
      <c r="F281" s="46" t="s">
        <v>99</v>
      </c>
      <c r="G281" s="47"/>
    </row>
    <row r="282" spans="1:7" ht="30.75" thickBot="1" x14ac:dyDescent="0.3">
      <c r="A282" s="125"/>
      <c r="B282" s="54" t="s">
        <v>81</v>
      </c>
      <c r="C282" s="55" t="s">
        <v>82</v>
      </c>
      <c r="D282" s="61" t="s">
        <v>289</v>
      </c>
      <c r="E282" s="64"/>
      <c r="F282" s="61"/>
      <c r="G282" s="58" t="s">
        <v>47</v>
      </c>
    </row>
    <row r="283" spans="1:7" ht="30" x14ac:dyDescent="0.25">
      <c r="A283" s="125"/>
      <c r="B283" s="56" t="s">
        <v>36</v>
      </c>
      <c r="C283" s="45" t="s">
        <v>38</v>
      </c>
      <c r="D283" s="46" t="s">
        <v>288</v>
      </c>
      <c r="E283" s="46"/>
      <c r="F283" s="63"/>
      <c r="G283" s="47"/>
    </row>
    <row r="284" spans="1:7" ht="45" x14ac:dyDescent="0.25">
      <c r="A284" s="125"/>
      <c r="B284" s="103" t="s">
        <v>101</v>
      </c>
      <c r="C284" s="52" t="s">
        <v>40</v>
      </c>
      <c r="D284" s="46" t="s">
        <v>97</v>
      </c>
      <c r="E284" s="50"/>
      <c r="F284" s="46" t="s">
        <v>150</v>
      </c>
      <c r="G284" s="47"/>
    </row>
    <row r="285" spans="1:7" ht="30" customHeight="1" thickBot="1" x14ac:dyDescent="0.3">
      <c r="A285" s="125"/>
      <c r="B285" s="54" t="s">
        <v>81</v>
      </c>
      <c r="C285" s="55" t="s">
        <v>82</v>
      </c>
      <c r="D285" s="61" t="s">
        <v>110</v>
      </c>
      <c r="E285" s="64"/>
      <c r="F285" s="61"/>
      <c r="G285" s="58" t="s">
        <v>47</v>
      </c>
    </row>
    <row r="286" spans="1:7" ht="30" customHeight="1" thickBot="1" x14ac:dyDescent="0.3">
      <c r="A286" s="100" t="str">
        <f>TabellaTest!F25</f>
        <v>TF010.UC01</v>
      </c>
      <c r="B286" s="135" t="str">
        <f>TabellaTest!C25</f>
        <v>PAR. 3.10-035-10</v>
      </c>
      <c r="C286" s="129"/>
      <c r="D286" s="136" t="str">
        <f>TabellaTest!E25</f>
        <v>Verifica iscrizione procedimento di Reclamo avverso Revoca Pena Sostitutiva    (TDS)</v>
      </c>
      <c r="E286" s="137"/>
      <c r="F286" s="136" t="str">
        <f>TabellaTest!G25</f>
        <v>Verifica: Verificare che nel sottosistema SIUS a seguito iscrizione procedimento con contenuto Reclamo avverso Revoca Pena Sostitutiva  venga inserito un nuovo procedimento SIUS</v>
      </c>
      <c r="G286" s="138"/>
    </row>
    <row r="287" spans="1:7" ht="30" x14ac:dyDescent="0.25">
      <c r="A287" s="125"/>
      <c r="B287" s="105" t="s">
        <v>31</v>
      </c>
      <c r="C287" s="32" t="s">
        <v>32</v>
      </c>
      <c r="D287" s="29" t="s">
        <v>33</v>
      </c>
      <c r="E287" s="29" t="s">
        <v>34</v>
      </c>
      <c r="F287" s="29" t="s">
        <v>35</v>
      </c>
      <c r="G287" s="30" t="s">
        <v>10</v>
      </c>
    </row>
    <row r="288" spans="1:7" ht="30" customHeight="1" x14ac:dyDescent="0.25">
      <c r="A288" s="125"/>
      <c r="B288" s="56" t="s">
        <v>36</v>
      </c>
      <c r="C288" s="45" t="s">
        <v>37</v>
      </c>
      <c r="D288" s="46" t="s">
        <v>300</v>
      </c>
      <c r="E288" s="46" t="s">
        <v>301</v>
      </c>
      <c r="F288" s="46"/>
      <c r="G288" s="47"/>
    </row>
    <row r="289" spans="1:7" ht="60" customHeight="1" x14ac:dyDescent="0.25">
      <c r="A289" s="125"/>
      <c r="B289" s="56" t="s">
        <v>36</v>
      </c>
      <c r="C289" s="45" t="s">
        <v>38</v>
      </c>
      <c r="D289" s="46" t="s">
        <v>363</v>
      </c>
      <c r="E289" s="46"/>
      <c r="F289" s="63" t="s">
        <v>205</v>
      </c>
      <c r="G289" s="47"/>
    </row>
    <row r="290" spans="1:7" ht="30" customHeight="1" x14ac:dyDescent="0.25">
      <c r="A290" s="125"/>
      <c r="B290" s="57">
        <v>1</v>
      </c>
      <c r="C290" s="48" t="s">
        <v>39</v>
      </c>
      <c r="D290" s="46" t="s">
        <v>302</v>
      </c>
      <c r="E290" s="50"/>
      <c r="F290" s="46" t="s">
        <v>303</v>
      </c>
      <c r="G290" s="47"/>
    </row>
    <row r="291" spans="1:7" ht="45" x14ac:dyDescent="0.25">
      <c r="A291" s="125"/>
      <c r="B291" s="59">
        <v>2</v>
      </c>
      <c r="C291" s="52" t="s">
        <v>40</v>
      </c>
      <c r="D291" s="46" t="s">
        <v>304</v>
      </c>
      <c r="E291" s="50"/>
      <c r="F291" s="63" t="s">
        <v>205</v>
      </c>
      <c r="G291" s="47"/>
    </row>
    <row r="292" spans="1:7" ht="30" x14ac:dyDescent="0.25">
      <c r="A292" s="125"/>
      <c r="B292" s="59">
        <v>3</v>
      </c>
      <c r="C292" s="52" t="s">
        <v>40</v>
      </c>
      <c r="D292" s="46" t="s">
        <v>305</v>
      </c>
      <c r="E292" s="50"/>
      <c r="F292" s="46" t="s">
        <v>306</v>
      </c>
      <c r="G292" s="47"/>
    </row>
    <row r="293" spans="1:7" ht="60" x14ac:dyDescent="0.25">
      <c r="A293" s="125"/>
      <c r="B293" s="89">
        <v>4</v>
      </c>
      <c r="C293" s="90" t="s">
        <v>40</v>
      </c>
      <c r="D293" s="60" t="s">
        <v>307</v>
      </c>
      <c r="E293" s="91"/>
      <c r="F293" s="46" t="s">
        <v>131</v>
      </c>
      <c r="G293" s="53"/>
    </row>
    <row r="294" spans="1:7" ht="90.75" thickBot="1" x14ac:dyDescent="0.3">
      <c r="A294" s="125"/>
      <c r="B294" s="54" t="s">
        <v>81</v>
      </c>
      <c r="C294" s="55" t="s">
        <v>82</v>
      </c>
      <c r="D294" s="60" t="s">
        <v>308</v>
      </c>
      <c r="E294" s="64"/>
      <c r="F294" s="92"/>
      <c r="G294" s="58"/>
    </row>
    <row r="295" spans="1:7" ht="30" customHeight="1" thickBot="1" x14ac:dyDescent="0.3">
      <c r="A295" s="100" t="str">
        <f>TabellaTest!F26</f>
        <v>TF010.UC02</v>
      </c>
      <c r="B295" s="135" t="str">
        <f>TabellaTest!C26</f>
        <v>PAR. 3.10-035-10</v>
      </c>
      <c r="C295" s="129"/>
      <c r="D295" s="136" t="str">
        <f>TabellaTest!E26</f>
        <v>Verifica emissione ordinanza di Reclamo avverso Revoca Pena Sostitutiva   (TDS)</v>
      </c>
      <c r="E295" s="137"/>
      <c r="F295" s="136" t="str">
        <f>TabellaTest!G26</f>
        <v>Verifica: Verificare nel sottosistema SIUS l'utilizzo della funzione "Ordinanza Reclamo avverso Revoca Pena Sostitutiva"</v>
      </c>
      <c r="G295" s="138"/>
    </row>
    <row r="296" spans="1:7" ht="30" x14ac:dyDescent="0.25">
      <c r="A296" s="125"/>
      <c r="B296" s="105" t="s">
        <v>31</v>
      </c>
      <c r="C296" s="32" t="s">
        <v>32</v>
      </c>
      <c r="D296" s="29" t="s">
        <v>33</v>
      </c>
      <c r="E296" s="29" t="s">
        <v>34</v>
      </c>
      <c r="F296" s="29" t="s">
        <v>35</v>
      </c>
      <c r="G296" s="30" t="s">
        <v>10</v>
      </c>
    </row>
    <row r="297" spans="1:7" ht="30" x14ac:dyDescent="0.25">
      <c r="A297" s="125"/>
      <c r="B297" s="56" t="s">
        <v>36</v>
      </c>
      <c r="C297" s="45" t="s">
        <v>37</v>
      </c>
      <c r="D297" s="46" t="s">
        <v>300</v>
      </c>
      <c r="E297" s="46" t="s">
        <v>301</v>
      </c>
      <c r="F297" s="46"/>
      <c r="G297" s="47"/>
    </row>
    <row r="298" spans="1:7" ht="60" customHeight="1" x14ac:dyDescent="0.25">
      <c r="A298" s="125"/>
      <c r="B298" s="56" t="s">
        <v>36</v>
      </c>
      <c r="C298" s="45" t="s">
        <v>38</v>
      </c>
      <c r="D298" s="46" t="s">
        <v>309</v>
      </c>
      <c r="E298" s="46"/>
      <c r="F298" s="63" t="s">
        <v>205</v>
      </c>
      <c r="G298" s="47"/>
    </row>
    <row r="299" spans="1:7" ht="30" x14ac:dyDescent="0.25">
      <c r="A299" s="125"/>
      <c r="B299" s="57">
        <v>1</v>
      </c>
      <c r="C299" s="48" t="s">
        <v>39</v>
      </c>
      <c r="D299" s="49" t="s">
        <v>134</v>
      </c>
      <c r="E299" s="50"/>
      <c r="F299" s="46" t="s">
        <v>111</v>
      </c>
      <c r="G299" s="47"/>
    </row>
    <row r="300" spans="1:7" ht="30" x14ac:dyDescent="0.25">
      <c r="A300" s="125"/>
      <c r="B300" s="103" t="s">
        <v>108</v>
      </c>
      <c r="C300" s="52" t="s">
        <v>40</v>
      </c>
      <c r="D300" s="46" t="s">
        <v>135</v>
      </c>
      <c r="E300" s="50"/>
      <c r="F300" s="46" t="s">
        <v>136</v>
      </c>
      <c r="G300" s="47"/>
    </row>
    <row r="301" spans="1:7" ht="45" x14ac:dyDescent="0.25">
      <c r="A301" s="125"/>
      <c r="B301" s="103" t="s">
        <v>107</v>
      </c>
      <c r="C301" s="52" t="s">
        <v>40</v>
      </c>
      <c r="D301" s="46" t="s">
        <v>137</v>
      </c>
      <c r="E301" s="50"/>
      <c r="F301" s="46" t="s">
        <v>310</v>
      </c>
      <c r="G301" s="47"/>
    </row>
    <row r="302" spans="1:7" ht="60.75" thickBot="1" x14ac:dyDescent="0.3">
      <c r="A302" s="125"/>
      <c r="B302" s="103" t="s">
        <v>106</v>
      </c>
      <c r="C302" s="52" t="s">
        <v>40</v>
      </c>
      <c r="D302" s="46" t="s">
        <v>311</v>
      </c>
      <c r="E302" s="50"/>
      <c r="F302" s="46" t="s">
        <v>312</v>
      </c>
      <c r="G302" s="47"/>
    </row>
    <row r="303" spans="1:7" ht="30.75" thickBot="1" x14ac:dyDescent="0.3">
      <c r="A303" s="125"/>
      <c r="B303" s="54" t="s">
        <v>81</v>
      </c>
      <c r="C303" s="55" t="s">
        <v>82</v>
      </c>
      <c r="D303" s="61" t="s">
        <v>102</v>
      </c>
      <c r="E303" s="64"/>
      <c r="F303" s="61"/>
      <c r="G303" s="58" t="s">
        <v>47</v>
      </c>
    </row>
    <row r="304" spans="1:7" ht="45" x14ac:dyDescent="0.25">
      <c r="A304" s="125"/>
      <c r="B304" s="56" t="s">
        <v>36</v>
      </c>
      <c r="C304" s="45" t="s">
        <v>38</v>
      </c>
      <c r="D304" s="46" t="s">
        <v>314</v>
      </c>
      <c r="E304" s="46"/>
      <c r="F304" s="63"/>
      <c r="G304" s="47"/>
    </row>
    <row r="305" spans="1:7" ht="45" x14ac:dyDescent="0.25">
      <c r="A305" s="125"/>
      <c r="B305" s="103" t="s">
        <v>104</v>
      </c>
      <c r="C305" s="52" t="s">
        <v>40</v>
      </c>
      <c r="D305" s="46" t="s">
        <v>100</v>
      </c>
      <c r="E305" s="50"/>
      <c r="F305" s="46" t="s">
        <v>99</v>
      </c>
      <c r="G305" s="47"/>
    </row>
    <row r="306" spans="1:7" ht="30.75" thickBot="1" x14ac:dyDescent="0.3">
      <c r="A306" s="125"/>
      <c r="B306" s="54" t="s">
        <v>81</v>
      </c>
      <c r="C306" s="55" t="s">
        <v>82</v>
      </c>
      <c r="D306" s="61" t="s">
        <v>313</v>
      </c>
      <c r="E306" s="64"/>
      <c r="F306" s="61"/>
      <c r="G306" s="58" t="s">
        <v>47</v>
      </c>
    </row>
    <row r="307" spans="1:7" ht="45" x14ac:dyDescent="0.25">
      <c r="A307" s="125"/>
      <c r="B307" s="56" t="s">
        <v>36</v>
      </c>
      <c r="C307" s="45" t="s">
        <v>38</v>
      </c>
      <c r="D307" s="46" t="s">
        <v>314</v>
      </c>
      <c r="E307" s="46"/>
      <c r="F307" s="63"/>
      <c r="G307" s="47"/>
    </row>
    <row r="308" spans="1:7" ht="45" x14ac:dyDescent="0.25">
      <c r="A308" s="125"/>
      <c r="B308" s="103" t="s">
        <v>101</v>
      </c>
      <c r="C308" s="52" t="s">
        <v>40</v>
      </c>
      <c r="D308" s="46" t="s">
        <v>97</v>
      </c>
      <c r="E308" s="50"/>
      <c r="F308" s="46" t="s">
        <v>150</v>
      </c>
      <c r="G308" s="47"/>
    </row>
    <row r="309" spans="1:7" ht="30" customHeight="1" thickBot="1" x14ac:dyDescent="0.3">
      <c r="A309" s="125"/>
      <c r="B309" s="54" t="s">
        <v>81</v>
      </c>
      <c r="C309" s="55" t="s">
        <v>82</v>
      </c>
      <c r="D309" s="61" t="s">
        <v>110</v>
      </c>
      <c r="E309" s="64"/>
      <c r="F309" s="61"/>
      <c r="G309" s="58" t="s">
        <v>47</v>
      </c>
    </row>
    <row r="310" spans="1:7" ht="30" customHeight="1" thickBot="1" x14ac:dyDescent="0.3">
      <c r="A310" s="100" t="str">
        <f>TabellaTest!F27</f>
        <v>TF011.UC01</v>
      </c>
      <c r="B310" s="135" t="str">
        <f>TabellaTest!C27</f>
        <v>PAR. 3.11-035-11</v>
      </c>
      <c r="C310" s="129"/>
      <c r="D310" s="136" t="str">
        <f>TabellaTest!E27</f>
        <v xml:space="preserve">Verifica iscrizione procedimento di Diffida al puntuale rispetto delle prescrizioni – pene sostitutive </v>
      </c>
      <c r="E310" s="137"/>
      <c r="F310" s="136" t="str">
        <f>TabellaTest!G27</f>
        <v>Verifica: Verificare che nel sottosistema SIUS a seguito iscrizione procedimento con contenuto Diffida al puntuale rispetto delle prescrizioni – pene sostitutive  venga inserito un nuovo procedimento SIUS</v>
      </c>
      <c r="G310" s="138"/>
    </row>
    <row r="311" spans="1:7" ht="30" x14ac:dyDescent="0.25">
      <c r="A311" s="124"/>
      <c r="B311" s="35" t="s">
        <v>31</v>
      </c>
      <c r="C311" s="32" t="s">
        <v>32</v>
      </c>
      <c r="D311" s="29" t="s">
        <v>33</v>
      </c>
      <c r="E311" s="29" t="s">
        <v>34</v>
      </c>
      <c r="F311" s="29" t="s">
        <v>35</v>
      </c>
      <c r="G311" s="30" t="s">
        <v>10</v>
      </c>
    </row>
    <row r="312" spans="1:7" ht="30" customHeight="1" x14ac:dyDescent="0.25">
      <c r="A312" s="125"/>
      <c r="B312" s="56" t="s">
        <v>36</v>
      </c>
      <c r="C312" s="45" t="s">
        <v>37</v>
      </c>
      <c r="D312" s="46" t="s">
        <v>203</v>
      </c>
      <c r="E312" s="46" t="s">
        <v>91</v>
      </c>
      <c r="F312" s="46"/>
      <c r="G312" s="47"/>
    </row>
    <row r="313" spans="1:7" ht="60" customHeight="1" x14ac:dyDescent="0.25">
      <c r="A313" s="125"/>
      <c r="B313" s="56" t="s">
        <v>36</v>
      </c>
      <c r="C313" s="45" t="s">
        <v>38</v>
      </c>
      <c r="D313" s="46" t="s">
        <v>218</v>
      </c>
      <c r="E313" s="46"/>
      <c r="F313" s="63" t="s">
        <v>205</v>
      </c>
      <c r="G313" s="47"/>
    </row>
    <row r="314" spans="1:7" ht="30" customHeight="1" x14ac:dyDescent="0.25">
      <c r="A314" s="125"/>
      <c r="B314" s="57">
        <v>1</v>
      </c>
      <c r="C314" s="48" t="s">
        <v>39</v>
      </c>
      <c r="D314" s="46" t="s">
        <v>198</v>
      </c>
      <c r="E314" s="50"/>
      <c r="F314" s="46" t="s">
        <v>199</v>
      </c>
      <c r="G314" s="47"/>
    </row>
    <row r="315" spans="1:7" ht="45" x14ac:dyDescent="0.25">
      <c r="A315" s="125"/>
      <c r="B315" s="59">
        <v>2</v>
      </c>
      <c r="C315" s="52" t="s">
        <v>40</v>
      </c>
      <c r="D315" s="46" t="s">
        <v>219</v>
      </c>
      <c r="E315" s="50"/>
      <c r="F315" s="46" t="s">
        <v>220</v>
      </c>
      <c r="G315" s="47"/>
    </row>
    <row r="316" spans="1:7" ht="60" x14ac:dyDescent="0.25">
      <c r="A316" s="125"/>
      <c r="B316" s="89">
        <v>3</v>
      </c>
      <c r="C316" s="90" t="s">
        <v>40</v>
      </c>
      <c r="D316" s="60" t="s">
        <v>350</v>
      </c>
      <c r="E316" s="91"/>
      <c r="F316" s="46" t="s">
        <v>131</v>
      </c>
      <c r="G316" s="53"/>
    </row>
    <row r="317" spans="1:7" ht="105.75" thickBot="1" x14ac:dyDescent="0.3">
      <c r="A317" s="125"/>
      <c r="B317" s="54" t="s">
        <v>81</v>
      </c>
      <c r="C317" s="55" t="s">
        <v>82</v>
      </c>
      <c r="D317" s="60" t="s">
        <v>221</v>
      </c>
      <c r="E317" s="64"/>
      <c r="F317" s="92"/>
      <c r="G317" s="58"/>
    </row>
    <row r="318" spans="1:7" ht="30" customHeight="1" thickBot="1" x14ac:dyDescent="0.3">
      <c r="A318" s="100" t="str">
        <f>TabellaTest!F28</f>
        <v>TF011.UC02</v>
      </c>
      <c r="B318" s="135" t="str">
        <f>TabellaTest!C28</f>
        <v>PAR. 3.11-035-11</v>
      </c>
      <c r="C318" s="129"/>
      <c r="D318" s="136" t="str">
        <f>TabellaTest!E28</f>
        <v xml:space="preserve">Verifica emissione decreto di Diffida al puntuale rispetto delle prescrizioni – pene sostitutive  </v>
      </c>
      <c r="E318" s="137"/>
      <c r="F318" s="136" t="str">
        <f>TabellaTest!G28</f>
        <v>Verifica: Verificare nel sottosistema SIUS l'utilizzo della funzione "Decreto Diffida al puntuale rispetto delle prescrizioni – pene sostitutive "</v>
      </c>
      <c r="G318" s="138"/>
    </row>
    <row r="319" spans="1:7" ht="30" customHeight="1" x14ac:dyDescent="0.25">
      <c r="A319" s="124"/>
      <c r="B319" s="35" t="s">
        <v>31</v>
      </c>
      <c r="C319" s="32" t="s">
        <v>32</v>
      </c>
      <c r="D319" s="29" t="s">
        <v>33</v>
      </c>
      <c r="E319" s="29" t="s">
        <v>34</v>
      </c>
      <c r="F319" s="29" t="s">
        <v>35</v>
      </c>
      <c r="G319" s="30" t="s">
        <v>10</v>
      </c>
    </row>
    <row r="320" spans="1:7" ht="45" x14ac:dyDescent="0.25">
      <c r="A320" s="125"/>
      <c r="B320" s="56" t="s">
        <v>36</v>
      </c>
      <c r="C320" s="45" t="s">
        <v>37</v>
      </c>
      <c r="D320" s="46" t="s">
        <v>243</v>
      </c>
      <c r="E320" s="46" t="s">
        <v>91</v>
      </c>
      <c r="F320" s="46"/>
      <c r="G320" s="47"/>
    </row>
    <row r="321" spans="1:7" ht="30" x14ac:dyDescent="0.25">
      <c r="A321" s="125"/>
      <c r="B321" s="57">
        <v>1</v>
      </c>
      <c r="C321" s="48" t="s">
        <v>39</v>
      </c>
      <c r="D321" s="49" t="s">
        <v>176</v>
      </c>
      <c r="E321" s="50"/>
      <c r="F321" s="46" t="s">
        <v>111</v>
      </c>
      <c r="G321" s="47"/>
    </row>
    <row r="322" spans="1:7" ht="30" x14ac:dyDescent="0.25">
      <c r="A322" s="125"/>
      <c r="B322" s="103" t="s">
        <v>108</v>
      </c>
      <c r="C322" s="52" t="s">
        <v>40</v>
      </c>
      <c r="D322" s="46" t="s">
        <v>135</v>
      </c>
      <c r="E322" s="50"/>
      <c r="F322" s="46" t="s">
        <v>177</v>
      </c>
      <c r="G322" s="47"/>
    </row>
    <row r="323" spans="1:7" ht="45.75" thickBot="1" x14ac:dyDescent="0.3">
      <c r="A323" s="125"/>
      <c r="B323" s="103" t="s">
        <v>107</v>
      </c>
      <c r="C323" s="52" t="s">
        <v>40</v>
      </c>
      <c r="D323" s="46" t="s">
        <v>137</v>
      </c>
      <c r="E323" s="50"/>
      <c r="F323" s="46" t="s">
        <v>320</v>
      </c>
      <c r="G323" s="47"/>
    </row>
    <row r="324" spans="1:7" ht="60" x14ac:dyDescent="0.25">
      <c r="A324" s="125"/>
      <c r="B324" s="103" t="s">
        <v>106</v>
      </c>
      <c r="C324" s="52" t="s">
        <v>40</v>
      </c>
      <c r="D324" s="46" t="s">
        <v>259</v>
      </c>
      <c r="E324" s="50"/>
      <c r="F324" s="46" t="s">
        <v>321</v>
      </c>
      <c r="G324" s="47"/>
    </row>
    <row r="325" spans="1:7" ht="30.75" thickBot="1" x14ac:dyDescent="0.3">
      <c r="A325" s="125"/>
      <c r="B325" s="54" t="s">
        <v>81</v>
      </c>
      <c r="C325" s="55" t="s">
        <v>82</v>
      </c>
      <c r="D325" s="61" t="s">
        <v>102</v>
      </c>
      <c r="E325" s="64"/>
      <c r="F325" s="61"/>
      <c r="G325" s="58" t="s">
        <v>47</v>
      </c>
    </row>
    <row r="326" spans="1:7" ht="45" x14ac:dyDescent="0.25">
      <c r="A326" s="125"/>
      <c r="B326" s="56" t="s">
        <v>36</v>
      </c>
      <c r="C326" s="45" t="s">
        <v>38</v>
      </c>
      <c r="D326" s="46" t="s">
        <v>322</v>
      </c>
      <c r="E326" s="46"/>
      <c r="F326" s="63"/>
      <c r="G326" s="47"/>
    </row>
    <row r="327" spans="1:7" ht="45" x14ac:dyDescent="0.25">
      <c r="A327" s="125"/>
      <c r="B327" s="103" t="s">
        <v>104</v>
      </c>
      <c r="C327" s="52" t="s">
        <v>40</v>
      </c>
      <c r="D327" s="46" t="s">
        <v>100</v>
      </c>
      <c r="E327" s="50"/>
      <c r="F327" s="46" t="s">
        <v>99</v>
      </c>
      <c r="G327" s="47"/>
    </row>
    <row r="328" spans="1:7" ht="30.75" thickBot="1" x14ac:dyDescent="0.3">
      <c r="A328" s="125"/>
      <c r="B328" s="54" t="s">
        <v>81</v>
      </c>
      <c r="C328" s="55" t="s">
        <v>82</v>
      </c>
      <c r="D328" s="61" t="s">
        <v>323</v>
      </c>
      <c r="E328" s="64"/>
      <c r="F328" s="61"/>
      <c r="G328" s="58" t="s">
        <v>47</v>
      </c>
    </row>
    <row r="329" spans="1:7" ht="45" x14ac:dyDescent="0.25">
      <c r="A329" s="125"/>
      <c r="B329" s="103" t="s">
        <v>101</v>
      </c>
      <c r="C329" s="52" t="s">
        <v>40</v>
      </c>
      <c r="D329" s="46" t="s">
        <v>97</v>
      </c>
      <c r="E329" s="50"/>
      <c r="F329" s="46" t="s">
        <v>185</v>
      </c>
      <c r="G329" s="47"/>
    </row>
    <row r="330" spans="1:7" ht="30" customHeight="1" thickBot="1" x14ac:dyDescent="0.3">
      <c r="A330" s="125"/>
      <c r="B330" s="54" t="s">
        <v>81</v>
      </c>
      <c r="C330" s="55" t="s">
        <v>82</v>
      </c>
      <c r="D330" s="61" t="s">
        <v>110</v>
      </c>
      <c r="E330" s="64"/>
      <c r="F330" s="61"/>
      <c r="G330" s="58" t="s">
        <v>47</v>
      </c>
    </row>
    <row r="331" spans="1:7" ht="30" customHeight="1" thickBot="1" x14ac:dyDescent="0.3">
      <c r="A331" s="100" t="str">
        <f>TabellaTest!F29</f>
        <v>TF012.UC01</v>
      </c>
      <c r="B331" s="135" t="str">
        <f>TabellaTest!C29</f>
        <v>PAR. 3.12-035-12</v>
      </c>
      <c r="C331" s="129"/>
      <c r="D331" s="136" t="str">
        <f>TabellaTest!E29</f>
        <v xml:space="preserve">Verifica iscrizione procedimento di Licenza - pene sostitutive (art. 69 L. 689/81)   </v>
      </c>
      <c r="E331" s="137"/>
      <c r="F331" s="136" t="str">
        <f>TabellaTest!G29</f>
        <v>Verifica: Verificare che nel sottosistema SIUS a seguito iscrizione procedimento con contenuto Licenza - pene sostitutive (art. 69 L. 689/81)    venga inserito un nuovo procedimento SIUS</v>
      </c>
      <c r="G331" s="138"/>
    </row>
    <row r="332" spans="1:7" ht="30" customHeight="1" x14ac:dyDescent="0.25">
      <c r="A332" s="124"/>
      <c r="B332" s="35" t="s">
        <v>31</v>
      </c>
      <c r="C332" s="32" t="s">
        <v>32</v>
      </c>
      <c r="D332" s="29" t="s">
        <v>33</v>
      </c>
      <c r="E332" s="29" t="s">
        <v>34</v>
      </c>
      <c r="F332" s="29" t="s">
        <v>35</v>
      </c>
      <c r="G332" s="30" t="s">
        <v>10</v>
      </c>
    </row>
    <row r="333" spans="1:7" ht="30" customHeight="1" x14ac:dyDescent="0.25">
      <c r="A333" s="131"/>
      <c r="B333" s="56" t="s">
        <v>36</v>
      </c>
      <c r="C333" s="45" t="s">
        <v>37</v>
      </c>
      <c r="D333" s="46" t="s">
        <v>203</v>
      </c>
      <c r="E333" s="46" t="s">
        <v>91</v>
      </c>
      <c r="F333" s="46"/>
      <c r="G333" s="47"/>
    </row>
    <row r="334" spans="1:7" ht="60" customHeight="1" x14ac:dyDescent="0.25">
      <c r="A334" s="131"/>
      <c r="B334" s="56" t="s">
        <v>36</v>
      </c>
      <c r="C334" s="45" t="s">
        <v>38</v>
      </c>
      <c r="D334" s="46" t="s">
        <v>218</v>
      </c>
      <c r="E334" s="46"/>
      <c r="F334" s="63" t="s">
        <v>205</v>
      </c>
      <c r="G334" s="47"/>
    </row>
    <row r="335" spans="1:7" ht="30" customHeight="1" x14ac:dyDescent="0.25">
      <c r="A335" s="131"/>
      <c r="B335" s="57">
        <v>1</v>
      </c>
      <c r="C335" s="48" t="s">
        <v>39</v>
      </c>
      <c r="D335" s="46" t="s">
        <v>198</v>
      </c>
      <c r="E335" s="50"/>
      <c r="F335" s="46" t="s">
        <v>199</v>
      </c>
      <c r="G335" s="47"/>
    </row>
    <row r="336" spans="1:7" ht="45" x14ac:dyDescent="0.25">
      <c r="A336" s="131"/>
      <c r="B336" s="59">
        <v>2</v>
      </c>
      <c r="C336" s="52" t="s">
        <v>40</v>
      </c>
      <c r="D336" s="46" t="s">
        <v>219</v>
      </c>
      <c r="E336" s="50"/>
      <c r="F336" s="46" t="s">
        <v>220</v>
      </c>
      <c r="G336" s="47"/>
    </row>
    <row r="337" spans="1:7" ht="60" x14ac:dyDescent="0.25">
      <c r="A337" s="131"/>
      <c r="B337" s="89">
        <v>3</v>
      </c>
      <c r="C337" s="90" t="s">
        <v>40</v>
      </c>
      <c r="D337" s="60" t="s">
        <v>351</v>
      </c>
      <c r="E337" s="91"/>
      <c r="F337" s="46" t="s">
        <v>131</v>
      </c>
      <c r="G337" s="53"/>
    </row>
    <row r="338" spans="1:7" ht="105.75" thickBot="1" x14ac:dyDescent="0.3">
      <c r="A338" s="132"/>
      <c r="B338" s="54" t="s">
        <v>81</v>
      </c>
      <c r="C338" s="55" t="s">
        <v>82</v>
      </c>
      <c r="D338" s="60" t="s">
        <v>221</v>
      </c>
      <c r="E338" s="64"/>
      <c r="F338" s="92"/>
      <c r="G338" s="58"/>
    </row>
    <row r="339" spans="1:7" ht="30" customHeight="1" thickBot="1" x14ac:dyDescent="0.3">
      <c r="A339" s="100" t="str">
        <f>TabellaTest!F30</f>
        <v>TF012.UC02</v>
      </c>
      <c r="B339" s="135" t="str">
        <f>TabellaTest!C30</f>
        <v>PAR. 3.12-035-12</v>
      </c>
      <c r="C339" s="129"/>
      <c r="D339" s="141" t="str">
        <f>TabellaTest!E30</f>
        <v xml:space="preserve">Verifica emissione decreto di Licenza - pene sostitutive (art. 69 L. 689/81)   </v>
      </c>
      <c r="E339" s="142"/>
      <c r="F339" s="136" t="str">
        <f>TabellaTest!G30</f>
        <v>Verifica: Verificare nel sottosistema SIUS l'utilizzo della funzione "Decreto Licenza - pene sostitutive (art. 69 L. 689/81) "</v>
      </c>
      <c r="G339" s="138"/>
    </row>
    <row r="340" spans="1:7" ht="30" x14ac:dyDescent="0.25">
      <c r="A340" s="124"/>
      <c r="B340" s="35" t="s">
        <v>31</v>
      </c>
      <c r="C340" s="32" t="s">
        <v>32</v>
      </c>
      <c r="D340" s="104" t="s">
        <v>33</v>
      </c>
      <c r="E340" s="104" t="s">
        <v>34</v>
      </c>
      <c r="F340" s="29" t="s">
        <v>35</v>
      </c>
      <c r="G340" s="30" t="s">
        <v>10</v>
      </c>
    </row>
    <row r="341" spans="1:7" ht="45" x14ac:dyDescent="0.25">
      <c r="A341" s="125"/>
      <c r="B341" s="56" t="s">
        <v>36</v>
      </c>
      <c r="C341" s="45" t="s">
        <v>37</v>
      </c>
      <c r="D341" s="46" t="s">
        <v>243</v>
      </c>
      <c r="E341" s="46" t="s">
        <v>91</v>
      </c>
      <c r="F341" s="46"/>
      <c r="G341" s="47"/>
    </row>
    <row r="342" spans="1:7" ht="30" x14ac:dyDescent="0.25">
      <c r="A342" s="125"/>
      <c r="B342" s="57">
        <v>1</v>
      </c>
      <c r="C342" s="48" t="s">
        <v>39</v>
      </c>
      <c r="D342" s="49" t="s">
        <v>176</v>
      </c>
      <c r="E342" s="50"/>
      <c r="F342" s="46" t="s">
        <v>111</v>
      </c>
      <c r="G342" s="47"/>
    </row>
    <row r="343" spans="1:7" ht="30" x14ac:dyDescent="0.25">
      <c r="A343" s="125"/>
      <c r="B343" s="103" t="s">
        <v>108</v>
      </c>
      <c r="C343" s="52" t="s">
        <v>40</v>
      </c>
      <c r="D343" s="46" t="s">
        <v>135</v>
      </c>
      <c r="E343" s="50"/>
      <c r="F343" s="46" t="s">
        <v>177</v>
      </c>
      <c r="G343" s="47"/>
    </row>
    <row r="344" spans="1:7" ht="45" x14ac:dyDescent="0.25">
      <c r="A344" s="125"/>
      <c r="B344" s="103" t="s">
        <v>107</v>
      </c>
      <c r="C344" s="52" t="s">
        <v>40</v>
      </c>
      <c r="D344" s="46" t="s">
        <v>137</v>
      </c>
      <c r="E344" s="50"/>
      <c r="F344" s="46" t="s">
        <v>328</v>
      </c>
      <c r="G344" s="47"/>
    </row>
    <row r="345" spans="1:7" ht="30" x14ac:dyDescent="0.25">
      <c r="A345" s="125"/>
      <c r="B345" s="103" t="s">
        <v>106</v>
      </c>
      <c r="C345" s="52" t="s">
        <v>40</v>
      </c>
      <c r="D345" s="46" t="s">
        <v>259</v>
      </c>
      <c r="E345" s="50"/>
      <c r="F345" s="46" t="s">
        <v>329</v>
      </c>
      <c r="G345" s="47"/>
    </row>
    <row r="346" spans="1:7" ht="30.75" thickBot="1" x14ac:dyDescent="0.3">
      <c r="A346" s="125"/>
      <c r="B346" s="54" t="s">
        <v>81</v>
      </c>
      <c r="C346" s="55" t="s">
        <v>82</v>
      </c>
      <c r="D346" s="61" t="s">
        <v>102</v>
      </c>
      <c r="E346" s="64"/>
      <c r="F346" s="61"/>
      <c r="G346" s="58" t="s">
        <v>47</v>
      </c>
    </row>
    <row r="347" spans="1:7" ht="30" x14ac:dyDescent="0.25">
      <c r="A347" s="125"/>
      <c r="B347" s="56" t="s">
        <v>36</v>
      </c>
      <c r="C347" s="45" t="s">
        <v>38</v>
      </c>
      <c r="D347" s="46" t="s">
        <v>330</v>
      </c>
      <c r="E347" s="46"/>
      <c r="F347" s="63"/>
      <c r="G347" s="47"/>
    </row>
    <row r="348" spans="1:7" ht="45" x14ac:dyDescent="0.25">
      <c r="A348" s="125"/>
      <c r="B348" s="103" t="s">
        <v>104</v>
      </c>
      <c r="C348" s="52" t="s">
        <v>40</v>
      </c>
      <c r="D348" s="46" t="s">
        <v>100</v>
      </c>
      <c r="E348" s="50"/>
      <c r="F348" s="46" t="s">
        <v>99</v>
      </c>
      <c r="G348" s="47"/>
    </row>
    <row r="349" spans="1:7" ht="30.75" thickBot="1" x14ac:dyDescent="0.3">
      <c r="A349" s="125"/>
      <c r="B349" s="54" t="s">
        <v>81</v>
      </c>
      <c r="C349" s="55" t="s">
        <v>82</v>
      </c>
      <c r="D349" s="61" t="s">
        <v>331</v>
      </c>
      <c r="E349" s="64"/>
      <c r="F349" s="61"/>
      <c r="G349" s="58" t="s">
        <v>47</v>
      </c>
    </row>
    <row r="350" spans="1:7" ht="45" x14ac:dyDescent="0.25">
      <c r="A350" s="125"/>
      <c r="B350" s="103" t="s">
        <v>101</v>
      </c>
      <c r="C350" s="52" t="s">
        <v>40</v>
      </c>
      <c r="D350" s="46" t="s">
        <v>97</v>
      </c>
      <c r="E350" s="50"/>
      <c r="F350" s="46" t="s">
        <v>185</v>
      </c>
      <c r="G350" s="47"/>
    </row>
    <row r="351" spans="1:7" ht="30" customHeight="1" thickBot="1" x14ac:dyDescent="0.3">
      <c r="A351" s="199"/>
      <c r="B351" s="54" t="s">
        <v>81</v>
      </c>
      <c r="C351" s="55" t="s">
        <v>82</v>
      </c>
      <c r="D351" s="61" t="s">
        <v>110</v>
      </c>
      <c r="E351" s="64"/>
      <c r="F351" s="61"/>
      <c r="G351" s="58" t="s">
        <v>47</v>
      </c>
    </row>
    <row r="352" spans="1:7" ht="30" customHeight="1" thickBot="1" x14ac:dyDescent="0.3">
      <c r="A352" s="100" t="str">
        <f>TabellaTest!F31</f>
        <v>TF013.UC01</v>
      </c>
      <c r="B352" s="135">
        <v>1</v>
      </c>
      <c r="C352" s="129"/>
      <c r="D352" s="141" t="str">
        <f>TabellaTest!E31</f>
        <v>Verifica iscrizione procedimento di Licenza - pene sostitutive - Inosservanza prescrizioni (art. 69 L. 689/81)</v>
      </c>
      <c r="E352" s="142"/>
      <c r="F352" s="136" t="str">
        <f>TabellaTest!G31</f>
        <v>Verifica: Verificare che nel sottosistema SIUS a seguito iscrizione procedimento con contenuto Licenza - pene sostitutive - Inosservanza prescrizioni (art. 69 L. 689/81)    venga inserito un nuovo procedimento SIUS</v>
      </c>
      <c r="G352" s="138"/>
    </row>
    <row r="353" spans="1:7" ht="30" x14ac:dyDescent="0.25">
      <c r="A353" s="124"/>
      <c r="B353" s="35" t="s">
        <v>31</v>
      </c>
      <c r="C353" s="32" t="s">
        <v>32</v>
      </c>
      <c r="D353" s="104" t="s">
        <v>33</v>
      </c>
      <c r="E353" s="104" t="s">
        <v>34</v>
      </c>
      <c r="F353" s="29" t="s">
        <v>35</v>
      </c>
      <c r="G353" s="30" t="s">
        <v>10</v>
      </c>
    </row>
    <row r="354" spans="1:7" ht="30" customHeight="1" x14ac:dyDescent="0.25">
      <c r="A354" s="125"/>
      <c r="B354" s="56" t="s">
        <v>36</v>
      </c>
      <c r="C354" s="45" t="s">
        <v>37</v>
      </c>
      <c r="D354" s="46" t="s">
        <v>203</v>
      </c>
      <c r="E354" s="46" t="s">
        <v>91</v>
      </c>
      <c r="F354" s="46"/>
      <c r="G354" s="47"/>
    </row>
    <row r="355" spans="1:7" ht="60" customHeight="1" x14ac:dyDescent="0.25">
      <c r="A355" s="125"/>
      <c r="B355" s="56" t="s">
        <v>36</v>
      </c>
      <c r="C355" s="45" t="s">
        <v>38</v>
      </c>
      <c r="D355" s="46" t="s">
        <v>218</v>
      </c>
      <c r="E355" s="46"/>
      <c r="F355" s="63" t="s">
        <v>205</v>
      </c>
      <c r="G355" s="47"/>
    </row>
    <row r="356" spans="1:7" ht="30" customHeight="1" x14ac:dyDescent="0.25">
      <c r="A356" s="125"/>
      <c r="B356" s="57">
        <v>1</v>
      </c>
      <c r="C356" s="48" t="s">
        <v>39</v>
      </c>
      <c r="D356" s="46" t="s">
        <v>198</v>
      </c>
      <c r="E356" s="50"/>
      <c r="F356" s="46" t="s">
        <v>199</v>
      </c>
      <c r="G356" s="47"/>
    </row>
    <row r="357" spans="1:7" ht="45" x14ac:dyDescent="0.25">
      <c r="A357" s="125"/>
      <c r="B357" s="59">
        <v>2</v>
      </c>
      <c r="C357" s="52" t="s">
        <v>40</v>
      </c>
      <c r="D357" s="46" t="s">
        <v>219</v>
      </c>
      <c r="E357" s="50"/>
      <c r="F357" s="46" t="s">
        <v>220</v>
      </c>
      <c r="G357" s="47"/>
    </row>
    <row r="358" spans="1:7" ht="75" x14ac:dyDescent="0.25">
      <c r="A358" s="125"/>
      <c r="B358" s="89">
        <v>3</v>
      </c>
      <c r="C358" s="90" t="s">
        <v>40</v>
      </c>
      <c r="D358" s="60" t="s">
        <v>352</v>
      </c>
      <c r="E358" s="91"/>
      <c r="F358" s="46" t="s">
        <v>131</v>
      </c>
      <c r="G358" s="53"/>
    </row>
    <row r="359" spans="1:7" ht="105.75" thickBot="1" x14ac:dyDescent="0.3">
      <c r="A359" s="125"/>
      <c r="B359" s="54" t="s">
        <v>81</v>
      </c>
      <c r="C359" s="55" t="s">
        <v>82</v>
      </c>
      <c r="D359" s="60" t="s">
        <v>221</v>
      </c>
      <c r="E359" s="64"/>
      <c r="F359" s="92"/>
      <c r="G359" s="58"/>
    </row>
    <row r="360" spans="1:7" ht="30" customHeight="1" thickBot="1" x14ac:dyDescent="0.3">
      <c r="A360" s="100" t="str">
        <f>TabellaTest!F32</f>
        <v>TF013.UC02</v>
      </c>
      <c r="B360" s="135" t="str">
        <f>TabellaTest!C32</f>
        <v>PAR. 3.13-035-13</v>
      </c>
      <c r="C360" s="127"/>
      <c r="D360" s="128" t="str">
        <f>TabellaTest!E32</f>
        <v>Verifica emissione decreto di Licenza - pene sostitutive - Inosservanza prescrizioni (art. 69 L. 689/81)</v>
      </c>
      <c r="E360" s="129"/>
      <c r="F360" s="128" t="str">
        <f>TabellaTest!G32</f>
        <v>Verifica: Verificare nel sottosistema SIUS l'utilizzo della funzione "Decreto Licenza - pene sostitutive (art. 69 L. 689/81) "</v>
      </c>
      <c r="G360" s="130"/>
    </row>
    <row r="361" spans="1:7" s="113" customFormat="1" ht="30" x14ac:dyDescent="0.25">
      <c r="A361" s="205"/>
      <c r="B361" s="35" t="s">
        <v>31</v>
      </c>
      <c r="C361" s="32" t="s">
        <v>32</v>
      </c>
      <c r="D361" s="104" t="s">
        <v>33</v>
      </c>
      <c r="E361" s="104" t="s">
        <v>34</v>
      </c>
      <c r="F361" s="29" t="s">
        <v>35</v>
      </c>
      <c r="G361" s="30" t="s">
        <v>10</v>
      </c>
    </row>
    <row r="362" spans="1:7" ht="45" x14ac:dyDescent="0.25">
      <c r="A362" s="206"/>
      <c r="B362" s="56" t="s">
        <v>36</v>
      </c>
      <c r="C362" s="45" t="s">
        <v>37</v>
      </c>
      <c r="D362" s="46" t="s">
        <v>243</v>
      </c>
      <c r="E362" s="46" t="s">
        <v>91</v>
      </c>
      <c r="F362" s="46"/>
      <c r="G362" s="47"/>
    </row>
    <row r="363" spans="1:7" ht="30" x14ac:dyDescent="0.25">
      <c r="A363" s="206"/>
      <c r="B363" s="57">
        <v>1</v>
      </c>
      <c r="C363" s="48" t="s">
        <v>39</v>
      </c>
      <c r="D363" s="49" t="s">
        <v>176</v>
      </c>
      <c r="E363" s="50"/>
      <c r="F363" s="46" t="s">
        <v>111</v>
      </c>
      <c r="G363" s="47"/>
    </row>
    <row r="364" spans="1:7" ht="30" x14ac:dyDescent="0.25">
      <c r="A364" s="206"/>
      <c r="B364" s="103" t="s">
        <v>108</v>
      </c>
      <c r="C364" s="52" t="s">
        <v>40</v>
      </c>
      <c r="D364" s="46" t="s">
        <v>135</v>
      </c>
      <c r="E364" s="50"/>
      <c r="F364" s="46" t="s">
        <v>177</v>
      </c>
      <c r="G364" s="47"/>
    </row>
    <row r="365" spans="1:7" ht="45" x14ac:dyDescent="0.25">
      <c r="A365" s="206"/>
      <c r="B365" s="103" t="s">
        <v>107</v>
      </c>
      <c r="C365" s="52" t="s">
        <v>40</v>
      </c>
      <c r="D365" s="46" t="s">
        <v>137</v>
      </c>
      <c r="E365" s="50"/>
      <c r="F365" s="46" t="s">
        <v>337</v>
      </c>
      <c r="G365" s="47"/>
    </row>
    <row r="366" spans="1:7" ht="30" x14ac:dyDescent="0.25">
      <c r="A366" s="206"/>
      <c r="B366" s="103" t="s">
        <v>106</v>
      </c>
      <c r="C366" s="52" t="s">
        <v>40</v>
      </c>
      <c r="D366" s="46" t="s">
        <v>259</v>
      </c>
      <c r="E366" s="50"/>
      <c r="F366" s="46" t="s">
        <v>338</v>
      </c>
      <c r="G366" s="47"/>
    </row>
    <row r="367" spans="1:7" ht="30.75" thickBot="1" x14ac:dyDescent="0.3">
      <c r="A367" s="206"/>
      <c r="B367" s="54" t="s">
        <v>81</v>
      </c>
      <c r="C367" s="55" t="s">
        <v>82</v>
      </c>
      <c r="D367" s="61" t="s">
        <v>102</v>
      </c>
      <c r="E367" s="64"/>
      <c r="F367" s="61"/>
      <c r="G367" s="58" t="s">
        <v>47</v>
      </c>
    </row>
    <row r="368" spans="1:7" ht="30" x14ac:dyDescent="0.25">
      <c r="A368" s="206"/>
      <c r="B368" s="56" t="s">
        <v>36</v>
      </c>
      <c r="C368" s="45" t="s">
        <v>38</v>
      </c>
      <c r="D368" s="46" t="s">
        <v>339</v>
      </c>
      <c r="E368" s="46"/>
      <c r="F368" s="63"/>
      <c r="G368" s="47"/>
    </row>
    <row r="369" spans="1:7" ht="45" x14ac:dyDescent="0.25">
      <c r="A369" s="206"/>
      <c r="B369" s="103" t="s">
        <v>104</v>
      </c>
      <c r="C369" s="52" t="s">
        <v>40</v>
      </c>
      <c r="D369" s="46" t="s">
        <v>100</v>
      </c>
      <c r="E369" s="50"/>
      <c r="F369" s="46" t="s">
        <v>99</v>
      </c>
      <c r="G369" s="47"/>
    </row>
    <row r="370" spans="1:7" ht="30.75" thickBot="1" x14ac:dyDescent="0.3">
      <c r="A370" s="206"/>
      <c r="B370" s="54" t="s">
        <v>81</v>
      </c>
      <c r="C370" s="55" t="s">
        <v>82</v>
      </c>
      <c r="D370" s="61" t="s">
        <v>340</v>
      </c>
      <c r="E370" s="64"/>
      <c r="F370" s="61"/>
      <c r="G370" s="58" t="s">
        <v>47</v>
      </c>
    </row>
    <row r="371" spans="1:7" ht="45" x14ac:dyDescent="0.25">
      <c r="A371" s="206"/>
      <c r="B371" s="103" t="s">
        <v>101</v>
      </c>
      <c r="C371" s="52" t="s">
        <v>40</v>
      </c>
      <c r="D371" s="46" t="s">
        <v>97</v>
      </c>
      <c r="E371" s="50"/>
      <c r="F371" s="46" t="s">
        <v>185</v>
      </c>
      <c r="G371" s="47"/>
    </row>
    <row r="372" spans="1:7" ht="30.75" thickBot="1" x14ac:dyDescent="0.3">
      <c r="A372" s="207"/>
      <c r="B372" s="54" t="s">
        <v>81</v>
      </c>
      <c r="C372" s="55" t="s">
        <v>82</v>
      </c>
      <c r="D372" s="61" t="s">
        <v>110</v>
      </c>
      <c r="E372" s="64"/>
      <c r="F372" s="61"/>
      <c r="G372" s="58" t="s">
        <v>47</v>
      </c>
    </row>
    <row r="373" spans="1:7" ht="60" customHeight="1" thickBot="1" x14ac:dyDescent="0.3">
      <c r="A373" s="100" t="str">
        <f>TabellaTest!F33</f>
        <v>TF014.UC01</v>
      </c>
      <c r="B373" s="135" t="str">
        <f>TabellaTest!C33</f>
        <v>PAR. 3.15-035-14</v>
      </c>
      <c r="C373" s="127"/>
      <c r="D373" s="128" t="str">
        <f>TabellaTest!E33</f>
        <v xml:space="preserve">Verifica iscrizione procedimento di Rinvio esecuzione Pena Sostitutiva Ex art. 684 comma 2 c.p.p.    </v>
      </c>
      <c r="E373" s="129"/>
      <c r="F373" s="128" t="str">
        <f>TabellaTest!G33</f>
        <v>Verifica: Verificare che nel sottosistema SIUS a seguito iscrizione procedimento con contenuto Rinvio esecuzione Pena Sostitutiva Ex art. 684 comma 2 c.p.p.    venga inserito un nuovo procedimento SIUS</v>
      </c>
      <c r="G373" s="130"/>
    </row>
    <row r="374" spans="1:7" s="113" customFormat="1" ht="30" x14ac:dyDescent="0.25">
      <c r="A374" s="205"/>
      <c r="B374" s="35" t="s">
        <v>31</v>
      </c>
      <c r="C374" s="32" t="s">
        <v>32</v>
      </c>
      <c r="D374" s="104" t="s">
        <v>33</v>
      </c>
      <c r="E374" s="104" t="s">
        <v>34</v>
      </c>
      <c r="F374" s="29" t="s">
        <v>35</v>
      </c>
      <c r="G374" s="30" t="s">
        <v>10</v>
      </c>
    </row>
    <row r="375" spans="1:7" ht="30" customHeight="1" x14ac:dyDescent="0.25">
      <c r="A375" s="206"/>
      <c r="B375" s="56" t="s">
        <v>36</v>
      </c>
      <c r="C375" s="45" t="s">
        <v>37</v>
      </c>
      <c r="D375" s="46" t="s">
        <v>203</v>
      </c>
      <c r="E375" s="46" t="s">
        <v>91</v>
      </c>
      <c r="F375" s="46"/>
      <c r="G375" s="47"/>
    </row>
    <row r="376" spans="1:7" ht="60" customHeight="1" x14ac:dyDescent="0.25">
      <c r="A376" s="206"/>
      <c r="B376" s="56" t="s">
        <v>36</v>
      </c>
      <c r="C376" s="45" t="s">
        <v>38</v>
      </c>
      <c r="D376" s="46" t="s">
        <v>218</v>
      </c>
      <c r="E376" s="46"/>
      <c r="F376" s="63" t="s">
        <v>205</v>
      </c>
      <c r="G376" s="47"/>
    </row>
    <row r="377" spans="1:7" ht="30" customHeight="1" x14ac:dyDescent="0.25">
      <c r="A377" s="206"/>
      <c r="B377" s="57">
        <v>1</v>
      </c>
      <c r="C377" s="48" t="s">
        <v>39</v>
      </c>
      <c r="D377" s="46" t="s">
        <v>198</v>
      </c>
      <c r="E377" s="50"/>
      <c r="F377" s="46" t="s">
        <v>199</v>
      </c>
      <c r="G377" s="47"/>
    </row>
    <row r="378" spans="1:7" ht="45" x14ac:dyDescent="0.25">
      <c r="A378" s="206"/>
      <c r="B378" s="59">
        <v>2</v>
      </c>
      <c r="C378" s="52" t="s">
        <v>40</v>
      </c>
      <c r="D378" s="46" t="s">
        <v>219</v>
      </c>
      <c r="E378" s="50"/>
      <c r="F378" s="46" t="s">
        <v>220</v>
      </c>
      <c r="G378" s="47"/>
    </row>
    <row r="379" spans="1:7" ht="60" x14ac:dyDescent="0.25">
      <c r="A379" s="206"/>
      <c r="B379" s="89">
        <v>3</v>
      </c>
      <c r="C379" s="90" t="s">
        <v>40</v>
      </c>
      <c r="D379" s="60" t="s">
        <v>353</v>
      </c>
      <c r="E379" s="91"/>
      <c r="F379" s="46" t="s">
        <v>131</v>
      </c>
      <c r="G379" s="53"/>
    </row>
    <row r="380" spans="1:7" ht="105.75" thickBot="1" x14ac:dyDescent="0.3">
      <c r="A380" s="207"/>
      <c r="B380" s="54" t="s">
        <v>81</v>
      </c>
      <c r="C380" s="55" t="s">
        <v>82</v>
      </c>
      <c r="D380" s="60" t="s">
        <v>221</v>
      </c>
      <c r="E380" s="64"/>
      <c r="F380" s="92"/>
      <c r="G380" s="58"/>
    </row>
    <row r="381" spans="1:7" ht="47.45" customHeight="1" thickBot="1" x14ac:dyDescent="0.3">
      <c r="A381" s="109" t="str">
        <f>TabellaTest!F34</f>
        <v>TF014.UC02</v>
      </c>
      <c r="B381" s="120" t="str">
        <f>TabellaTest!C34</f>
        <v>PAR. 3.15-035-14</v>
      </c>
      <c r="C381" s="121"/>
      <c r="D381" s="122" t="str">
        <f>TabellaTest!E34</f>
        <v xml:space="preserve">Verifica emissione decreto di Rinvio esecuzione Pena Sostitutiva Ex art. 684 comma 2 c.p.p.    </v>
      </c>
      <c r="E381" s="123"/>
      <c r="F381" s="128" t="str">
        <f>TabellaTest!G34</f>
        <v>Verifica: Verificare nel sottosistema SIUS l'utilizzo della funzione "Decreto Rinvio esecuzione Pena Sostitutiva Ex art. 684 comma 2 c.p.p.  "</v>
      </c>
      <c r="G381" s="130"/>
    </row>
    <row r="382" spans="1:7" ht="30" customHeight="1" x14ac:dyDescent="0.25">
      <c r="A382" s="124"/>
      <c r="B382" s="106" t="s">
        <v>31</v>
      </c>
      <c r="C382" s="44" t="s">
        <v>32</v>
      </c>
      <c r="D382" s="29" t="s">
        <v>33</v>
      </c>
      <c r="E382" s="29" t="s">
        <v>34</v>
      </c>
      <c r="F382" s="29" t="s">
        <v>35</v>
      </c>
      <c r="G382" s="30" t="s">
        <v>10</v>
      </c>
    </row>
    <row r="383" spans="1:7" ht="45" x14ac:dyDescent="0.25">
      <c r="A383" s="125"/>
      <c r="B383" s="56" t="s">
        <v>36</v>
      </c>
      <c r="C383" s="45" t="s">
        <v>37</v>
      </c>
      <c r="D383" s="46" t="s">
        <v>243</v>
      </c>
      <c r="E383" s="46" t="s">
        <v>91</v>
      </c>
      <c r="F383" s="46"/>
      <c r="G383" s="47"/>
    </row>
    <row r="384" spans="1:7" ht="30" x14ac:dyDescent="0.25">
      <c r="A384" s="125"/>
      <c r="B384" s="57">
        <v>1</v>
      </c>
      <c r="C384" s="48" t="s">
        <v>39</v>
      </c>
      <c r="D384" s="49" t="s">
        <v>176</v>
      </c>
      <c r="E384" s="50"/>
      <c r="F384" s="46" t="s">
        <v>111</v>
      </c>
      <c r="G384" s="47"/>
    </row>
    <row r="385" spans="1:7" ht="30" x14ac:dyDescent="0.25">
      <c r="A385" s="125"/>
      <c r="B385" s="103" t="s">
        <v>108</v>
      </c>
      <c r="C385" s="52" t="s">
        <v>40</v>
      </c>
      <c r="D385" s="46" t="s">
        <v>135</v>
      </c>
      <c r="E385" s="50"/>
      <c r="F385" s="46" t="s">
        <v>177</v>
      </c>
      <c r="G385" s="47"/>
    </row>
    <row r="386" spans="1:7" ht="45" x14ac:dyDescent="0.25">
      <c r="A386" s="125"/>
      <c r="B386" s="103" t="s">
        <v>107</v>
      </c>
      <c r="C386" s="52" t="s">
        <v>40</v>
      </c>
      <c r="D386" s="46" t="s">
        <v>137</v>
      </c>
      <c r="E386" s="50"/>
      <c r="F386" s="46" t="s">
        <v>355</v>
      </c>
      <c r="G386" s="47"/>
    </row>
    <row r="387" spans="1:7" ht="30" x14ac:dyDescent="0.25">
      <c r="A387" s="125"/>
      <c r="B387" s="103" t="s">
        <v>106</v>
      </c>
      <c r="C387" s="52" t="s">
        <v>40</v>
      </c>
      <c r="D387" s="46" t="s">
        <v>259</v>
      </c>
      <c r="E387" s="50"/>
      <c r="F387" s="46" t="s">
        <v>354</v>
      </c>
      <c r="G387" s="47"/>
    </row>
    <row r="388" spans="1:7" ht="30.75" thickBot="1" x14ac:dyDescent="0.3">
      <c r="A388" s="125"/>
      <c r="B388" s="54" t="s">
        <v>81</v>
      </c>
      <c r="C388" s="55" t="s">
        <v>82</v>
      </c>
      <c r="D388" s="61" t="s">
        <v>102</v>
      </c>
      <c r="E388" s="64"/>
      <c r="F388" s="61"/>
      <c r="G388" s="58" t="s">
        <v>47</v>
      </c>
    </row>
    <row r="389" spans="1:7" ht="30" x14ac:dyDescent="0.25">
      <c r="A389" s="125"/>
      <c r="B389" s="56" t="s">
        <v>36</v>
      </c>
      <c r="C389" s="45" t="s">
        <v>38</v>
      </c>
      <c r="D389" s="46" t="s">
        <v>380</v>
      </c>
      <c r="E389" s="46"/>
      <c r="F389" s="63"/>
      <c r="G389" s="47"/>
    </row>
    <row r="390" spans="1:7" ht="45" x14ac:dyDescent="0.25">
      <c r="A390" s="125"/>
      <c r="B390" s="103" t="s">
        <v>104</v>
      </c>
      <c r="C390" s="52" t="s">
        <v>40</v>
      </c>
      <c r="D390" s="46" t="s">
        <v>100</v>
      </c>
      <c r="E390" s="50"/>
      <c r="F390" s="46" t="s">
        <v>99</v>
      </c>
      <c r="G390" s="47"/>
    </row>
    <row r="391" spans="1:7" ht="30.75" thickBot="1" x14ac:dyDescent="0.3">
      <c r="A391" s="125"/>
      <c r="B391" s="54" t="s">
        <v>81</v>
      </c>
      <c r="C391" s="55" t="s">
        <v>82</v>
      </c>
      <c r="D391" s="61" t="s">
        <v>356</v>
      </c>
      <c r="E391" s="64"/>
      <c r="F391" s="61"/>
      <c r="G391" s="58" t="s">
        <v>47</v>
      </c>
    </row>
    <row r="392" spans="1:7" ht="45" x14ac:dyDescent="0.25">
      <c r="A392" s="125"/>
      <c r="B392" s="103" t="s">
        <v>101</v>
      </c>
      <c r="C392" s="52" t="s">
        <v>40</v>
      </c>
      <c r="D392" s="46" t="s">
        <v>97</v>
      </c>
      <c r="E392" s="50"/>
      <c r="F392" s="46" t="s">
        <v>185</v>
      </c>
      <c r="G392" s="47"/>
    </row>
    <row r="393" spans="1:7" ht="30" customHeight="1" thickBot="1" x14ac:dyDescent="0.3">
      <c r="A393" s="125"/>
      <c r="B393" s="54" t="s">
        <v>81</v>
      </c>
      <c r="C393" s="55" t="s">
        <v>82</v>
      </c>
      <c r="D393" s="61" t="s">
        <v>110</v>
      </c>
      <c r="E393" s="64"/>
      <c r="F393" s="61"/>
      <c r="G393" s="58" t="s">
        <v>47</v>
      </c>
    </row>
    <row r="394" spans="1:7" ht="73.900000000000006" customHeight="1" thickBot="1" x14ac:dyDescent="0.3">
      <c r="A394" s="100" t="str">
        <f>TabellaTest!F35</f>
        <v>TF015.UC01</v>
      </c>
      <c r="B394" s="135" t="str">
        <f>TabellaTest!C35</f>
        <v>PAR. 3.16-035-15</v>
      </c>
      <c r="C394" s="139"/>
      <c r="D394" s="128" t="str">
        <f>TabellaTest!E35</f>
        <v>Verifica iscrizione procedimento di Rinvio esecuzione Pena Sostitutiva Ex art. 684 comma 2 c.p.p.   (TDS)</v>
      </c>
      <c r="E394" s="139"/>
      <c r="F394" s="128" t="str">
        <f>TabellaTest!G35</f>
        <v>Verifica: Verificare che nel sottosistema SIUS a seguito iscrizione procedimento con contenuto Rinvio esecuzione Pena Sostitutiva Ex art. 684 comma 2 c.p.p.   venga inserito un nuovo procedimento SIUS</v>
      </c>
      <c r="G394" s="130"/>
    </row>
    <row r="395" spans="1:7" ht="30" customHeight="1" x14ac:dyDescent="0.25">
      <c r="A395" s="124"/>
      <c r="B395" s="69" t="s">
        <v>31</v>
      </c>
      <c r="C395" s="44" t="s">
        <v>32</v>
      </c>
      <c r="D395" s="29" t="s">
        <v>33</v>
      </c>
      <c r="E395" s="29" t="s">
        <v>34</v>
      </c>
      <c r="F395" s="29" t="s">
        <v>35</v>
      </c>
      <c r="G395" s="30" t="s">
        <v>10</v>
      </c>
    </row>
    <row r="396" spans="1:7" ht="30" customHeight="1" x14ac:dyDescent="0.25">
      <c r="A396" s="125"/>
      <c r="B396" s="56" t="s">
        <v>36</v>
      </c>
      <c r="C396" s="45" t="s">
        <v>37</v>
      </c>
      <c r="D396" s="46" t="s">
        <v>300</v>
      </c>
      <c r="E396" s="46" t="s">
        <v>362</v>
      </c>
      <c r="F396" s="46"/>
      <c r="G396" s="47"/>
    </row>
    <row r="397" spans="1:7" ht="60" customHeight="1" x14ac:dyDescent="0.25">
      <c r="A397" s="125"/>
      <c r="B397" s="56" t="s">
        <v>36</v>
      </c>
      <c r="C397" s="45" t="s">
        <v>38</v>
      </c>
      <c r="D397" s="46" t="s">
        <v>363</v>
      </c>
      <c r="E397" s="46"/>
      <c r="F397" s="63"/>
      <c r="G397" s="47"/>
    </row>
    <row r="398" spans="1:7" ht="30" customHeight="1" x14ac:dyDescent="0.25">
      <c r="A398" s="125"/>
      <c r="B398" s="57">
        <v>1</v>
      </c>
      <c r="C398" s="48" t="s">
        <v>39</v>
      </c>
      <c r="D398" s="46" t="s">
        <v>302</v>
      </c>
      <c r="E398" s="50"/>
      <c r="F398" s="46" t="s">
        <v>303</v>
      </c>
      <c r="G398" s="47"/>
    </row>
    <row r="399" spans="1:7" ht="45" x14ac:dyDescent="0.25">
      <c r="A399" s="125"/>
      <c r="B399" s="59">
        <v>2</v>
      </c>
      <c r="C399" s="52" t="s">
        <v>40</v>
      </c>
      <c r="D399" s="46" t="s">
        <v>304</v>
      </c>
      <c r="E399" s="50"/>
      <c r="F399" s="63" t="s">
        <v>205</v>
      </c>
      <c r="G399" s="47"/>
    </row>
    <row r="400" spans="1:7" ht="30" x14ac:dyDescent="0.25">
      <c r="A400" s="125"/>
      <c r="B400" s="59">
        <v>3</v>
      </c>
      <c r="C400" s="52" t="s">
        <v>40</v>
      </c>
      <c r="D400" s="46" t="s">
        <v>305</v>
      </c>
      <c r="E400" s="50"/>
      <c r="F400" s="46" t="s">
        <v>306</v>
      </c>
      <c r="G400" s="47"/>
    </row>
    <row r="401" spans="1:7" ht="60" x14ac:dyDescent="0.25">
      <c r="A401" s="125"/>
      <c r="B401" s="89">
        <v>4</v>
      </c>
      <c r="C401" s="90" t="s">
        <v>40</v>
      </c>
      <c r="D401" s="60" t="s">
        <v>364</v>
      </c>
      <c r="E401" s="91"/>
      <c r="F401" s="46" t="s">
        <v>131</v>
      </c>
      <c r="G401" s="53"/>
    </row>
    <row r="402" spans="1:7" ht="90.75" thickBot="1" x14ac:dyDescent="0.3">
      <c r="A402" s="199"/>
      <c r="B402" s="54" t="s">
        <v>81</v>
      </c>
      <c r="C402" s="55" t="s">
        <v>82</v>
      </c>
      <c r="D402" s="60" t="s">
        <v>308</v>
      </c>
      <c r="E402" s="64"/>
      <c r="F402" s="92"/>
      <c r="G402" s="58"/>
    </row>
    <row r="403" spans="1:7" ht="49.9" customHeight="1" thickBot="1" x14ac:dyDescent="0.3">
      <c r="A403" s="108" t="str">
        <f>TabellaTest!F36</f>
        <v>TF015.UC02</v>
      </c>
      <c r="B403" s="135" t="str">
        <f>TabellaTest!C36</f>
        <v>PAR. 3.16-035-15</v>
      </c>
      <c r="C403" s="139"/>
      <c r="D403" s="143" t="str">
        <f>TabellaTest!E36</f>
        <v>Verifica emissione ordinanza di Rinvio esecuzione Pena Sostitutiva Ex art. 684 comma 2 c.p.p.    (TDS)</v>
      </c>
      <c r="E403" s="144"/>
      <c r="F403" s="128" t="str">
        <f>TabellaTest!G36</f>
        <v>Verifica: Verificare nel sottosistema SIUS l'utilizzo della funzione "Ordinanza Rinvio esecuzione Pena Sostitutiva Ex art. 684 comma 2 c.p.p."</v>
      </c>
      <c r="G403" s="130"/>
    </row>
    <row r="404" spans="1:7" ht="30" customHeight="1" x14ac:dyDescent="0.25">
      <c r="A404" s="124"/>
      <c r="B404" s="69" t="s">
        <v>31</v>
      </c>
      <c r="C404" s="44" t="s">
        <v>32</v>
      </c>
      <c r="D404" s="29" t="s">
        <v>33</v>
      </c>
      <c r="E404" s="29" t="s">
        <v>34</v>
      </c>
      <c r="F404" s="29" t="s">
        <v>35</v>
      </c>
      <c r="G404" s="30" t="s">
        <v>10</v>
      </c>
    </row>
    <row r="405" spans="1:7" ht="30" x14ac:dyDescent="0.25">
      <c r="A405" s="125"/>
      <c r="B405" s="56" t="s">
        <v>36</v>
      </c>
      <c r="C405" s="45" t="s">
        <v>37</v>
      </c>
      <c r="D405" s="46" t="s">
        <v>300</v>
      </c>
      <c r="E405" s="46" t="s">
        <v>362</v>
      </c>
      <c r="F405" s="46"/>
      <c r="G405" s="47"/>
    </row>
    <row r="406" spans="1:7" ht="60" customHeight="1" x14ac:dyDescent="0.25">
      <c r="A406" s="125"/>
      <c r="B406" s="56" t="s">
        <v>36</v>
      </c>
      <c r="C406" s="45" t="s">
        <v>38</v>
      </c>
      <c r="D406" s="46" t="s">
        <v>309</v>
      </c>
      <c r="E406" s="46"/>
      <c r="F406" s="63" t="s">
        <v>205</v>
      </c>
      <c r="G406" s="47"/>
    </row>
    <row r="407" spans="1:7" ht="30" x14ac:dyDescent="0.25">
      <c r="A407" s="125"/>
      <c r="B407" s="57">
        <v>1</v>
      </c>
      <c r="C407" s="48" t="s">
        <v>39</v>
      </c>
      <c r="D407" s="49" t="s">
        <v>134</v>
      </c>
      <c r="E407" s="50"/>
      <c r="F407" s="46" t="s">
        <v>111</v>
      </c>
      <c r="G407" s="47"/>
    </row>
    <row r="408" spans="1:7" ht="30" x14ac:dyDescent="0.25">
      <c r="A408" s="125"/>
      <c r="B408" s="103" t="s">
        <v>108</v>
      </c>
      <c r="C408" s="52" t="s">
        <v>40</v>
      </c>
      <c r="D408" s="46" t="s">
        <v>135</v>
      </c>
      <c r="E408" s="50"/>
      <c r="F408" s="46" t="s">
        <v>136</v>
      </c>
      <c r="G408" s="47"/>
    </row>
    <row r="409" spans="1:7" ht="45" x14ac:dyDescent="0.25">
      <c r="A409" s="125"/>
      <c r="B409" s="103" t="s">
        <v>107</v>
      </c>
      <c r="C409" s="52" t="s">
        <v>40</v>
      </c>
      <c r="D409" s="46" t="s">
        <v>137</v>
      </c>
      <c r="E409" s="50"/>
      <c r="F409" s="46" t="s">
        <v>365</v>
      </c>
      <c r="G409" s="47"/>
    </row>
    <row r="410" spans="1:7" ht="60" x14ac:dyDescent="0.25">
      <c r="A410" s="125"/>
      <c r="B410" s="103" t="s">
        <v>106</v>
      </c>
      <c r="C410" s="52" t="s">
        <v>40</v>
      </c>
      <c r="D410" s="46" t="s">
        <v>311</v>
      </c>
      <c r="E410" s="50"/>
      <c r="F410" s="46" t="s">
        <v>367</v>
      </c>
      <c r="G410" s="47"/>
    </row>
    <row r="411" spans="1:7" ht="30.75" thickBot="1" x14ac:dyDescent="0.3">
      <c r="A411" s="125"/>
      <c r="B411" s="54" t="s">
        <v>81</v>
      </c>
      <c r="C411" s="55" t="s">
        <v>82</v>
      </c>
      <c r="D411" s="61" t="s">
        <v>102</v>
      </c>
      <c r="E411" s="64"/>
      <c r="F411" s="61"/>
      <c r="G411" s="58" t="s">
        <v>47</v>
      </c>
    </row>
    <row r="412" spans="1:7" ht="30" x14ac:dyDescent="0.25">
      <c r="A412" s="125"/>
      <c r="B412" s="56" t="s">
        <v>36</v>
      </c>
      <c r="C412" s="45" t="s">
        <v>38</v>
      </c>
      <c r="D412" s="46" t="s">
        <v>368</v>
      </c>
      <c r="E412" s="46"/>
      <c r="F412" s="63"/>
      <c r="G412" s="47"/>
    </row>
    <row r="413" spans="1:7" ht="45" x14ac:dyDescent="0.25">
      <c r="A413" s="125"/>
      <c r="B413" s="103" t="s">
        <v>104</v>
      </c>
      <c r="C413" s="52" t="s">
        <v>40</v>
      </c>
      <c r="D413" s="46" t="s">
        <v>100</v>
      </c>
      <c r="E413" s="50"/>
      <c r="F413" s="46" t="s">
        <v>99</v>
      </c>
      <c r="G413" s="47"/>
    </row>
    <row r="414" spans="1:7" ht="30.75" thickBot="1" x14ac:dyDescent="0.3">
      <c r="A414" s="125"/>
      <c r="B414" s="54" t="s">
        <v>81</v>
      </c>
      <c r="C414" s="55" t="s">
        <v>82</v>
      </c>
      <c r="D414" s="61" t="s">
        <v>366</v>
      </c>
      <c r="E414" s="64"/>
      <c r="F414" s="61"/>
      <c r="G414" s="58" t="s">
        <v>47</v>
      </c>
    </row>
    <row r="415" spans="1:7" ht="30" x14ac:dyDescent="0.25">
      <c r="A415" s="125"/>
      <c r="B415" s="56" t="s">
        <v>36</v>
      </c>
      <c r="C415" s="45" t="s">
        <v>38</v>
      </c>
      <c r="D415" s="46" t="s">
        <v>368</v>
      </c>
      <c r="E415" s="46"/>
      <c r="F415" s="63"/>
      <c r="G415" s="47"/>
    </row>
    <row r="416" spans="1:7" ht="45" x14ac:dyDescent="0.25">
      <c r="A416" s="125"/>
      <c r="B416" s="103" t="s">
        <v>101</v>
      </c>
      <c r="C416" s="52" t="s">
        <v>40</v>
      </c>
      <c r="D416" s="46" t="s">
        <v>97</v>
      </c>
      <c r="E416" s="50"/>
      <c r="F416" s="46" t="s">
        <v>150</v>
      </c>
      <c r="G416" s="47"/>
    </row>
    <row r="417" spans="1:7" ht="30.75" thickBot="1" x14ac:dyDescent="0.3">
      <c r="A417" s="199"/>
      <c r="B417" s="54" t="s">
        <v>81</v>
      </c>
      <c r="C417" s="55" t="s">
        <v>82</v>
      </c>
      <c r="D417" s="61" t="s">
        <v>110</v>
      </c>
      <c r="E417" s="64"/>
      <c r="F417" s="61"/>
      <c r="G417" s="58" t="s">
        <v>47</v>
      </c>
    </row>
    <row r="418" spans="1:7" ht="59.45" customHeight="1" thickBot="1" x14ac:dyDescent="0.3">
      <c r="A418" s="108" t="str">
        <f>TabellaTest!F37</f>
        <v>TF016.UC01</v>
      </c>
      <c r="B418" s="120" t="str">
        <f>TabellaTest!C37</f>
        <v>PAR. 3.17-035-16</v>
      </c>
      <c r="C418" s="121"/>
      <c r="D418" s="122" t="str">
        <f>TabellaTest!E37</f>
        <v xml:space="preserve">Verifica iscrizione procedimento di Rinvio esecuzione Pena Sostitutiva derivante da Conversione Pene Pecuniarie    </v>
      </c>
      <c r="E418" s="123"/>
      <c r="F418" s="128" t="str">
        <f>TabellaTest!G37</f>
        <v>Verifica: Verificare che nel sottosistema SIUS a seguito iscrizione procedimento con contenuto Rinvio esecuzione Pena Sostitutivaderivante da Conversione Pene Pecuniarie    venga inserito un nuovo procedimento SIUS</v>
      </c>
      <c r="G418" s="130"/>
    </row>
    <row r="419" spans="1:7" ht="30" customHeight="1" x14ac:dyDescent="0.25">
      <c r="A419" s="124"/>
      <c r="B419" s="106" t="s">
        <v>31</v>
      </c>
      <c r="C419" s="44" t="s">
        <v>32</v>
      </c>
      <c r="D419" s="29" t="s">
        <v>33</v>
      </c>
      <c r="E419" s="29" t="s">
        <v>34</v>
      </c>
      <c r="F419" s="29" t="s">
        <v>35</v>
      </c>
      <c r="G419" s="30" t="s">
        <v>10</v>
      </c>
    </row>
    <row r="420" spans="1:7" ht="30" customHeight="1" x14ac:dyDescent="0.25">
      <c r="A420" s="125"/>
      <c r="B420" s="56" t="s">
        <v>36</v>
      </c>
      <c r="C420" s="45" t="s">
        <v>37</v>
      </c>
      <c r="D420" s="46" t="s">
        <v>203</v>
      </c>
      <c r="E420" s="46" t="s">
        <v>91</v>
      </c>
      <c r="F420" s="46"/>
      <c r="G420" s="47"/>
    </row>
    <row r="421" spans="1:7" ht="60" customHeight="1" x14ac:dyDescent="0.25">
      <c r="A421" s="125"/>
      <c r="B421" s="56" t="s">
        <v>36</v>
      </c>
      <c r="C421" s="45" t="s">
        <v>38</v>
      </c>
      <c r="D421" s="46" t="s">
        <v>218</v>
      </c>
      <c r="E421" s="46"/>
      <c r="F421" s="63" t="s">
        <v>205</v>
      </c>
      <c r="G421" s="47"/>
    </row>
    <row r="422" spans="1:7" ht="30" customHeight="1" x14ac:dyDescent="0.25">
      <c r="A422" s="125"/>
      <c r="B422" s="57">
        <v>1</v>
      </c>
      <c r="C422" s="48" t="s">
        <v>39</v>
      </c>
      <c r="D422" s="46" t="s">
        <v>198</v>
      </c>
      <c r="E422" s="50"/>
      <c r="F422" s="46" t="s">
        <v>199</v>
      </c>
      <c r="G422" s="47"/>
    </row>
    <row r="423" spans="1:7" ht="45" x14ac:dyDescent="0.25">
      <c r="A423" s="125"/>
      <c r="B423" s="59">
        <v>2</v>
      </c>
      <c r="C423" s="52" t="s">
        <v>40</v>
      </c>
      <c r="D423" s="46" t="s">
        <v>219</v>
      </c>
      <c r="E423" s="50"/>
      <c r="F423" s="46" t="s">
        <v>220</v>
      </c>
      <c r="G423" s="47"/>
    </row>
    <row r="424" spans="1:7" ht="75" x14ac:dyDescent="0.25">
      <c r="A424" s="125"/>
      <c r="B424" s="89">
        <v>3</v>
      </c>
      <c r="C424" s="90" t="s">
        <v>40</v>
      </c>
      <c r="D424" s="60" t="s">
        <v>375</v>
      </c>
      <c r="E424" s="91"/>
      <c r="F424" s="46" t="s">
        <v>131</v>
      </c>
      <c r="G424" s="53"/>
    </row>
    <row r="425" spans="1:7" ht="105.75" thickBot="1" x14ac:dyDescent="0.3">
      <c r="A425" s="125"/>
      <c r="B425" s="54" t="s">
        <v>81</v>
      </c>
      <c r="C425" s="55" t="s">
        <v>82</v>
      </c>
      <c r="D425" s="60" t="s">
        <v>221</v>
      </c>
      <c r="E425" s="64"/>
      <c r="F425" s="92"/>
      <c r="G425" s="58"/>
    </row>
    <row r="426" spans="1:7" ht="49.9" customHeight="1" thickBot="1" x14ac:dyDescent="0.3">
      <c r="A426" s="107" t="str">
        <f>TabellaTest!F38</f>
        <v>TF016.UC02</v>
      </c>
      <c r="B426" s="120" t="str">
        <f>TabellaTest!C38</f>
        <v>PAR. 3.17-035-16</v>
      </c>
      <c r="C426" s="121"/>
      <c r="D426" s="122" t="str">
        <f>TabellaTest!E38</f>
        <v xml:space="preserve">Verifica emissione decreto di Rinvio esecuzione Pena Sostitutiva derivante da Conversione Pene Pecuniarie     </v>
      </c>
      <c r="E426" s="123"/>
      <c r="F426" s="128" t="str">
        <f>TabellaTest!G38</f>
        <v>Verifica: Verificare nel sottosistema SIUS l'utilizzo della funzione "Decreto Rinvio esecuzione Pena Sostitutiva derivante da Conversione Pene Pecuniarie"</v>
      </c>
      <c r="G426" s="130"/>
    </row>
    <row r="427" spans="1:7" ht="30" customHeight="1" x14ac:dyDescent="0.25">
      <c r="A427" s="124"/>
      <c r="B427" s="69" t="s">
        <v>31</v>
      </c>
      <c r="C427" s="44" t="s">
        <v>32</v>
      </c>
      <c r="D427" s="29" t="s">
        <v>33</v>
      </c>
      <c r="E427" s="29" t="s">
        <v>34</v>
      </c>
      <c r="F427" s="29" t="s">
        <v>35</v>
      </c>
      <c r="G427" s="30" t="s">
        <v>10</v>
      </c>
    </row>
    <row r="428" spans="1:7" ht="45" x14ac:dyDescent="0.25">
      <c r="A428" s="125"/>
      <c r="B428" s="56" t="s">
        <v>36</v>
      </c>
      <c r="C428" s="45" t="s">
        <v>37</v>
      </c>
      <c r="D428" s="46" t="s">
        <v>243</v>
      </c>
      <c r="E428" s="46" t="s">
        <v>91</v>
      </c>
      <c r="F428" s="46"/>
      <c r="G428" s="47"/>
    </row>
    <row r="429" spans="1:7" ht="30" x14ac:dyDescent="0.25">
      <c r="A429" s="125"/>
      <c r="B429" s="57">
        <v>1</v>
      </c>
      <c r="C429" s="48" t="s">
        <v>39</v>
      </c>
      <c r="D429" s="49" t="s">
        <v>176</v>
      </c>
      <c r="E429" s="50"/>
      <c r="F429" s="46" t="s">
        <v>111</v>
      </c>
      <c r="G429" s="47"/>
    </row>
    <row r="430" spans="1:7" ht="30" x14ac:dyDescent="0.25">
      <c r="A430" s="125"/>
      <c r="B430" s="103" t="s">
        <v>108</v>
      </c>
      <c r="C430" s="52" t="s">
        <v>40</v>
      </c>
      <c r="D430" s="46" t="s">
        <v>135</v>
      </c>
      <c r="E430" s="50"/>
      <c r="F430" s="46" t="s">
        <v>177</v>
      </c>
      <c r="G430" s="47"/>
    </row>
    <row r="431" spans="1:7" ht="45" x14ac:dyDescent="0.25">
      <c r="A431" s="125"/>
      <c r="B431" s="103" t="s">
        <v>107</v>
      </c>
      <c r="C431" s="52" t="s">
        <v>40</v>
      </c>
      <c r="D431" s="46" t="s">
        <v>137</v>
      </c>
      <c r="E431" s="50"/>
      <c r="F431" s="46" t="s">
        <v>376</v>
      </c>
      <c r="G431" s="47"/>
    </row>
    <row r="432" spans="1:7" ht="45" x14ac:dyDescent="0.25">
      <c r="A432" s="125"/>
      <c r="B432" s="103" t="s">
        <v>106</v>
      </c>
      <c r="C432" s="52" t="s">
        <v>40</v>
      </c>
      <c r="D432" s="46" t="s">
        <v>259</v>
      </c>
      <c r="E432" s="50"/>
      <c r="F432" s="46" t="s">
        <v>377</v>
      </c>
      <c r="G432" s="47"/>
    </row>
    <row r="433" spans="1:7" ht="30.75" thickBot="1" x14ac:dyDescent="0.3">
      <c r="A433" s="125"/>
      <c r="B433" s="54" t="s">
        <v>81</v>
      </c>
      <c r="C433" s="55" t="s">
        <v>82</v>
      </c>
      <c r="D433" s="61" t="s">
        <v>102</v>
      </c>
      <c r="E433" s="64"/>
      <c r="F433" s="61"/>
      <c r="G433" s="58" t="s">
        <v>47</v>
      </c>
    </row>
    <row r="434" spans="1:7" ht="45" x14ac:dyDescent="0.25">
      <c r="A434" s="125"/>
      <c r="B434" s="56" t="s">
        <v>36</v>
      </c>
      <c r="C434" s="45" t="s">
        <v>38</v>
      </c>
      <c r="D434" s="46" t="s">
        <v>378</v>
      </c>
      <c r="E434" s="46"/>
      <c r="F434" s="63"/>
      <c r="G434" s="47"/>
    </row>
    <row r="435" spans="1:7" ht="45" x14ac:dyDescent="0.25">
      <c r="A435" s="125"/>
      <c r="B435" s="103" t="s">
        <v>104</v>
      </c>
      <c r="C435" s="52" t="s">
        <v>40</v>
      </c>
      <c r="D435" s="46" t="s">
        <v>100</v>
      </c>
      <c r="E435" s="50"/>
      <c r="F435" s="46" t="s">
        <v>99</v>
      </c>
      <c r="G435" s="47"/>
    </row>
    <row r="436" spans="1:7" ht="30.75" thickBot="1" x14ac:dyDescent="0.3">
      <c r="A436" s="125"/>
      <c r="B436" s="54" t="s">
        <v>81</v>
      </c>
      <c r="C436" s="55" t="s">
        <v>82</v>
      </c>
      <c r="D436" s="61" t="s">
        <v>379</v>
      </c>
      <c r="E436" s="64"/>
      <c r="F436" s="61"/>
      <c r="G436" s="58" t="s">
        <v>47</v>
      </c>
    </row>
    <row r="437" spans="1:7" ht="45" x14ac:dyDescent="0.25">
      <c r="A437" s="125"/>
      <c r="B437" s="103" t="s">
        <v>101</v>
      </c>
      <c r="C437" s="52" t="s">
        <v>40</v>
      </c>
      <c r="D437" s="46" t="s">
        <v>97</v>
      </c>
      <c r="E437" s="50"/>
      <c r="F437" s="46" t="s">
        <v>185</v>
      </c>
      <c r="G437" s="47"/>
    </row>
    <row r="438" spans="1:7" ht="30" customHeight="1" thickBot="1" x14ac:dyDescent="0.3">
      <c r="A438" s="125"/>
      <c r="B438" s="54" t="s">
        <v>81</v>
      </c>
      <c r="C438" s="55" t="s">
        <v>82</v>
      </c>
      <c r="D438" s="61" t="s">
        <v>110</v>
      </c>
      <c r="E438" s="64"/>
      <c r="F438" s="61"/>
      <c r="G438" s="58" t="s">
        <v>47</v>
      </c>
    </row>
    <row r="439" spans="1:7" ht="30" customHeight="1" thickBot="1" x14ac:dyDescent="0.3">
      <c r="A439" s="100" t="str">
        <f>TabellaTest!F39</f>
        <v>TF017.UC01</v>
      </c>
      <c r="B439" s="135" t="str">
        <f>TabellaTest!C39</f>
        <v>PAR. 3.18-035-17</v>
      </c>
      <c r="C439" s="129"/>
      <c r="D439" s="141" t="str">
        <f>TabellaTest!E39</f>
        <v>Verifica iscrizione procedimento di Rinvio esecuzione Pena Sostitutiva derivante da Conversione Pene Pecuniarie  (TDS)</v>
      </c>
      <c r="E439" s="142"/>
      <c r="F439" s="128" t="str">
        <f>TabellaTest!G39</f>
        <v>Verifica: Verificare che nel sottosistema SIUS a seguito iscrizione procedimento con contenuto Rinvio esecuzione Pena Sostitutiva derivante da Conversione Pene Pecuniarie   venga inserito un nuovo procedimento SIUS</v>
      </c>
      <c r="G439" s="130"/>
    </row>
    <row r="440" spans="1:7" ht="30" x14ac:dyDescent="0.25">
      <c r="A440" s="124"/>
      <c r="B440" s="35" t="s">
        <v>31</v>
      </c>
      <c r="C440" s="32" t="s">
        <v>32</v>
      </c>
      <c r="D440" s="104" t="s">
        <v>33</v>
      </c>
      <c r="E440" s="104" t="s">
        <v>34</v>
      </c>
      <c r="F440" s="29" t="s">
        <v>35</v>
      </c>
      <c r="G440" s="30" t="s">
        <v>10</v>
      </c>
    </row>
    <row r="441" spans="1:7" ht="30" customHeight="1" x14ac:dyDescent="0.25">
      <c r="A441" s="125"/>
      <c r="B441" s="56" t="s">
        <v>36</v>
      </c>
      <c r="C441" s="45" t="s">
        <v>37</v>
      </c>
      <c r="D441" s="46" t="s">
        <v>300</v>
      </c>
      <c r="E441" s="46" t="s">
        <v>362</v>
      </c>
      <c r="F441" s="46"/>
      <c r="G441" s="47"/>
    </row>
    <row r="442" spans="1:7" ht="60" customHeight="1" x14ac:dyDescent="0.25">
      <c r="A442" s="125"/>
      <c r="B442" s="56" t="s">
        <v>36</v>
      </c>
      <c r="C442" s="45" t="s">
        <v>38</v>
      </c>
      <c r="D442" s="46" t="s">
        <v>363</v>
      </c>
      <c r="E442" s="46"/>
      <c r="F442" s="63"/>
      <c r="G442" s="47"/>
    </row>
    <row r="443" spans="1:7" ht="30" customHeight="1" x14ac:dyDescent="0.25">
      <c r="A443" s="125"/>
      <c r="B443" s="57">
        <v>1</v>
      </c>
      <c r="C443" s="48" t="s">
        <v>39</v>
      </c>
      <c r="D443" s="46" t="s">
        <v>302</v>
      </c>
      <c r="E443" s="50"/>
      <c r="F443" s="46" t="s">
        <v>303</v>
      </c>
      <c r="G443" s="47"/>
    </row>
    <row r="444" spans="1:7" ht="45" x14ac:dyDescent="0.25">
      <c r="A444" s="125"/>
      <c r="B444" s="59">
        <v>2</v>
      </c>
      <c r="C444" s="52" t="s">
        <v>40</v>
      </c>
      <c r="D444" s="46" t="s">
        <v>304</v>
      </c>
      <c r="E444" s="50"/>
      <c r="F444" s="63" t="s">
        <v>205</v>
      </c>
      <c r="G444" s="47"/>
    </row>
    <row r="445" spans="1:7" ht="30" x14ac:dyDescent="0.25">
      <c r="A445" s="125"/>
      <c r="B445" s="59">
        <v>3</v>
      </c>
      <c r="C445" s="52" t="s">
        <v>40</v>
      </c>
      <c r="D445" s="46" t="s">
        <v>305</v>
      </c>
      <c r="E445" s="50"/>
      <c r="F445" s="46" t="s">
        <v>306</v>
      </c>
      <c r="G445" s="47"/>
    </row>
    <row r="446" spans="1:7" ht="75" x14ac:dyDescent="0.25">
      <c r="A446" s="125"/>
      <c r="B446" s="89">
        <v>4</v>
      </c>
      <c r="C446" s="90" t="s">
        <v>40</v>
      </c>
      <c r="D446" s="60" t="s">
        <v>386</v>
      </c>
      <c r="E446" s="91"/>
      <c r="F446" s="46" t="s">
        <v>131</v>
      </c>
      <c r="G446" s="53"/>
    </row>
    <row r="447" spans="1:7" ht="90.75" thickBot="1" x14ac:dyDescent="0.3">
      <c r="A447" s="125"/>
      <c r="B447" s="54" t="s">
        <v>81</v>
      </c>
      <c r="C447" s="55" t="s">
        <v>82</v>
      </c>
      <c r="D447" s="60" t="s">
        <v>308</v>
      </c>
      <c r="E447" s="64"/>
      <c r="F447" s="92"/>
      <c r="G447" s="58"/>
    </row>
    <row r="448" spans="1:7" ht="58.9" customHeight="1" thickBot="1" x14ac:dyDescent="0.3">
      <c r="A448" s="100" t="str">
        <f>TabellaTest!F40</f>
        <v>TF017.UC02</v>
      </c>
      <c r="B448" s="135" t="str">
        <f>TabellaTest!C40</f>
        <v>PAR. 3.18-035-17</v>
      </c>
      <c r="C448" s="127"/>
      <c r="D448" s="128" t="str">
        <f>TabellaTest!E40</f>
        <v>Verifica emissione ordinanza di Rinvio esecuzione Pena Sostitutiva derivante da Conversione Pene Pecuniarie   (TDS)</v>
      </c>
      <c r="E448" s="129"/>
      <c r="F448" s="128" t="str">
        <f>TabellaTest!G40</f>
        <v>Verifica: Verificare nel sottosistema SIUS l'utilizzo della funzione "Ordinanza Rinvio esecuzione Pena Sostitutiva derivante da Conversione Pene Pecuniarie"</v>
      </c>
      <c r="G448" s="130"/>
    </row>
    <row r="449" spans="1:7" s="113" customFormat="1" ht="30" x14ac:dyDescent="0.25">
      <c r="A449" s="205"/>
      <c r="B449" s="35" t="s">
        <v>31</v>
      </c>
      <c r="C449" s="32" t="s">
        <v>32</v>
      </c>
      <c r="D449" s="104" t="s">
        <v>33</v>
      </c>
      <c r="E449" s="104" t="s">
        <v>34</v>
      </c>
      <c r="F449" s="29" t="s">
        <v>35</v>
      </c>
      <c r="G449" s="30" t="s">
        <v>10</v>
      </c>
    </row>
    <row r="450" spans="1:7" ht="30" x14ac:dyDescent="0.25">
      <c r="A450" s="206"/>
      <c r="B450" s="56" t="s">
        <v>36</v>
      </c>
      <c r="C450" s="45" t="s">
        <v>37</v>
      </c>
      <c r="D450" s="46" t="s">
        <v>300</v>
      </c>
      <c r="E450" s="46" t="s">
        <v>362</v>
      </c>
      <c r="F450" s="46"/>
      <c r="G450" s="47"/>
    </row>
    <row r="451" spans="1:7" ht="60" customHeight="1" x14ac:dyDescent="0.25">
      <c r="A451" s="206"/>
      <c r="B451" s="56" t="s">
        <v>36</v>
      </c>
      <c r="C451" s="45" t="s">
        <v>38</v>
      </c>
      <c r="D451" s="46" t="s">
        <v>309</v>
      </c>
      <c r="E451" s="46"/>
      <c r="F451" s="63" t="s">
        <v>205</v>
      </c>
      <c r="G451" s="47"/>
    </row>
    <row r="452" spans="1:7" ht="30" x14ac:dyDescent="0.25">
      <c r="A452" s="206"/>
      <c r="B452" s="57">
        <v>1</v>
      </c>
      <c r="C452" s="48" t="s">
        <v>39</v>
      </c>
      <c r="D452" s="49" t="s">
        <v>134</v>
      </c>
      <c r="E452" s="50"/>
      <c r="F452" s="46" t="s">
        <v>111</v>
      </c>
      <c r="G452" s="47"/>
    </row>
    <row r="453" spans="1:7" ht="30" x14ac:dyDescent="0.25">
      <c r="A453" s="206"/>
      <c r="B453" s="103" t="s">
        <v>108</v>
      </c>
      <c r="C453" s="52" t="s">
        <v>40</v>
      </c>
      <c r="D453" s="46" t="s">
        <v>135</v>
      </c>
      <c r="E453" s="50"/>
      <c r="F453" s="46" t="s">
        <v>136</v>
      </c>
      <c r="G453" s="47"/>
    </row>
    <row r="454" spans="1:7" ht="60" x14ac:dyDescent="0.25">
      <c r="A454" s="206"/>
      <c r="B454" s="103" t="s">
        <v>107</v>
      </c>
      <c r="C454" s="52" t="s">
        <v>40</v>
      </c>
      <c r="D454" s="46" t="s">
        <v>137</v>
      </c>
      <c r="E454" s="50"/>
      <c r="F454" s="46" t="s">
        <v>388</v>
      </c>
      <c r="G454" s="47"/>
    </row>
    <row r="455" spans="1:7" ht="75" x14ac:dyDescent="0.25">
      <c r="A455" s="206"/>
      <c r="B455" s="103" t="s">
        <v>106</v>
      </c>
      <c r="C455" s="52" t="s">
        <v>40</v>
      </c>
      <c r="D455" s="46" t="s">
        <v>311</v>
      </c>
      <c r="E455" s="50"/>
      <c r="F455" s="46" t="s">
        <v>389</v>
      </c>
      <c r="G455" s="47"/>
    </row>
    <row r="456" spans="1:7" ht="30.75" thickBot="1" x14ac:dyDescent="0.3">
      <c r="A456" s="206"/>
      <c r="B456" s="54" t="s">
        <v>81</v>
      </c>
      <c r="C456" s="55" t="s">
        <v>82</v>
      </c>
      <c r="D456" s="61" t="s">
        <v>102</v>
      </c>
      <c r="E456" s="64"/>
      <c r="F456" s="61"/>
      <c r="G456" s="58" t="s">
        <v>47</v>
      </c>
    </row>
    <row r="457" spans="1:7" ht="45" x14ac:dyDescent="0.25">
      <c r="A457" s="206"/>
      <c r="B457" s="56" t="s">
        <v>36</v>
      </c>
      <c r="C457" s="45" t="s">
        <v>38</v>
      </c>
      <c r="D457" s="46" t="s">
        <v>390</v>
      </c>
      <c r="E457" s="46"/>
      <c r="F457" s="63"/>
      <c r="G457" s="47"/>
    </row>
    <row r="458" spans="1:7" ht="45" x14ac:dyDescent="0.25">
      <c r="A458" s="206"/>
      <c r="B458" s="103" t="s">
        <v>104</v>
      </c>
      <c r="C458" s="52" t="s">
        <v>40</v>
      </c>
      <c r="D458" s="46" t="s">
        <v>100</v>
      </c>
      <c r="E458" s="50"/>
      <c r="F458" s="46" t="s">
        <v>99</v>
      </c>
      <c r="G458" s="47"/>
    </row>
    <row r="459" spans="1:7" ht="30.75" thickBot="1" x14ac:dyDescent="0.3">
      <c r="A459" s="206"/>
      <c r="B459" s="54" t="s">
        <v>81</v>
      </c>
      <c r="C459" s="55" t="s">
        <v>82</v>
      </c>
      <c r="D459" s="61" t="s">
        <v>387</v>
      </c>
      <c r="E459" s="64"/>
      <c r="F459" s="61"/>
      <c r="G459" s="58" t="s">
        <v>47</v>
      </c>
    </row>
    <row r="460" spans="1:7" ht="45" x14ac:dyDescent="0.25">
      <c r="A460" s="206"/>
      <c r="B460" s="56" t="s">
        <v>36</v>
      </c>
      <c r="C460" s="45" t="s">
        <v>38</v>
      </c>
      <c r="D460" s="46" t="s">
        <v>391</v>
      </c>
      <c r="E460" s="46"/>
      <c r="F460" s="63"/>
      <c r="G460" s="47"/>
    </row>
    <row r="461" spans="1:7" ht="45" x14ac:dyDescent="0.25">
      <c r="A461" s="206"/>
      <c r="B461" s="103" t="s">
        <v>101</v>
      </c>
      <c r="C461" s="52" t="s">
        <v>40</v>
      </c>
      <c r="D461" s="46" t="s">
        <v>97</v>
      </c>
      <c r="E461" s="50"/>
      <c r="F461" s="46" t="s">
        <v>150</v>
      </c>
      <c r="G461" s="47"/>
    </row>
    <row r="462" spans="1:7" ht="30.75" thickBot="1" x14ac:dyDescent="0.3">
      <c r="A462" s="207"/>
      <c r="B462" s="54" t="s">
        <v>81</v>
      </c>
      <c r="C462" s="55" t="s">
        <v>82</v>
      </c>
      <c r="D462" s="61" t="s">
        <v>110</v>
      </c>
      <c r="E462" s="64"/>
      <c r="F462" s="61"/>
      <c r="G462" s="58" t="s">
        <v>47</v>
      </c>
    </row>
    <row r="463" spans="1:7" ht="30" customHeight="1" thickBot="1" x14ac:dyDescent="0.3">
      <c r="A463" s="67" t="str">
        <f>TabellaTest!F41</f>
        <v>TF018.UC01</v>
      </c>
      <c r="B463" s="135" t="str">
        <f>TabellaTest!C41</f>
        <v>PAR. 3.20-035-18</v>
      </c>
      <c r="C463" s="129"/>
      <c r="D463" s="136" t="str">
        <f>TabellaTest!E41</f>
        <v xml:space="preserve">Verifica iscrizione procedimento di Sopravvenienza nuovo Titolo - pene sostitutive </v>
      </c>
      <c r="E463" s="137"/>
      <c r="F463" s="128" t="str">
        <f>TabellaTest!G41</f>
        <v>Verifica: Verificare che nel sottosistema SIUS a seguito iscrizione procedimento con contenuto Sopravvenienza nuovo Titolo - pene sostitutive venga inserito un nuovo procedimento SIUS</v>
      </c>
      <c r="G463" s="130"/>
    </row>
    <row r="464" spans="1:7" ht="30" x14ac:dyDescent="0.25">
      <c r="A464" s="124"/>
      <c r="B464" s="35" t="s">
        <v>31</v>
      </c>
      <c r="C464" s="32" t="s">
        <v>32</v>
      </c>
      <c r="D464" s="29" t="s">
        <v>33</v>
      </c>
      <c r="E464" s="29" t="s">
        <v>34</v>
      </c>
      <c r="F464" s="29" t="s">
        <v>35</v>
      </c>
      <c r="G464" s="30" t="s">
        <v>10</v>
      </c>
    </row>
    <row r="465" spans="1:7" ht="30" customHeight="1" x14ac:dyDescent="0.25">
      <c r="A465" s="131"/>
      <c r="B465" s="56" t="s">
        <v>36</v>
      </c>
      <c r="C465" s="45" t="s">
        <v>37</v>
      </c>
      <c r="D465" s="46" t="s">
        <v>203</v>
      </c>
      <c r="E465" s="46" t="s">
        <v>91</v>
      </c>
      <c r="F465" s="46"/>
      <c r="G465" s="47"/>
    </row>
    <row r="466" spans="1:7" ht="60" customHeight="1" x14ac:dyDescent="0.25">
      <c r="A466" s="131"/>
      <c r="B466" s="56" t="s">
        <v>36</v>
      </c>
      <c r="C466" s="45" t="s">
        <v>38</v>
      </c>
      <c r="D466" s="46" t="s">
        <v>218</v>
      </c>
      <c r="E466" s="46"/>
      <c r="F466" s="63" t="s">
        <v>205</v>
      </c>
      <c r="G466" s="47"/>
    </row>
    <row r="467" spans="1:7" ht="30" customHeight="1" x14ac:dyDescent="0.25">
      <c r="A467" s="131"/>
      <c r="B467" s="57">
        <v>1</v>
      </c>
      <c r="C467" s="48" t="s">
        <v>39</v>
      </c>
      <c r="D467" s="46" t="s">
        <v>198</v>
      </c>
      <c r="E467" s="50"/>
      <c r="F467" s="46" t="s">
        <v>199</v>
      </c>
      <c r="G467" s="47"/>
    </row>
    <row r="468" spans="1:7" ht="45" x14ac:dyDescent="0.25">
      <c r="A468" s="131"/>
      <c r="B468" s="59">
        <v>2</v>
      </c>
      <c r="C468" s="52" t="s">
        <v>40</v>
      </c>
      <c r="D468" s="46" t="s">
        <v>219</v>
      </c>
      <c r="E468" s="50"/>
      <c r="F468" s="46" t="s">
        <v>220</v>
      </c>
      <c r="G468" s="47"/>
    </row>
    <row r="469" spans="1:7" ht="75" x14ac:dyDescent="0.25">
      <c r="A469" s="131"/>
      <c r="B469" s="89">
        <v>3</v>
      </c>
      <c r="C469" s="90" t="s">
        <v>40</v>
      </c>
      <c r="D469" s="60" t="s">
        <v>399</v>
      </c>
      <c r="E469" s="91"/>
      <c r="F469" s="46" t="s">
        <v>131</v>
      </c>
      <c r="G469" s="53"/>
    </row>
    <row r="470" spans="1:7" ht="105.75" thickBot="1" x14ac:dyDescent="0.3">
      <c r="A470" s="132"/>
      <c r="B470" s="54" t="s">
        <v>81</v>
      </c>
      <c r="C470" s="55" t="s">
        <v>82</v>
      </c>
      <c r="D470" s="60" t="s">
        <v>221</v>
      </c>
      <c r="E470" s="64"/>
      <c r="F470" s="92"/>
      <c r="G470" s="58"/>
    </row>
    <row r="471" spans="1:7" ht="45" customHeight="1" thickBot="1" x14ac:dyDescent="0.3">
      <c r="A471" s="67" t="str">
        <f>TabellaTest!F42</f>
        <v>TF018.UC02</v>
      </c>
      <c r="B471" s="126" t="str">
        <f>TabellaTest!C42</f>
        <v>PAR. 3.20-035-18</v>
      </c>
      <c r="C471" s="127"/>
      <c r="D471" s="128" t="str">
        <f>TabellaTest!E42</f>
        <v>Verifica emissione ordinanza di Sopravvenienza nuovo Titolo - pene sostitutive</v>
      </c>
      <c r="E471" s="129"/>
      <c r="F471" s="128" t="str">
        <f>TabellaTest!G42</f>
        <v>Verifica: Verificare nel sottosistema SIUS l'utilizzo della funzione "Ordinanza Sopravvenienza nuovo Titolo - pene sostitutive"</v>
      </c>
      <c r="G471" s="130"/>
    </row>
    <row r="472" spans="1:7" ht="30" x14ac:dyDescent="0.25">
      <c r="A472" s="124"/>
      <c r="B472" s="35" t="s">
        <v>31</v>
      </c>
      <c r="C472" s="32" t="s">
        <v>32</v>
      </c>
      <c r="D472" s="29" t="s">
        <v>33</v>
      </c>
      <c r="E472" s="29" t="s">
        <v>34</v>
      </c>
      <c r="F472" s="29" t="s">
        <v>35</v>
      </c>
      <c r="G472" s="30" t="s">
        <v>10</v>
      </c>
    </row>
    <row r="473" spans="1:7" ht="45" x14ac:dyDescent="0.25">
      <c r="A473" s="131"/>
      <c r="B473" s="56" t="s">
        <v>36</v>
      </c>
      <c r="C473" s="45" t="s">
        <v>37</v>
      </c>
      <c r="D473" s="46" t="s">
        <v>272</v>
      </c>
      <c r="E473" s="46" t="s">
        <v>91</v>
      </c>
      <c r="F473" s="46"/>
      <c r="G473" s="47"/>
    </row>
    <row r="474" spans="1:7" ht="30" x14ac:dyDescent="0.25">
      <c r="A474" s="131"/>
      <c r="B474" s="57">
        <v>1</v>
      </c>
      <c r="C474" s="48" t="s">
        <v>39</v>
      </c>
      <c r="D474" s="49" t="s">
        <v>134</v>
      </c>
      <c r="E474" s="50"/>
      <c r="F474" s="46" t="s">
        <v>111</v>
      </c>
      <c r="G474" s="47"/>
    </row>
    <row r="475" spans="1:7" ht="30" x14ac:dyDescent="0.25">
      <c r="A475" s="131"/>
      <c r="B475" s="103" t="s">
        <v>109</v>
      </c>
      <c r="C475" s="52" t="s">
        <v>40</v>
      </c>
      <c r="D475" s="46" t="s">
        <v>135</v>
      </c>
      <c r="E475" s="50"/>
      <c r="F475" s="46" t="s">
        <v>136</v>
      </c>
      <c r="G475" s="47"/>
    </row>
    <row r="476" spans="1:7" ht="45" x14ac:dyDescent="0.25">
      <c r="A476" s="131"/>
      <c r="B476" s="103" t="s">
        <v>108</v>
      </c>
      <c r="C476" s="52" t="s">
        <v>40</v>
      </c>
      <c r="D476" s="46" t="s">
        <v>137</v>
      </c>
      <c r="E476" s="50"/>
      <c r="F476" s="46" t="s">
        <v>400</v>
      </c>
      <c r="G476" s="47"/>
    </row>
    <row r="477" spans="1:7" ht="60" x14ac:dyDescent="0.25">
      <c r="A477" s="131"/>
      <c r="B477" s="103" t="s">
        <v>107</v>
      </c>
      <c r="C477" s="52" t="s">
        <v>40</v>
      </c>
      <c r="D477" s="46" t="s">
        <v>405</v>
      </c>
      <c r="E477" s="50"/>
      <c r="F477" s="46" t="s">
        <v>401</v>
      </c>
      <c r="G477" s="47"/>
    </row>
    <row r="478" spans="1:7" ht="30.75" thickBot="1" x14ac:dyDescent="0.3">
      <c r="A478" s="131"/>
      <c r="B478" s="54" t="s">
        <v>81</v>
      </c>
      <c r="C478" s="55" t="s">
        <v>82</v>
      </c>
      <c r="D478" s="61" t="s">
        <v>102</v>
      </c>
      <c r="E478" s="64"/>
      <c r="F478" s="61"/>
      <c r="G478" s="58" t="s">
        <v>47</v>
      </c>
    </row>
    <row r="479" spans="1:7" ht="45" x14ac:dyDescent="0.25">
      <c r="A479" s="131"/>
      <c r="B479" s="56" t="s">
        <v>36</v>
      </c>
      <c r="C479" s="45" t="s">
        <v>38</v>
      </c>
      <c r="D479" s="46" t="s">
        <v>402</v>
      </c>
      <c r="E479" s="46"/>
      <c r="F479" s="63"/>
      <c r="G479" s="47"/>
    </row>
    <row r="480" spans="1:7" ht="45" x14ac:dyDescent="0.25">
      <c r="A480" s="131"/>
      <c r="B480" s="103" t="s">
        <v>101</v>
      </c>
      <c r="C480" s="52" t="s">
        <v>40</v>
      </c>
      <c r="D480" s="46" t="s">
        <v>100</v>
      </c>
      <c r="E480" s="50"/>
      <c r="F480" s="46" t="s">
        <v>99</v>
      </c>
      <c r="G480" s="47"/>
    </row>
    <row r="481" spans="1:7" ht="30.75" thickBot="1" x14ac:dyDescent="0.3">
      <c r="A481" s="131"/>
      <c r="B481" s="54" t="s">
        <v>81</v>
      </c>
      <c r="C481" s="55" t="s">
        <v>82</v>
      </c>
      <c r="D481" s="61" t="s">
        <v>403</v>
      </c>
      <c r="E481" s="64"/>
      <c r="F481" s="61"/>
      <c r="G481" s="58" t="s">
        <v>47</v>
      </c>
    </row>
    <row r="482" spans="1:7" ht="45" x14ac:dyDescent="0.25">
      <c r="A482" s="131"/>
      <c r="B482" s="56" t="s">
        <v>36</v>
      </c>
      <c r="C482" s="45" t="s">
        <v>38</v>
      </c>
      <c r="D482" s="46" t="s">
        <v>402</v>
      </c>
      <c r="E482" s="46"/>
      <c r="F482" s="63"/>
      <c r="G482" s="47"/>
    </row>
    <row r="483" spans="1:7" ht="30" customHeight="1" x14ac:dyDescent="0.25">
      <c r="A483" s="131"/>
      <c r="B483" s="103" t="s">
        <v>98</v>
      </c>
      <c r="C483" s="52" t="s">
        <v>40</v>
      </c>
      <c r="D483" s="46" t="s">
        <v>146</v>
      </c>
      <c r="E483" s="50"/>
      <c r="F483" s="46" t="s">
        <v>147</v>
      </c>
      <c r="G483" s="47"/>
    </row>
    <row r="484" spans="1:7" ht="30" customHeight="1" x14ac:dyDescent="0.25">
      <c r="A484" s="131"/>
      <c r="B484" s="103" t="s">
        <v>96</v>
      </c>
      <c r="C484" s="52" t="s">
        <v>40</v>
      </c>
      <c r="D484" s="46" t="s">
        <v>112</v>
      </c>
      <c r="E484" s="50"/>
      <c r="F484" s="46" t="s">
        <v>148</v>
      </c>
      <c r="G484" s="47"/>
    </row>
    <row r="485" spans="1:7" ht="30" customHeight="1" thickBot="1" x14ac:dyDescent="0.3">
      <c r="A485" s="132"/>
      <c r="B485" s="54" t="s">
        <v>81</v>
      </c>
      <c r="C485" s="55" t="s">
        <v>82</v>
      </c>
      <c r="D485" s="61" t="s">
        <v>172</v>
      </c>
      <c r="E485" s="64"/>
      <c r="F485" s="61"/>
      <c r="G485" s="58" t="s">
        <v>47</v>
      </c>
    </row>
    <row r="486" spans="1:7" ht="30" customHeight="1" thickBot="1" x14ac:dyDescent="0.3">
      <c r="A486" s="67" t="str">
        <f>TabellaTest!F43</f>
        <v>TF018.UC03</v>
      </c>
      <c r="B486" s="135" t="str">
        <f>TabellaTest!C43</f>
        <v>PAR. 3.20-035-18</v>
      </c>
      <c r="C486" s="129"/>
      <c r="D486" s="136" t="str">
        <f>TabellaTest!E43</f>
        <v>Verifica emissione decreto di Sopravvenienza nuovo Titolo - pene sostitutive</v>
      </c>
      <c r="E486" s="137"/>
      <c r="F486" s="128" t="str">
        <f>TabellaTest!G43</f>
        <v>Verifica: Verificare nel sottosistema SIUS l'utilizzo della funzione "Decreto Sopravvenienza nuovo Titolo - pene sostitutive"</v>
      </c>
      <c r="G486" s="130"/>
    </row>
    <row r="487" spans="1:7" ht="30" x14ac:dyDescent="0.25">
      <c r="A487" s="124"/>
      <c r="B487" s="35" t="s">
        <v>31</v>
      </c>
      <c r="C487" s="32" t="s">
        <v>32</v>
      </c>
      <c r="D487" s="29" t="s">
        <v>33</v>
      </c>
      <c r="E487" s="29" t="s">
        <v>34</v>
      </c>
      <c r="F487" s="29" t="s">
        <v>35</v>
      </c>
      <c r="G487" s="30" t="s">
        <v>10</v>
      </c>
    </row>
    <row r="488" spans="1:7" ht="45" x14ac:dyDescent="0.25">
      <c r="A488" s="131"/>
      <c r="B488" s="56" t="s">
        <v>36</v>
      </c>
      <c r="C488" s="45" t="s">
        <v>37</v>
      </c>
      <c r="D488" s="46" t="s">
        <v>232</v>
      </c>
      <c r="E488" s="46" t="s">
        <v>91</v>
      </c>
      <c r="F488" s="46"/>
      <c r="G488" s="47"/>
    </row>
    <row r="489" spans="1:7" ht="30" x14ac:dyDescent="0.25">
      <c r="A489" s="131"/>
      <c r="B489" s="57">
        <v>1</v>
      </c>
      <c r="C489" s="48" t="s">
        <v>39</v>
      </c>
      <c r="D489" s="49" t="s">
        <v>176</v>
      </c>
      <c r="E489" s="50"/>
      <c r="F489" s="46" t="s">
        <v>111</v>
      </c>
      <c r="G489" s="47"/>
    </row>
    <row r="490" spans="1:7" ht="30" x14ac:dyDescent="0.25">
      <c r="A490" s="131"/>
      <c r="B490" s="103" t="s">
        <v>108</v>
      </c>
      <c r="C490" s="52" t="s">
        <v>40</v>
      </c>
      <c r="D490" s="46" t="s">
        <v>135</v>
      </c>
      <c r="E490" s="50"/>
      <c r="F490" s="46" t="s">
        <v>177</v>
      </c>
      <c r="G490" s="47"/>
    </row>
    <row r="491" spans="1:7" ht="45" x14ac:dyDescent="0.25">
      <c r="A491" s="131"/>
      <c r="B491" s="103" t="s">
        <v>107</v>
      </c>
      <c r="C491" s="52" t="s">
        <v>40</v>
      </c>
      <c r="D491" s="46" t="s">
        <v>137</v>
      </c>
      <c r="E491" s="50"/>
      <c r="F491" s="46" t="s">
        <v>404</v>
      </c>
      <c r="G491" s="47"/>
    </row>
    <row r="492" spans="1:7" ht="60" x14ac:dyDescent="0.25">
      <c r="A492" s="131"/>
      <c r="B492" s="103" t="s">
        <v>106</v>
      </c>
      <c r="C492" s="52" t="s">
        <v>40</v>
      </c>
      <c r="D492" s="46" t="s">
        <v>405</v>
      </c>
      <c r="E492" s="50"/>
      <c r="F492" s="46" t="s">
        <v>279</v>
      </c>
      <c r="G492" s="47"/>
    </row>
    <row r="493" spans="1:7" ht="30.75" thickBot="1" x14ac:dyDescent="0.3">
      <c r="A493" s="131"/>
      <c r="B493" s="54" t="s">
        <v>81</v>
      </c>
      <c r="C493" s="55" t="s">
        <v>82</v>
      </c>
      <c r="D493" s="61" t="s">
        <v>102</v>
      </c>
      <c r="E493" s="64"/>
      <c r="F493" s="61"/>
      <c r="G493" s="58" t="s">
        <v>47</v>
      </c>
    </row>
    <row r="494" spans="1:7" ht="30" x14ac:dyDescent="0.25">
      <c r="A494" s="131"/>
      <c r="B494" s="56" t="s">
        <v>36</v>
      </c>
      <c r="C494" s="45" t="s">
        <v>38</v>
      </c>
      <c r="D494" s="46" t="s">
        <v>406</v>
      </c>
      <c r="E494" s="46"/>
      <c r="F494" s="63"/>
      <c r="G494" s="47"/>
    </row>
    <row r="495" spans="1:7" ht="45" x14ac:dyDescent="0.25">
      <c r="A495" s="131"/>
      <c r="B495" s="103" t="s">
        <v>104</v>
      </c>
      <c r="C495" s="52" t="s">
        <v>40</v>
      </c>
      <c r="D495" s="46" t="s">
        <v>100</v>
      </c>
      <c r="E495" s="50"/>
      <c r="F495" s="46" t="s">
        <v>99</v>
      </c>
      <c r="G495" s="47"/>
    </row>
    <row r="496" spans="1:7" ht="30.75" thickBot="1" x14ac:dyDescent="0.3">
      <c r="A496" s="131"/>
      <c r="B496" s="54" t="s">
        <v>81</v>
      </c>
      <c r="C496" s="55" t="s">
        <v>82</v>
      </c>
      <c r="D496" s="61" t="s">
        <v>407</v>
      </c>
      <c r="E496" s="64"/>
      <c r="F496" s="61"/>
      <c r="G496" s="58" t="s">
        <v>47</v>
      </c>
    </row>
    <row r="497" spans="1:7" ht="45" x14ac:dyDescent="0.25">
      <c r="A497" s="131"/>
      <c r="B497" s="103" t="s">
        <v>101</v>
      </c>
      <c r="C497" s="52" t="s">
        <v>40</v>
      </c>
      <c r="D497" s="46" t="s">
        <v>97</v>
      </c>
      <c r="E497" s="50"/>
      <c r="F497" s="46" t="s">
        <v>185</v>
      </c>
      <c r="G497" s="47"/>
    </row>
    <row r="498" spans="1:7" ht="30" customHeight="1" thickBot="1" x14ac:dyDescent="0.3">
      <c r="A498" s="132"/>
      <c r="B498" s="54" t="s">
        <v>81</v>
      </c>
      <c r="C498" s="55" t="s">
        <v>82</v>
      </c>
      <c r="D498" s="61" t="s">
        <v>110</v>
      </c>
      <c r="E498" s="64"/>
      <c r="F498" s="61"/>
      <c r="G498" s="58" t="s">
        <v>47</v>
      </c>
    </row>
    <row r="499" spans="1:7" ht="49.15" customHeight="1" thickBot="1" x14ac:dyDescent="0.3">
      <c r="A499" s="67" t="str">
        <f>TabellaTest!F44</f>
        <v>TF019.UC01</v>
      </c>
      <c r="B499" s="135" t="str">
        <f>TabellaTest!C44</f>
        <v>PAR. 3.25-035-19</v>
      </c>
      <c r="C499" s="129"/>
      <c r="D499" s="136" t="str">
        <f>TabellaTest!E44</f>
        <v>Verifica iscrizione procedimento di Rateizzazione Pena Pecuniaria</v>
      </c>
      <c r="E499" s="137"/>
      <c r="F499" s="128" t="str">
        <f>TabellaTest!G44</f>
        <v>Verifica: Verificare che nel sottosistema SIUS a seguito iscrizione procedimento con contenuto Rateizzazione Pena Pecuniaria venga inserito un nuovo procedimento SIUS</v>
      </c>
      <c r="G499" s="130"/>
    </row>
    <row r="500" spans="1:7" ht="30" x14ac:dyDescent="0.25">
      <c r="A500" s="124"/>
      <c r="B500" s="35" t="s">
        <v>31</v>
      </c>
      <c r="C500" s="32" t="s">
        <v>32</v>
      </c>
      <c r="D500" s="29" t="s">
        <v>33</v>
      </c>
      <c r="E500" s="29" t="s">
        <v>34</v>
      </c>
      <c r="F500" s="29" t="s">
        <v>35</v>
      </c>
      <c r="G500" s="30" t="s">
        <v>10</v>
      </c>
    </row>
    <row r="501" spans="1:7" ht="30" customHeight="1" x14ac:dyDescent="0.25">
      <c r="A501" s="131"/>
      <c r="B501" s="56" t="s">
        <v>36</v>
      </c>
      <c r="C501" s="45" t="s">
        <v>37</v>
      </c>
      <c r="D501" s="46" t="s">
        <v>203</v>
      </c>
      <c r="E501" s="46" t="s">
        <v>91</v>
      </c>
      <c r="F501" s="46"/>
      <c r="G501" s="47"/>
    </row>
    <row r="502" spans="1:7" ht="60" customHeight="1" x14ac:dyDescent="0.25">
      <c r="A502" s="131"/>
      <c r="B502" s="56" t="s">
        <v>36</v>
      </c>
      <c r="C502" s="45" t="s">
        <v>38</v>
      </c>
      <c r="D502" s="46" t="s">
        <v>218</v>
      </c>
      <c r="E502" s="46"/>
      <c r="F502" s="63" t="s">
        <v>205</v>
      </c>
      <c r="G502" s="47"/>
    </row>
    <row r="503" spans="1:7" ht="30" customHeight="1" x14ac:dyDescent="0.25">
      <c r="A503" s="131"/>
      <c r="B503" s="57">
        <v>1</v>
      </c>
      <c r="C503" s="48" t="s">
        <v>39</v>
      </c>
      <c r="D503" s="46" t="s">
        <v>198</v>
      </c>
      <c r="E503" s="50"/>
      <c r="F503" s="46" t="s">
        <v>199</v>
      </c>
      <c r="G503" s="47"/>
    </row>
    <row r="504" spans="1:7" ht="45" x14ac:dyDescent="0.25">
      <c r="A504" s="131"/>
      <c r="B504" s="59">
        <v>2</v>
      </c>
      <c r="C504" s="52" t="s">
        <v>40</v>
      </c>
      <c r="D504" s="46" t="s">
        <v>219</v>
      </c>
      <c r="E504" s="50"/>
      <c r="F504" s="46" t="s">
        <v>220</v>
      </c>
      <c r="G504" s="47"/>
    </row>
    <row r="505" spans="1:7" ht="60" x14ac:dyDescent="0.25">
      <c r="A505" s="131"/>
      <c r="B505" s="89">
        <v>3</v>
      </c>
      <c r="C505" s="90" t="s">
        <v>40</v>
      </c>
      <c r="D505" s="60" t="s">
        <v>432</v>
      </c>
      <c r="E505" s="91"/>
      <c r="F505" s="46" t="s">
        <v>131</v>
      </c>
      <c r="G505" s="53"/>
    </row>
    <row r="506" spans="1:7" ht="105.75" thickBot="1" x14ac:dyDescent="0.3">
      <c r="A506" s="132"/>
      <c r="B506" s="54" t="s">
        <v>81</v>
      </c>
      <c r="C506" s="55" t="s">
        <v>82</v>
      </c>
      <c r="D506" s="60" t="s">
        <v>221</v>
      </c>
      <c r="E506" s="64"/>
      <c r="F506" s="92"/>
      <c r="G506" s="58"/>
    </row>
    <row r="507" spans="1:7" ht="45" customHeight="1" thickBot="1" x14ac:dyDescent="0.3">
      <c r="A507" s="67" t="str">
        <f>TabellaTest!F45</f>
        <v>TF019.UC02</v>
      </c>
      <c r="B507" s="126" t="str">
        <f>TabellaTest!C45</f>
        <v>PAR. 3.25-035-19</v>
      </c>
      <c r="C507" s="127"/>
      <c r="D507" s="128" t="str">
        <f>TabellaTest!E45</f>
        <v>Verifica emissione ordinanza di Rateizzazione Pena Pecuniaria</v>
      </c>
      <c r="E507" s="129"/>
      <c r="F507" s="128" t="str">
        <f>TabellaTest!G45</f>
        <v>Verifica: Verificare nel sottosistema SIUS l'utilizzo della funzione "Ordinanza Rateizzazione Pena Pecuniaria"</v>
      </c>
      <c r="G507" s="130"/>
    </row>
    <row r="508" spans="1:7" ht="30" x14ac:dyDescent="0.25">
      <c r="A508" s="124"/>
      <c r="B508" s="35" t="s">
        <v>31</v>
      </c>
      <c r="C508" s="32" t="s">
        <v>32</v>
      </c>
      <c r="D508" s="29" t="s">
        <v>33</v>
      </c>
      <c r="E508" s="29" t="s">
        <v>34</v>
      </c>
      <c r="F508" s="29" t="s">
        <v>35</v>
      </c>
      <c r="G508" s="30" t="s">
        <v>10</v>
      </c>
    </row>
    <row r="509" spans="1:7" ht="45" x14ac:dyDescent="0.25">
      <c r="A509" s="131"/>
      <c r="B509" s="56" t="s">
        <v>36</v>
      </c>
      <c r="C509" s="45" t="s">
        <v>37</v>
      </c>
      <c r="D509" s="46" t="s">
        <v>272</v>
      </c>
      <c r="E509" s="46" t="s">
        <v>91</v>
      </c>
      <c r="F509" s="46"/>
      <c r="G509" s="47"/>
    </row>
    <row r="510" spans="1:7" ht="30" x14ac:dyDescent="0.25">
      <c r="A510" s="131"/>
      <c r="B510" s="57">
        <v>1</v>
      </c>
      <c r="C510" s="48" t="s">
        <v>39</v>
      </c>
      <c r="D510" s="49" t="s">
        <v>134</v>
      </c>
      <c r="E510" s="50"/>
      <c r="F510" s="46" t="s">
        <v>111</v>
      </c>
      <c r="G510" s="47"/>
    </row>
    <row r="511" spans="1:7" ht="30" x14ac:dyDescent="0.25">
      <c r="A511" s="131"/>
      <c r="B511" s="103" t="s">
        <v>109</v>
      </c>
      <c r="C511" s="52" t="s">
        <v>40</v>
      </c>
      <c r="D511" s="46" t="s">
        <v>135</v>
      </c>
      <c r="E511" s="50"/>
      <c r="F511" s="46" t="s">
        <v>136</v>
      </c>
      <c r="G511" s="47"/>
    </row>
    <row r="512" spans="1:7" ht="45" x14ac:dyDescent="0.25">
      <c r="A512" s="131"/>
      <c r="B512" s="103" t="s">
        <v>108</v>
      </c>
      <c r="C512" s="52" t="s">
        <v>40</v>
      </c>
      <c r="D512" s="46" t="s">
        <v>137</v>
      </c>
      <c r="E512" s="50"/>
      <c r="F512" s="46" t="s">
        <v>433</v>
      </c>
      <c r="G512" s="47"/>
    </row>
    <row r="513" spans="1:7" ht="45" x14ac:dyDescent="0.25">
      <c r="A513" s="131"/>
      <c r="B513" s="103" t="s">
        <v>107</v>
      </c>
      <c r="C513" s="52" t="s">
        <v>40</v>
      </c>
      <c r="D513" s="46" t="s">
        <v>405</v>
      </c>
      <c r="E513" s="50"/>
      <c r="F513" s="46" t="s">
        <v>434</v>
      </c>
      <c r="G513" s="47"/>
    </row>
    <row r="514" spans="1:7" ht="30.75" thickBot="1" x14ac:dyDescent="0.3">
      <c r="A514" s="131"/>
      <c r="B514" s="54" t="s">
        <v>81</v>
      </c>
      <c r="C514" s="55" t="s">
        <v>82</v>
      </c>
      <c r="D514" s="61" t="s">
        <v>102</v>
      </c>
      <c r="E514" s="64"/>
      <c r="F514" s="61"/>
      <c r="G514" s="58" t="s">
        <v>47</v>
      </c>
    </row>
    <row r="515" spans="1:7" ht="30" x14ac:dyDescent="0.25">
      <c r="A515" s="131"/>
      <c r="B515" s="56" t="s">
        <v>36</v>
      </c>
      <c r="C515" s="45" t="s">
        <v>38</v>
      </c>
      <c r="D515" s="46" t="s">
        <v>435</v>
      </c>
      <c r="E515" s="46"/>
      <c r="F515" s="63"/>
      <c r="G515" s="47"/>
    </row>
    <row r="516" spans="1:7" ht="45" x14ac:dyDescent="0.25">
      <c r="A516" s="131"/>
      <c r="B516" s="103" t="s">
        <v>101</v>
      </c>
      <c r="C516" s="52" t="s">
        <v>40</v>
      </c>
      <c r="D516" s="46" t="s">
        <v>100</v>
      </c>
      <c r="E516" s="50"/>
      <c r="F516" s="46" t="s">
        <v>99</v>
      </c>
      <c r="G516" s="47"/>
    </row>
    <row r="517" spans="1:7" ht="30.75" thickBot="1" x14ac:dyDescent="0.3">
      <c r="A517" s="131"/>
      <c r="B517" s="54" t="s">
        <v>81</v>
      </c>
      <c r="C517" s="55" t="s">
        <v>82</v>
      </c>
      <c r="D517" s="61" t="s">
        <v>436</v>
      </c>
      <c r="E517" s="64"/>
      <c r="F517" s="61"/>
      <c r="G517" s="58" t="s">
        <v>47</v>
      </c>
    </row>
    <row r="518" spans="1:7" ht="30" x14ac:dyDescent="0.25">
      <c r="A518" s="131"/>
      <c r="B518" s="56" t="s">
        <v>36</v>
      </c>
      <c r="C518" s="45" t="s">
        <v>38</v>
      </c>
      <c r="D518" s="46" t="s">
        <v>435</v>
      </c>
      <c r="E518" s="46"/>
      <c r="F518" s="63"/>
      <c r="G518" s="47"/>
    </row>
    <row r="519" spans="1:7" ht="45" x14ac:dyDescent="0.25">
      <c r="A519" s="131"/>
      <c r="B519" s="103" t="s">
        <v>96</v>
      </c>
      <c r="C519" s="52" t="s">
        <v>40</v>
      </c>
      <c r="D519" s="46" t="s">
        <v>97</v>
      </c>
      <c r="E519" s="50"/>
      <c r="F519" s="46" t="s">
        <v>150</v>
      </c>
      <c r="G519" s="47"/>
    </row>
    <row r="520" spans="1:7" ht="30" customHeight="1" thickBot="1" x14ac:dyDescent="0.3">
      <c r="A520" s="132"/>
      <c r="B520" s="54" t="s">
        <v>81</v>
      </c>
      <c r="C520" s="55" t="s">
        <v>82</v>
      </c>
      <c r="D520" s="61" t="s">
        <v>110</v>
      </c>
      <c r="E520" s="64"/>
      <c r="F520" s="61"/>
      <c r="G520" s="58" t="s">
        <v>47</v>
      </c>
    </row>
    <row r="521" spans="1:7" ht="64.150000000000006" customHeight="1" thickBot="1" x14ac:dyDescent="0.3">
      <c r="A521" s="67" t="str">
        <f>TabellaTest!F46</f>
        <v>TF020.UC01</v>
      </c>
      <c r="B521" s="135" t="str">
        <f>TabellaTest!C46</f>
        <v>PAR. 3.26-035-20</v>
      </c>
      <c r="C521" s="129"/>
      <c r="D521" s="136" t="str">
        <f>TabellaTest!E46</f>
        <v>Verifica iscrizione procedimento di Revoca pena sostitutiva conseguente alla conversione p.p. per avvenuto pagamento</v>
      </c>
      <c r="E521" s="137"/>
      <c r="F521" s="128" t="str">
        <f>TabellaTest!G46</f>
        <v>Verifica: Verificare che nel sottosistema SIUS a seguito iscrizione procedimento con contenuto Revoca pena sostitutiva conseguente alla conversione p.p. per avvenuto pagamento venga inserito un nuovo procedimento SIUS</v>
      </c>
      <c r="G521" s="130"/>
    </row>
    <row r="522" spans="1:7" ht="30" x14ac:dyDescent="0.25">
      <c r="A522" s="124"/>
      <c r="B522" s="35" t="s">
        <v>31</v>
      </c>
      <c r="C522" s="32" t="s">
        <v>32</v>
      </c>
      <c r="D522" s="29" t="s">
        <v>33</v>
      </c>
      <c r="E522" s="29" t="s">
        <v>34</v>
      </c>
      <c r="F522" s="29" t="s">
        <v>35</v>
      </c>
      <c r="G522" s="30" t="s">
        <v>10</v>
      </c>
    </row>
    <row r="523" spans="1:7" ht="30" customHeight="1" x14ac:dyDescent="0.25">
      <c r="A523" s="131"/>
      <c r="B523" s="56" t="s">
        <v>36</v>
      </c>
      <c r="C523" s="45" t="s">
        <v>37</v>
      </c>
      <c r="D523" s="46" t="s">
        <v>203</v>
      </c>
      <c r="E523" s="46" t="s">
        <v>91</v>
      </c>
      <c r="F523" s="46"/>
      <c r="G523" s="47"/>
    </row>
    <row r="524" spans="1:7" ht="60" customHeight="1" x14ac:dyDescent="0.25">
      <c r="A524" s="131"/>
      <c r="B524" s="56" t="s">
        <v>36</v>
      </c>
      <c r="C524" s="45" t="s">
        <v>38</v>
      </c>
      <c r="D524" s="46" t="s">
        <v>218</v>
      </c>
      <c r="E524" s="46"/>
      <c r="F524" s="63" t="s">
        <v>205</v>
      </c>
      <c r="G524" s="47"/>
    </row>
    <row r="525" spans="1:7" ht="30" customHeight="1" x14ac:dyDescent="0.25">
      <c r="A525" s="131"/>
      <c r="B525" s="57">
        <v>1</v>
      </c>
      <c r="C525" s="48" t="s">
        <v>39</v>
      </c>
      <c r="D525" s="46" t="s">
        <v>198</v>
      </c>
      <c r="E525" s="50"/>
      <c r="F525" s="46" t="s">
        <v>199</v>
      </c>
      <c r="G525" s="47"/>
    </row>
    <row r="526" spans="1:7" ht="45" x14ac:dyDescent="0.25">
      <c r="A526" s="131"/>
      <c r="B526" s="59">
        <v>2</v>
      </c>
      <c r="C526" s="52" t="s">
        <v>40</v>
      </c>
      <c r="D526" s="46" t="s">
        <v>219</v>
      </c>
      <c r="E526" s="50"/>
      <c r="F526" s="46" t="s">
        <v>220</v>
      </c>
      <c r="G526" s="47"/>
    </row>
    <row r="527" spans="1:7" ht="75" x14ac:dyDescent="0.25">
      <c r="A527" s="131"/>
      <c r="B527" s="89">
        <v>3</v>
      </c>
      <c r="C527" s="90" t="s">
        <v>40</v>
      </c>
      <c r="D527" s="60" t="s">
        <v>444</v>
      </c>
      <c r="E527" s="91"/>
      <c r="F527" s="46" t="s">
        <v>131</v>
      </c>
      <c r="G527" s="53"/>
    </row>
    <row r="528" spans="1:7" ht="105.75" thickBot="1" x14ac:dyDescent="0.3">
      <c r="A528" s="132"/>
      <c r="B528" s="54" t="s">
        <v>81</v>
      </c>
      <c r="C528" s="55" t="s">
        <v>82</v>
      </c>
      <c r="D528" s="60" t="s">
        <v>221</v>
      </c>
      <c r="E528" s="64"/>
      <c r="F528" s="92"/>
      <c r="G528" s="58"/>
    </row>
    <row r="529" spans="1:7" ht="45" customHeight="1" thickBot="1" x14ac:dyDescent="0.3">
      <c r="A529" s="67" t="str">
        <f>TabellaTest!F47</f>
        <v>TF020.UC02</v>
      </c>
      <c r="B529" s="126" t="str">
        <f>TabellaTest!C47</f>
        <v>PAR. 3.26-035-20</v>
      </c>
      <c r="C529" s="127"/>
      <c r="D529" s="128" t="str">
        <f>TabellaTest!E47</f>
        <v>Verifica emissione ordinanza di Revoca pena sostitutiva conseguente alla conversione p.p. per avvenuto pagamento</v>
      </c>
      <c r="E529" s="129"/>
      <c r="F529" s="128" t="str">
        <f>TabellaTest!G47</f>
        <v>Verifica: Verificare nel sottosistema SIUS l'utilizzo della funzione "Ordinanza Revoca pena sostitutiva conseguente alla conversione p.p. per avvenuto pagamento"</v>
      </c>
      <c r="G529" s="130"/>
    </row>
    <row r="530" spans="1:7" ht="30" x14ac:dyDescent="0.25">
      <c r="A530" s="124"/>
      <c r="B530" s="35" t="s">
        <v>31</v>
      </c>
      <c r="C530" s="32" t="s">
        <v>32</v>
      </c>
      <c r="D530" s="29" t="s">
        <v>33</v>
      </c>
      <c r="E530" s="29" t="s">
        <v>34</v>
      </c>
      <c r="F530" s="29" t="s">
        <v>35</v>
      </c>
      <c r="G530" s="30" t="s">
        <v>10</v>
      </c>
    </row>
    <row r="531" spans="1:7" ht="45" x14ac:dyDescent="0.25">
      <c r="A531" s="125"/>
      <c r="B531" s="56" t="s">
        <v>36</v>
      </c>
      <c r="C531" s="45" t="s">
        <v>37</v>
      </c>
      <c r="D531" s="46" t="s">
        <v>272</v>
      </c>
      <c r="E531" s="46" t="s">
        <v>91</v>
      </c>
      <c r="F531" s="46"/>
      <c r="G531" s="47"/>
    </row>
    <row r="532" spans="1:7" ht="30" x14ac:dyDescent="0.25">
      <c r="A532" s="125"/>
      <c r="B532" s="57">
        <v>1</v>
      </c>
      <c r="C532" s="48" t="s">
        <v>39</v>
      </c>
      <c r="D532" s="49" t="s">
        <v>134</v>
      </c>
      <c r="E532" s="50"/>
      <c r="F532" s="46" t="s">
        <v>111</v>
      </c>
      <c r="G532" s="47"/>
    </row>
    <row r="533" spans="1:7" ht="30" x14ac:dyDescent="0.25">
      <c r="A533" s="125"/>
      <c r="B533" s="103" t="s">
        <v>109</v>
      </c>
      <c r="C533" s="52" t="s">
        <v>40</v>
      </c>
      <c r="D533" s="46" t="s">
        <v>135</v>
      </c>
      <c r="E533" s="50"/>
      <c r="F533" s="46" t="s">
        <v>136</v>
      </c>
      <c r="G533" s="47"/>
    </row>
    <row r="534" spans="1:7" ht="45" x14ac:dyDescent="0.25">
      <c r="A534" s="125"/>
      <c r="B534" s="103" t="s">
        <v>108</v>
      </c>
      <c r="C534" s="52" t="s">
        <v>40</v>
      </c>
      <c r="D534" s="46" t="s">
        <v>137</v>
      </c>
      <c r="E534" s="50"/>
      <c r="F534" s="46" t="s">
        <v>445</v>
      </c>
      <c r="G534" s="47"/>
    </row>
    <row r="535" spans="1:7" ht="45" x14ac:dyDescent="0.25">
      <c r="A535" s="125"/>
      <c r="B535" s="103" t="s">
        <v>107</v>
      </c>
      <c r="C535" s="52" t="s">
        <v>40</v>
      </c>
      <c r="D535" s="46" t="s">
        <v>405</v>
      </c>
      <c r="E535" s="50"/>
      <c r="F535" s="46" t="s">
        <v>434</v>
      </c>
      <c r="G535" s="47"/>
    </row>
    <row r="536" spans="1:7" ht="30.75" thickBot="1" x14ac:dyDescent="0.3">
      <c r="A536" s="125"/>
      <c r="B536" s="54" t="s">
        <v>81</v>
      </c>
      <c r="C536" s="55" t="s">
        <v>82</v>
      </c>
      <c r="D536" s="61" t="s">
        <v>102</v>
      </c>
      <c r="E536" s="64"/>
      <c r="F536" s="61"/>
      <c r="G536" s="58" t="s">
        <v>47</v>
      </c>
    </row>
    <row r="537" spans="1:7" ht="45" x14ac:dyDescent="0.25">
      <c r="A537" s="125"/>
      <c r="B537" s="56" t="s">
        <v>36</v>
      </c>
      <c r="C537" s="45" t="s">
        <v>38</v>
      </c>
      <c r="D537" s="46" t="s">
        <v>446</v>
      </c>
      <c r="E537" s="46"/>
      <c r="F537" s="63"/>
      <c r="G537" s="47"/>
    </row>
    <row r="538" spans="1:7" ht="45" x14ac:dyDescent="0.25">
      <c r="A538" s="125"/>
      <c r="B538" s="103" t="s">
        <v>101</v>
      </c>
      <c r="C538" s="52" t="s">
        <v>40</v>
      </c>
      <c r="D538" s="46" t="s">
        <v>100</v>
      </c>
      <c r="E538" s="50"/>
      <c r="F538" s="46" t="s">
        <v>99</v>
      </c>
      <c r="G538" s="47"/>
    </row>
    <row r="539" spans="1:7" ht="30.75" thickBot="1" x14ac:dyDescent="0.3">
      <c r="A539" s="125"/>
      <c r="B539" s="54" t="s">
        <v>81</v>
      </c>
      <c r="C539" s="55" t="s">
        <v>82</v>
      </c>
      <c r="D539" s="61" t="s">
        <v>366</v>
      </c>
      <c r="E539" s="64"/>
      <c r="F539" s="61"/>
      <c r="G539" s="58" t="s">
        <v>47</v>
      </c>
    </row>
    <row r="540" spans="1:7" ht="30" x14ac:dyDescent="0.25">
      <c r="A540" s="125"/>
      <c r="B540" s="56" t="s">
        <v>36</v>
      </c>
      <c r="C540" s="45" t="s">
        <v>38</v>
      </c>
      <c r="D540" s="46" t="s">
        <v>435</v>
      </c>
      <c r="E540" s="46"/>
      <c r="F540" s="63"/>
      <c r="G540" s="47"/>
    </row>
    <row r="541" spans="1:7" ht="45" x14ac:dyDescent="0.25">
      <c r="A541" s="125"/>
      <c r="B541" s="103" t="s">
        <v>96</v>
      </c>
      <c r="C541" s="52" t="s">
        <v>40</v>
      </c>
      <c r="D541" s="46" t="s">
        <v>97</v>
      </c>
      <c r="E541" s="50"/>
      <c r="F541" s="46" t="s">
        <v>150</v>
      </c>
      <c r="G541" s="47"/>
    </row>
    <row r="542" spans="1:7" ht="30" customHeight="1" thickBot="1" x14ac:dyDescent="0.3">
      <c r="A542" s="199"/>
      <c r="B542" s="54" t="s">
        <v>81</v>
      </c>
      <c r="C542" s="55" t="s">
        <v>82</v>
      </c>
      <c r="D542" s="61" t="s">
        <v>110</v>
      </c>
      <c r="E542" s="64"/>
      <c r="F542" s="61"/>
      <c r="G542" s="58" t="s">
        <v>47</v>
      </c>
    </row>
    <row r="543" spans="1:7" ht="59.45" customHeight="1" thickBot="1" x14ac:dyDescent="0.3">
      <c r="A543" s="108" t="str">
        <f>TabellaTest!F48</f>
        <v>TF021.UC01</v>
      </c>
      <c r="B543" s="120" t="str">
        <f>TabellaTest!C48</f>
        <v>PAR. 3.14-035-21</v>
      </c>
      <c r="C543" s="121"/>
      <c r="D543" s="122" t="str">
        <f>TabellaTest!E48</f>
        <v xml:space="preserve">Verifica iscrizione procedimento di Sospensione lavoro pubblica utilità sostitutivo </v>
      </c>
      <c r="E543" s="123"/>
      <c r="F543" s="128" t="str">
        <f>TabellaTest!G48</f>
        <v>Verifica: Verificare che nel sottosistema SIUS a seguito iscrizione procedimento con contenuto Sospensione lavoro pubblica utilità sostitutivo   venga inserito un nuovo procedimento SIUS</v>
      </c>
      <c r="G543" s="130"/>
    </row>
    <row r="544" spans="1:7" ht="30" customHeight="1" x14ac:dyDescent="0.25">
      <c r="A544" s="124"/>
      <c r="B544" s="106" t="s">
        <v>31</v>
      </c>
      <c r="C544" s="44" t="s">
        <v>32</v>
      </c>
      <c r="D544" s="29" t="s">
        <v>33</v>
      </c>
      <c r="E544" s="29" t="s">
        <v>34</v>
      </c>
      <c r="F544" s="29" t="s">
        <v>35</v>
      </c>
      <c r="G544" s="30" t="s">
        <v>10</v>
      </c>
    </row>
    <row r="545" spans="1:7" ht="30" customHeight="1" x14ac:dyDescent="0.25">
      <c r="A545" s="125"/>
      <c r="B545" s="56" t="s">
        <v>36</v>
      </c>
      <c r="C545" s="45" t="s">
        <v>37</v>
      </c>
      <c r="D545" s="46" t="s">
        <v>203</v>
      </c>
      <c r="E545" s="46" t="s">
        <v>91</v>
      </c>
      <c r="F545" s="46"/>
      <c r="G545" s="47"/>
    </row>
    <row r="546" spans="1:7" ht="60" customHeight="1" x14ac:dyDescent="0.25">
      <c r="A546" s="125"/>
      <c r="B546" s="56" t="s">
        <v>36</v>
      </c>
      <c r="C546" s="45" t="s">
        <v>38</v>
      </c>
      <c r="D546" s="46" t="s">
        <v>412</v>
      </c>
      <c r="E546" s="46"/>
      <c r="F546" s="63" t="s">
        <v>205</v>
      </c>
      <c r="G546" s="47"/>
    </row>
    <row r="547" spans="1:7" ht="30" customHeight="1" x14ac:dyDescent="0.25">
      <c r="A547" s="125"/>
      <c r="B547" s="57">
        <v>1</v>
      </c>
      <c r="C547" s="48" t="s">
        <v>39</v>
      </c>
      <c r="D547" s="46" t="s">
        <v>198</v>
      </c>
      <c r="E547" s="50"/>
      <c r="F547" s="46" t="s">
        <v>199</v>
      </c>
      <c r="G547" s="47"/>
    </row>
    <row r="548" spans="1:7" ht="45" x14ac:dyDescent="0.25">
      <c r="A548" s="125"/>
      <c r="B548" s="59">
        <v>2</v>
      </c>
      <c r="C548" s="52" t="s">
        <v>40</v>
      </c>
      <c r="D548" s="46" t="s">
        <v>219</v>
      </c>
      <c r="E548" s="50"/>
      <c r="F548" s="46" t="s">
        <v>220</v>
      </c>
      <c r="G548" s="47"/>
    </row>
    <row r="549" spans="1:7" ht="60" x14ac:dyDescent="0.25">
      <c r="A549" s="125"/>
      <c r="B549" s="89">
        <v>3</v>
      </c>
      <c r="C549" s="90" t="s">
        <v>40</v>
      </c>
      <c r="D549" s="60" t="s">
        <v>413</v>
      </c>
      <c r="E549" s="91"/>
      <c r="F549" s="46" t="s">
        <v>131</v>
      </c>
      <c r="G549" s="53"/>
    </row>
    <row r="550" spans="1:7" ht="105.75" thickBot="1" x14ac:dyDescent="0.3">
      <c r="A550" s="199"/>
      <c r="B550" s="54" t="s">
        <v>81</v>
      </c>
      <c r="C550" s="55" t="s">
        <v>82</v>
      </c>
      <c r="D550" s="60" t="s">
        <v>221</v>
      </c>
      <c r="E550" s="64"/>
      <c r="F550" s="92"/>
      <c r="G550" s="58"/>
    </row>
    <row r="551" spans="1:7" ht="49.9" customHeight="1" thickBot="1" x14ac:dyDescent="0.3">
      <c r="A551" s="108" t="str">
        <f>TabellaTest!F49</f>
        <v>TF021.UC02</v>
      </c>
      <c r="B551" s="120" t="str">
        <f>TabellaTest!C49</f>
        <v>PAR. 3.14-035-21</v>
      </c>
      <c r="C551" s="121"/>
      <c r="D551" s="122" t="str">
        <f>TabellaTest!E49</f>
        <v xml:space="preserve">Verifica emissione decreto di Sospensione lavoro pubblica utilità sostitutivo      </v>
      </c>
      <c r="E551" s="123"/>
      <c r="F551" s="128" t="str">
        <f>TabellaTest!G49</f>
        <v>Verifica: Verificare nel sottosistema SIUS l'utilizzo della funzione "Decreto Sospensione lavoro pubblica utilità sostitutivo "</v>
      </c>
      <c r="G551" s="130"/>
    </row>
    <row r="552" spans="1:7" ht="30" customHeight="1" x14ac:dyDescent="0.25">
      <c r="A552" s="124"/>
      <c r="B552" s="69" t="s">
        <v>31</v>
      </c>
      <c r="C552" s="44" t="s">
        <v>32</v>
      </c>
      <c r="D552" s="29" t="s">
        <v>33</v>
      </c>
      <c r="E552" s="29" t="s">
        <v>34</v>
      </c>
      <c r="F552" s="29" t="s">
        <v>35</v>
      </c>
      <c r="G552" s="30" t="s">
        <v>10</v>
      </c>
    </row>
    <row r="553" spans="1:7" ht="45" x14ac:dyDescent="0.25">
      <c r="A553" s="125"/>
      <c r="B553" s="56" t="s">
        <v>36</v>
      </c>
      <c r="C553" s="45" t="s">
        <v>37</v>
      </c>
      <c r="D553" s="46" t="s">
        <v>232</v>
      </c>
      <c r="E553" s="46" t="s">
        <v>91</v>
      </c>
      <c r="F553" s="46"/>
      <c r="G553" s="47"/>
    </row>
    <row r="554" spans="1:7" ht="30" x14ac:dyDescent="0.25">
      <c r="A554" s="125"/>
      <c r="B554" s="57">
        <v>1</v>
      </c>
      <c r="C554" s="48" t="s">
        <v>39</v>
      </c>
      <c r="D554" s="49" t="s">
        <v>176</v>
      </c>
      <c r="E554" s="50"/>
      <c r="F554" s="46" t="s">
        <v>111</v>
      </c>
      <c r="G554" s="47"/>
    </row>
    <row r="555" spans="1:7" ht="30" x14ac:dyDescent="0.25">
      <c r="A555" s="125"/>
      <c r="B555" s="103" t="s">
        <v>108</v>
      </c>
      <c r="C555" s="52" t="s">
        <v>40</v>
      </c>
      <c r="D555" s="46" t="s">
        <v>135</v>
      </c>
      <c r="E555" s="50"/>
      <c r="F555" s="46" t="s">
        <v>177</v>
      </c>
      <c r="G555" s="47"/>
    </row>
    <row r="556" spans="1:7" ht="45" x14ac:dyDescent="0.25">
      <c r="A556" s="125"/>
      <c r="B556" s="103" t="s">
        <v>107</v>
      </c>
      <c r="C556" s="52" t="s">
        <v>40</v>
      </c>
      <c r="D556" s="46" t="s">
        <v>137</v>
      </c>
      <c r="E556" s="50"/>
      <c r="F556" s="46" t="s">
        <v>414</v>
      </c>
      <c r="G556" s="47"/>
    </row>
    <row r="557" spans="1:7" ht="45" x14ac:dyDescent="0.25">
      <c r="A557" s="125"/>
      <c r="B557" s="103" t="s">
        <v>106</v>
      </c>
      <c r="C557" s="52" t="s">
        <v>40</v>
      </c>
      <c r="D557" s="46" t="s">
        <v>259</v>
      </c>
      <c r="E557" s="50"/>
      <c r="F557" s="46" t="s">
        <v>377</v>
      </c>
      <c r="G557" s="47"/>
    </row>
    <row r="558" spans="1:7" ht="30.75" thickBot="1" x14ac:dyDescent="0.3">
      <c r="A558" s="125"/>
      <c r="B558" s="54" t="s">
        <v>81</v>
      </c>
      <c r="C558" s="55" t="s">
        <v>82</v>
      </c>
      <c r="D558" s="61" t="s">
        <v>102</v>
      </c>
      <c r="E558" s="64"/>
      <c r="F558" s="61"/>
      <c r="G558" s="58" t="s">
        <v>47</v>
      </c>
    </row>
    <row r="559" spans="1:7" ht="30" x14ac:dyDescent="0.25">
      <c r="A559" s="125"/>
      <c r="B559" s="56" t="s">
        <v>36</v>
      </c>
      <c r="C559" s="45" t="s">
        <v>38</v>
      </c>
      <c r="D559" s="46" t="s">
        <v>415</v>
      </c>
      <c r="E559" s="46"/>
      <c r="F559" s="63"/>
      <c r="G559" s="47"/>
    </row>
    <row r="560" spans="1:7" ht="45" x14ac:dyDescent="0.25">
      <c r="A560" s="125"/>
      <c r="B560" s="103" t="s">
        <v>104</v>
      </c>
      <c r="C560" s="52" t="s">
        <v>40</v>
      </c>
      <c r="D560" s="46" t="s">
        <v>100</v>
      </c>
      <c r="E560" s="50"/>
      <c r="F560" s="46" t="s">
        <v>99</v>
      </c>
      <c r="G560" s="47"/>
    </row>
    <row r="561" spans="1:7" ht="30.75" thickBot="1" x14ac:dyDescent="0.3">
      <c r="A561" s="125"/>
      <c r="B561" s="54" t="s">
        <v>81</v>
      </c>
      <c r="C561" s="55" t="s">
        <v>82</v>
      </c>
      <c r="D561" s="61" t="s">
        <v>416</v>
      </c>
      <c r="E561" s="64"/>
      <c r="F561" s="61"/>
      <c r="G561" s="58" t="s">
        <v>47</v>
      </c>
    </row>
    <row r="562" spans="1:7" ht="45" x14ac:dyDescent="0.25">
      <c r="A562" s="125"/>
      <c r="B562" s="103" t="s">
        <v>101</v>
      </c>
      <c r="C562" s="52" t="s">
        <v>40</v>
      </c>
      <c r="D562" s="46" t="s">
        <v>97</v>
      </c>
      <c r="E562" s="50"/>
      <c r="F562" s="46" t="s">
        <v>185</v>
      </c>
      <c r="G562" s="47"/>
    </row>
    <row r="563" spans="1:7" ht="30" customHeight="1" thickBot="1" x14ac:dyDescent="0.3">
      <c r="A563" s="199"/>
      <c r="B563" s="54" t="s">
        <v>81</v>
      </c>
      <c r="C563" s="55" t="s">
        <v>82</v>
      </c>
      <c r="D563" s="61" t="s">
        <v>110</v>
      </c>
      <c r="E563" s="64"/>
      <c r="F563" s="61"/>
      <c r="G563" s="58" t="s">
        <v>47</v>
      </c>
    </row>
    <row r="564" spans="1:7" ht="59.45" customHeight="1" thickBot="1" x14ac:dyDescent="0.3">
      <c r="A564" s="108" t="str">
        <f>TabellaTest!F50</f>
        <v>TF022.UC01</v>
      </c>
      <c r="B564" s="120" t="str">
        <f>TabellaTest!C50</f>
        <v>PAR. 3.24-035-22</v>
      </c>
      <c r="C564" s="121"/>
      <c r="D564" s="122" t="str">
        <f>TabellaTest!E50</f>
        <v xml:space="preserve">Verifica iscrizione procedimento di Conversione pene pecuniarie irrogate dal Giudice di Pace </v>
      </c>
      <c r="E564" s="123"/>
      <c r="F564" s="128" t="str">
        <f>TabellaTest!G50</f>
        <v>Verifica: Verificare che nel sottosistema SIUS a seguito iscrizione procedimento con contenuto Conversione pene pecuniarie irrogate dal Giudice di Pace venga inserito un nuovo procedimento SIUS</v>
      </c>
      <c r="G564" s="130"/>
    </row>
    <row r="565" spans="1:7" ht="30" customHeight="1" x14ac:dyDescent="0.25">
      <c r="A565" s="124"/>
      <c r="B565" s="106" t="s">
        <v>31</v>
      </c>
      <c r="C565" s="44" t="s">
        <v>32</v>
      </c>
      <c r="D565" s="29" t="s">
        <v>33</v>
      </c>
      <c r="E565" s="29" t="s">
        <v>34</v>
      </c>
      <c r="F565" s="29" t="s">
        <v>35</v>
      </c>
      <c r="G565" s="30" t="s">
        <v>10</v>
      </c>
    </row>
    <row r="566" spans="1:7" ht="30" customHeight="1" x14ac:dyDescent="0.25">
      <c r="A566" s="125"/>
      <c r="B566" s="56" t="s">
        <v>36</v>
      </c>
      <c r="C566" s="45" t="s">
        <v>37</v>
      </c>
      <c r="D566" s="46" t="s">
        <v>203</v>
      </c>
      <c r="E566" s="46" t="s">
        <v>91</v>
      </c>
      <c r="F566" s="46"/>
      <c r="G566" s="47"/>
    </row>
    <row r="567" spans="1:7" ht="60" customHeight="1" x14ac:dyDescent="0.25">
      <c r="A567" s="125"/>
      <c r="B567" s="56" t="s">
        <v>36</v>
      </c>
      <c r="C567" s="45" t="s">
        <v>38</v>
      </c>
      <c r="D567" s="46" t="s">
        <v>421</v>
      </c>
      <c r="E567" s="46"/>
      <c r="F567" s="63" t="s">
        <v>205</v>
      </c>
      <c r="G567" s="47"/>
    </row>
    <row r="568" spans="1:7" ht="30" customHeight="1" x14ac:dyDescent="0.25">
      <c r="A568" s="125"/>
      <c r="B568" s="57">
        <v>1</v>
      </c>
      <c r="C568" s="48" t="s">
        <v>39</v>
      </c>
      <c r="D568" s="46" t="s">
        <v>198</v>
      </c>
      <c r="E568" s="50"/>
      <c r="F568" s="46" t="s">
        <v>199</v>
      </c>
      <c r="G568" s="47"/>
    </row>
    <row r="569" spans="1:7" ht="45" x14ac:dyDescent="0.25">
      <c r="A569" s="125"/>
      <c r="B569" s="59">
        <v>2</v>
      </c>
      <c r="C569" s="52" t="s">
        <v>40</v>
      </c>
      <c r="D569" s="46" t="s">
        <v>219</v>
      </c>
      <c r="E569" s="50"/>
      <c r="F569" s="46" t="s">
        <v>220</v>
      </c>
      <c r="G569" s="47"/>
    </row>
    <row r="570" spans="1:7" ht="60" x14ac:dyDescent="0.25">
      <c r="A570" s="125"/>
      <c r="B570" s="89">
        <v>3</v>
      </c>
      <c r="C570" s="90" t="s">
        <v>40</v>
      </c>
      <c r="D570" s="60" t="s">
        <v>422</v>
      </c>
      <c r="E570" s="91"/>
      <c r="F570" s="46" t="s">
        <v>131</v>
      </c>
      <c r="G570" s="53"/>
    </row>
    <row r="571" spans="1:7" ht="105.75" thickBot="1" x14ac:dyDescent="0.3">
      <c r="A571" s="199"/>
      <c r="B571" s="54" t="s">
        <v>81</v>
      </c>
      <c r="C571" s="55" t="s">
        <v>82</v>
      </c>
      <c r="D571" s="60" t="s">
        <v>221</v>
      </c>
      <c r="E571" s="64"/>
      <c r="F571" s="92"/>
      <c r="G571" s="58"/>
    </row>
    <row r="572" spans="1:7" ht="49.9" customHeight="1" thickBot="1" x14ac:dyDescent="0.3">
      <c r="A572" s="108" t="str">
        <f>TabellaTest!F51</f>
        <v>TF022.UC02</v>
      </c>
      <c r="B572" s="120" t="str">
        <f>TabellaTest!C51</f>
        <v>PAR. 3.24-035-22</v>
      </c>
      <c r="C572" s="121"/>
      <c r="D572" s="122" t="str">
        <f>TabellaTest!E51</f>
        <v xml:space="preserve">Verifica emissione ordinanza di Conversione pene pecuniarie irrogate dal Giudice di Pace      </v>
      </c>
      <c r="E572" s="123"/>
      <c r="F572" s="128" t="str">
        <f>TabellaTest!G51</f>
        <v>Verifica: Verificare nel sottosistema SIUS l'utilizzo della funzione "Ordinanza Conversione pene pecuniarie irrogate dal Giudice di Pace "</v>
      </c>
      <c r="G572" s="130"/>
    </row>
    <row r="573" spans="1:7" ht="30" customHeight="1" x14ac:dyDescent="0.25">
      <c r="A573" s="124"/>
      <c r="B573" s="69" t="s">
        <v>31</v>
      </c>
      <c r="C573" s="44" t="s">
        <v>32</v>
      </c>
      <c r="D573" s="29" t="s">
        <v>33</v>
      </c>
      <c r="E573" s="29" t="s">
        <v>34</v>
      </c>
      <c r="F573" s="29" t="s">
        <v>35</v>
      </c>
      <c r="G573" s="30" t="s">
        <v>10</v>
      </c>
    </row>
    <row r="574" spans="1:7" ht="45" x14ac:dyDescent="0.25">
      <c r="A574" s="125"/>
      <c r="B574" s="56" t="s">
        <v>36</v>
      </c>
      <c r="C574" s="45" t="s">
        <v>37</v>
      </c>
      <c r="D574" s="46" t="s">
        <v>232</v>
      </c>
      <c r="E574" s="46" t="s">
        <v>91</v>
      </c>
      <c r="F574" s="46"/>
      <c r="G574" s="47"/>
    </row>
    <row r="575" spans="1:7" ht="30" x14ac:dyDescent="0.25">
      <c r="A575" s="125"/>
      <c r="B575" s="57">
        <v>1</v>
      </c>
      <c r="C575" s="48" t="s">
        <v>39</v>
      </c>
      <c r="D575" s="49" t="s">
        <v>134</v>
      </c>
      <c r="E575" s="50"/>
      <c r="F575" s="46" t="s">
        <v>111</v>
      </c>
      <c r="G575" s="47"/>
    </row>
    <row r="576" spans="1:7" ht="30" x14ac:dyDescent="0.25">
      <c r="A576" s="125"/>
      <c r="B576" s="103" t="s">
        <v>108</v>
      </c>
      <c r="C576" s="52" t="s">
        <v>40</v>
      </c>
      <c r="D576" s="46" t="s">
        <v>135</v>
      </c>
      <c r="E576" s="50"/>
      <c r="F576" s="46" t="s">
        <v>136</v>
      </c>
      <c r="G576" s="47"/>
    </row>
    <row r="577" spans="1:7" ht="45" x14ac:dyDescent="0.25">
      <c r="A577" s="125"/>
      <c r="B577" s="103" t="s">
        <v>107</v>
      </c>
      <c r="C577" s="52" t="s">
        <v>40</v>
      </c>
      <c r="D577" s="46" t="s">
        <v>137</v>
      </c>
      <c r="E577" s="50"/>
      <c r="F577" s="46" t="s">
        <v>423</v>
      </c>
      <c r="G577" s="47"/>
    </row>
    <row r="578" spans="1:7" ht="30" x14ac:dyDescent="0.25">
      <c r="A578" s="125"/>
      <c r="B578" s="103" t="s">
        <v>106</v>
      </c>
      <c r="C578" s="52" t="s">
        <v>40</v>
      </c>
      <c r="D578" s="46" t="s">
        <v>259</v>
      </c>
      <c r="E578" s="50"/>
      <c r="F578" s="46" t="s">
        <v>424</v>
      </c>
      <c r="G578" s="47"/>
    </row>
    <row r="579" spans="1:7" ht="30.75" thickBot="1" x14ac:dyDescent="0.3">
      <c r="A579" s="125"/>
      <c r="B579" s="54" t="s">
        <v>81</v>
      </c>
      <c r="C579" s="55" t="s">
        <v>82</v>
      </c>
      <c r="D579" s="61" t="s">
        <v>102</v>
      </c>
      <c r="E579" s="64"/>
      <c r="F579" s="61"/>
      <c r="G579" s="58" t="s">
        <v>47</v>
      </c>
    </row>
    <row r="580" spans="1:7" ht="30" x14ac:dyDescent="0.25">
      <c r="A580" s="125"/>
      <c r="B580" s="56" t="s">
        <v>36</v>
      </c>
      <c r="C580" s="45" t="s">
        <v>38</v>
      </c>
      <c r="D580" s="46" t="s">
        <v>425</v>
      </c>
      <c r="E580" s="46"/>
      <c r="F580" s="63"/>
      <c r="G580" s="47"/>
    </row>
    <row r="581" spans="1:7" ht="45" x14ac:dyDescent="0.25">
      <c r="A581" s="125"/>
      <c r="B581" s="103" t="s">
        <v>104</v>
      </c>
      <c r="C581" s="52" t="s">
        <v>40</v>
      </c>
      <c r="D581" s="46" t="s">
        <v>100</v>
      </c>
      <c r="E581" s="50"/>
      <c r="F581" s="46" t="s">
        <v>99</v>
      </c>
      <c r="G581" s="47"/>
    </row>
    <row r="582" spans="1:7" ht="30.75" thickBot="1" x14ac:dyDescent="0.3">
      <c r="A582" s="125"/>
      <c r="B582" s="54" t="s">
        <v>81</v>
      </c>
      <c r="C582" s="55" t="s">
        <v>82</v>
      </c>
      <c r="D582" s="61" t="s">
        <v>426</v>
      </c>
      <c r="E582" s="64"/>
      <c r="F582" s="61"/>
      <c r="G582" s="58" t="s">
        <v>47</v>
      </c>
    </row>
    <row r="583" spans="1:7" ht="45" x14ac:dyDescent="0.25">
      <c r="A583" s="125"/>
      <c r="B583" s="103" t="s">
        <v>101</v>
      </c>
      <c r="C583" s="52" t="s">
        <v>40</v>
      </c>
      <c r="D583" s="46" t="s">
        <v>97</v>
      </c>
      <c r="E583" s="50"/>
      <c r="F583" s="46" t="s">
        <v>150</v>
      </c>
      <c r="G583" s="47"/>
    </row>
    <row r="584" spans="1:7" ht="30" customHeight="1" thickBot="1" x14ac:dyDescent="0.3">
      <c r="A584" s="199"/>
      <c r="B584" s="54" t="s">
        <v>81</v>
      </c>
      <c r="C584" s="55" t="s">
        <v>82</v>
      </c>
      <c r="D584" s="61" t="s">
        <v>110</v>
      </c>
      <c r="E584" s="64"/>
      <c r="F584" s="61"/>
      <c r="G584" s="58" t="s">
        <v>47</v>
      </c>
    </row>
    <row r="585" spans="1:7" ht="59.45" customHeight="1" thickBot="1" x14ac:dyDescent="0.3">
      <c r="A585" s="108" t="str">
        <f>TabellaTest!F52</f>
        <v>TF023.UC01</v>
      </c>
      <c r="B585" s="120" t="str">
        <f>TabellaTest!C52</f>
        <v>PAR. 3.19-035-23</v>
      </c>
      <c r="C585" s="121"/>
      <c r="D585" s="122" t="str">
        <f>TabellaTest!E52</f>
        <v>Verifica iscrizione procedimento di Revoca e Conversione pena pecuniaria sostitutiva per mancato pagamento</v>
      </c>
      <c r="E585" s="123"/>
      <c r="F585" s="128" t="str">
        <f>TabellaTest!G52</f>
        <v>Verifica: Verificare che nel sottosistema SIUS a seguito iscrizione procedimento con contenuto Revoca e Conversione pena pecuniaria sostitutiva per mancato pagamento venga inserito un nuovo procedimento SIUS</v>
      </c>
      <c r="G585" s="130"/>
    </row>
    <row r="586" spans="1:7" ht="30" customHeight="1" x14ac:dyDescent="0.25">
      <c r="A586" s="124"/>
      <c r="B586" s="106" t="s">
        <v>31</v>
      </c>
      <c r="C586" s="44" t="s">
        <v>32</v>
      </c>
      <c r="D586" s="29" t="s">
        <v>33</v>
      </c>
      <c r="E586" s="29" t="s">
        <v>34</v>
      </c>
      <c r="F586" s="29" t="s">
        <v>35</v>
      </c>
      <c r="G586" s="30" t="s">
        <v>10</v>
      </c>
    </row>
    <row r="587" spans="1:7" ht="30" customHeight="1" x14ac:dyDescent="0.25">
      <c r="A587" s="125"/>
      <c r="B587" s="56" t="s">
        <v>36</v>
      </c>
      <c r="C587" s="45" t="s">
        <v>37</v>
      </c>
      <c r="D587" s="46" t="s">
        <v>203</v>
      </c>
      <c r="E587" s="46" t="s">
        <v>91</v>
      </c>
      <c r="F587" s="46"/>
      <c r="G587" s="47"/>
    </row>
    <row r="588" spans="1:7" ht="60" customHeight="1" x14ac:dyDescent="0.25">
      <c r="A588" s="125"/>
      <c r="B588" s="56" t="s">
        <v>36</v>
      </c>
      <c r="C588" s="45" t="s">
        <v>38</v>
      </c>
      <c r="D588" s="46" t="s">
        <v>421</v>
      </c>
      <c r="E588" s="46"/>
      <c r="F588" s="63" t="s">
        <v>205</v>
      </c>
      <c r="G588" s="47"/>
    </row>
    <row r="589" spans="1:7" ht="30" customHeight="1" x14ac:dyDescent="0.25">
      <c r="A589" s="125"/>
      <c r="B589" s="57">
        <v>1</v>
      </c>
      <c r="C589" s="48" t="s">
        <v>39</v>
      </c>
      <c r="D589" s="46" t="s">
        <v>452</v>
      </c>
      <c r="E589" s="50"/>
      <c r="F589" s="46" t="s">
        <v>453</v>
      </c>
      <c r="G589" s="47"/>
    </row>
    <row r="590" spans="1:7" ht="45" x14ac:dyDescent="0.25">
      <c r="A590" s="125"/>
      <c r="B590" s="59">
        <v>2</v>
      </c>
      <c r="C590" s="52" t="s">
        <v>40</v>
      </c>
      <c r="D590" s="46" t="s">
        <v>454</v>
      </c>
      <c r="E590" s="50"/>
      <c r="F590" s="46" t="s">
        <v>455</v>
      </c>
      <c r="G590" s="47"/>
    </row>
    <row r="591" spans="1:7" ht="30" x14ac:dyDescent="0.25">
      <c r="A591" s="125"/>
      <c r="B591" s="59">
        <v>3</v>
      </c>
      <c r="C591" s="52" t="s">
        <v>40</v>
      </c>
      <c r="D591" s="46" t="s">
        <v>456</v>
      </c>
      <c r="E591" s="50"/>
      <c r="F591" s="46" t="s">
        <v>306</v>
      </c>
      <c r="G591" s="47"/>
    </row>
    <row r="592" spans="1:7" ht="75" x14ac:dyDescent="0.25">
      <c r="A592" s="125"/>
      <c r="B592" s="89">
        <v>4</v>
      </c>
      <c r="C592" s="90" t="s">
        <v>40</v>
      </c>
      <c r="D592" s="60" t="s">
        <v>457</v>
      </c>
      <c r="E592" s="91"/>
      <c r="F592" s="46" t="s">
        <v>131</v>
      </c>
      <c r="G592" s="53"/>
    </row>
    <row r="593" spans="1:7" ht="60.75" thickBot="1" x14ac:dyDescent="0.3">
      <c r="A593" s="125"/>
      <c r="B593" s="54" t="s">
        <v>81</v>
      </c>
      <c r="C593" s="55" t="s">
        <v>82</v>
      </c>
      <c r="D593" s="60" t="s">
        <v>458</v>
      </c>
      <c r="E593" s="64"/>
      <c r="F593" s="92"/>
      <c r="G593" s="58"/>
    </row>
    <row r="594" spans="1:7" ht="49.9" customHeight="1" thickBot="1" x14ac:dyDescent="0.3">
      <c r="A594" s="107" t="str">
        <f>TabellaTest!F53</f>
        <v>TF023.UC02</v>
      </c>
      <c r="B594" s="120" t="str">
        <f>TabellaTest!C53</f>
        <v>PAR. 3.19-035-23</v>
      </c>
      <c r="C594" s="121"/>
      <c r="D594" s="122" t="str">
        <f>TabellaTest!E53</f>
        <v xml:space="preserve">Verifica emissione ordinanza di Revoca e Conversione pena pecuniaria sostitutiva per mancato pagamento    </v>
      </c>
      <c r="E594" s="123"/>
      <c r="F594" s="128" t="str">
        <f>TabellaTest!G53</f>
        <v>Verifica: Verificare nel sottosistema SIUS l'utilizzo della funzione "Ordinanza Revoca e Conversione pena pecuniaria sostitutiva per mancato pagamento"</v>
      </c>
      <c r="G594" s="130"/>
    </row>
    <row r="595" spans="1:7" ht="30" customHeight="1" x14ac:dyDescent="0.25">
      <c r="A595" s="124"/>
      <c r="B595" s="69" t="s">
        <v>31</v>
      </c>
      <c r="C595" s="44" t="s">
        <v>32</v>
      </c>
      <c r="D595" s="29" t="s">
        <v>33</v>
      </c>
      <c r="E595" s="29" t="s">
        <v>34</v>
      </c>
      <c r="F595" s="29" t="s">
        <v>35</v>
      </c>
      <c r="G595" s="30" t="s">
        <v>10</v>
      </c>
    </row>
    <row r="596" spans="1:7" ht="45" x14ac:dyDescent="0.25">
      <c r="A596" s="125"/>
      <c r="B596" s="56" t="s">
        <v>36</v>
      </c>
      <c r="C596" s="45" t="s">
        <v>37</v>
      </c>
      <c r="D596" s="46" t="s">
        <v>232</v>
      </c>
      <c r="E596" s="46" t="s">
        <v>91</v>
      </c>
      <c r="F596" s="46"/>
      <c r="G596" s="47"/>
    </row>
    <row r="597" spans="1:7" ht="30" x14ac:dyDescent="0.25">
      <c r="A597" s="125"/>
      <c r="B597" s="57">
        <v>1</v>
      </c>
      <c r="C597" s="48" t="s">
        <v>39</v>
      </c>
      <c r="D597" s="49" t="s">
        <v>134</v>
      </c>
      <c r="E597" s="50"/>
      <c r="F597" s="46" t="s">
        <v>111</v>
      </c>
      <c r="G597" s="47"/>
    </row>
    <row r="598" spans="1:7" ht="30" x14ac:dyDescent="0.25">
      <c r="A598" s="125"/>
      <c r="B598" s="103" t="s">
        <v>108</v>
      </c>
      <c r="C598" s="52" t="s">
        <v>40</v>
      </c>
      <c r="D598" s="46" t="s">
        <v>135</v>
      </c>
      <c r="E598" s="50"/>
      <c r="F598" s="46" t="s">
        <v>136</v>
      </c>
      <c r="G598" s="47"/>
    </row>
    <row r="599" spans="1:7" ht="45" x14ac:dyDescent="0.25">
      <c r="A599" s="125"/>
      <c r="B599" s="103" t="s">
        <v>107</v>
      </c>
      <c r="C599" s="52" t="s">
        <v>40</v>
      </c>
      <c r="D599" s="46" t="s">
        <v>137</v>
      </c>
      <c r="E599" s="50"/>
      <c r="F599" s="46" t="s">
        <v>459</v>
      </c>
      <c r="G599" s="47"/>
    </row>
    <row r="600" spans="1:7" ht="45" x14ac:dyDescent="0.25">
      <c r="A600" s="125"/>
      <c r="B600" s="103" t="s">
        <v>106</v>
      </c>
      <c r="C600" s="52" t="s">
        <v>40</v>
      </c>
      <c r="D600" s="46" t="s">
        <v>259</v>
      </c>
      <c r="E600" s="50"/>
      <c r="F600" s="46" t="s">
        <v>472</v>
      </c>
      <c r="G600" s="47"/>
    </row>
    <row r="601" spans="1:7" ht="30.75" thickBot="1" x14ac:dyDescent="0.3">
      <c r="A601" s="125"/>
      <c r="B601" s="54" t="s">
        <v>81</v>
      </c>
      <c r="C601" s="55" t="s">
        <v>82</v>
      </c>
      <c r="D601" s="61" t="s">
        <v>102</v>
      </c>
      <c r="E601" s="64"/>
      <c r="F601" s="61"/>
      <c r="G601" s="58" t="s">
        <v>47</v>
      </c>
    </row>
    <row r="602" spans="1:7" ht="45" x14ac:dyDescent="0.25">
      <c r="A602" s="125"/>
      <c r="B602" s="56" t="s">
        <v>36</v>
      </c>
      <c r="C602" s="45" t="s">
        <v>38</v>
      </c>
      <c r="D602" s="46" t="s">
        <v>460</v>
      </c>
      <c r="E602" s="46"/>
      <c r="F602" s="63"/>
      <c r="G602" s="47"/>
    </row>
    <row r="603" spans="1:7" ht="45" x14ac:dyDescent="0.25">
      <c r="A603" s="125"/>
      <c r="B603" s="103" t="s">
        <v>104</v>
      </c>
      <c r="C603" s="52" t="s">
        <v>40</v>
      </c>
      <c r="D603" s="46" t="s">
        <v>100</v>
      </c>
      <c r="E603" s="50"/>
      <c r="F603" s="46" t="s">
        <v>99</v>
      </c>
      <c r="G603" s="47"/>
    </row>
    <row r="604" spans="1:7" ht="30.75" thickBot="1" x14ac:dyDescent="0.3">
      <c r="A604" s="125"/>
      <c r="B604" s="54" t="s">
        <v>81</v>
      </c>
      <c r="C604" s="55" t="s">
        <v>82</v>
      </c>
      <c r="D604" s="61" t="s">
        <v>461</v>
      </c>
      <c r="E604" s="64"/>
      <c r="F604" s="61"/>
      <c r="G604" s="58" t="s">
        <v>47</v>
      </c>
    </row>
    <row r="605" spans="1:7" ht="45" x14ac:dyDescent="0.25">
      <c r="A605" s="125"/>
      <c r="B605" s="103" t="s">
        <v>101</v>
      </c>
      <c r="C605" s="52" t="s">
        <v>40</v>
      </c>
      <c r="D605" s="46" t="s">
        <v>97</v>
      </c>
      <c r="E605" s="50"/>
      <c r="F605" s="46" t="s">
        <v>150</v>
      </c>
      <c r="G605" s="47"/>
    </row>
    <row r="606" spans="1:7" ht="30" customHeight="1" thickBot="1" x14ac:dyDescent="0.3">
      <c r="A606" s="199"/>
      <c r="B606" s="54" t="s">
        <v>81</v>
      </c>
      <c r="C606" s="55" t="s">
        <v>82</v>
      </c>
      <c r="D606" s="61" t="s">
        <v>110</v>
      </c>
      <c r="E606" s="64"/>
      <c r="F606" s="61"/>
      <c r="G606" s="58" t="s">
        <v>47</v>
      </c>
    </row>
    <row r="607" spans="1:7" ht="59.45" customHeight="1" thickBot="1" x14ac:dyDescent="0.3">
      <c r="A607" s="108" t="str">
        <f>TabellaTest!F54</f>
        <v>TF024.UC01</v>
      </c>
      <c r="B607" s="120" t="str">
        <f>TabellaTest!C54</f>
        <v>PAR. 3.21-035-24</v>
      </c>
      <c r="C607" s="121"/>
      <c r="D607" s="122" t="str">
        <f>TabellaTest!E54</f>
        <v>Verifica iscrizione procedimento di Sospensione esecuzione pene accessorie (UDS)</v>
      </c>
      <c r="E607" s="123"/>
      <c r="F607" s="128" t="str">
        <f>TabellaTest!G54</f>
        <v>Verifica: Verificare che nel sottosistema SIUS a seguito iscrizione procedimento con contenuto Sospensione esecuzione pene accessorie venga inserito un nuovo procedimento SIUS</v>
      </c>
      <c r="G607" s="130"/>
    </row>
    <row r="608" spans="1:7" ht="30" customHeight="1" x14ac:dyDescent="0.25">
      <c r="A608" s="124"/>
      <c r="B608" s="106" t="s">
        <v>31</v>
      </c>
      <c r="C608" s="44" t="s">
        <v>32</v>
      </c>
      <c r="D608" s="29" t="s">
        <v>33</v>
      </c>
      <c r="E608" s="29" t="s">
        <v>34</v>
      </c>
      <c r="F608" s="29" t="s">
        <v>35</v>
      </c>
      <c r="G608" s="30" t="s">
        <v>10</v>
      </c>
    </row>
    <row r="609" spans="1:7" ht="30" customHeight="1" x14ac:dyDescent="0.25">
      <c r="A609" s="125"/>
      <c r="B609" s="56" t="s">
        <v>36</v>
      </c>
      <c r="C609" s="45" t="s">
        <v>37</v>
      </c>
      <c r="D609" s="46" t="s">
        <v>203</v>
      </c>
      <c r="E609" s="46" t="s">
        <v>91</v>
      </c>
      <c r="F609" s="46"/>
      <c r="G609" s="47"/>
    </row>
    <row r="610" spans="1:7" ht="60" customHeight="1" x14ac:dyDescent="0.25">
      <c r="A610" s="125"/>
      <c r="B610" s="56" t="s">
        <v>36</v>
      </c>
      <c r="C610" s="45" t="s">
        <v>38</v>
      </c>
      <c r="D610" s="46" t="s">
        <v>467</v>
      </c>
      <c r="E610" s="46"/>
      <c r="F610" s="63" t="s">
        <v>468</v>
      </c>
      <c r="G610" s="47"/>
    </row>
    <row r="611" spans="1:7" ht="30" x14ac:dyDescent="0.25">
      <c r="A611" s="125"/>
      <c r="B611" s="59">
        <v>1</v>
      </c>
      <c r="C611" s="52" t="s">
        <v>40</v>
      </c>
      <c r="D611" s="46" t="s">
        <v>456</v>
      </c>
      <c r="E611" s="50"/>
      <c r="F611" s="46" t="s">
        <v>306</v>
      </c>
      <c r="G611" s="47"/>
    </row>
    <row r="612" spans="1:7" ht="60" x14ac:dyDescent="0.25">
      <c r="A612" s="125"/>
      <c r="B612" s="89">
        <v>2</v>
      </c>
      <c r="C612" s="90" t="s">
        <v>40</v>
      </c>
      <c r="D612" s="60" t="s">
        <v>469</v>
      </c>
      <c r="E612" s="91"/>
      <c r="F612" s="46" t="s">
        <v>131</v>
      </c>
      <c r="G612" s="53"/>
    </row>
    <row r="613" spans="1:7" ht="60.75" thickBot="1" x14ac:dyDescent="0.3">
      <c r="A613" s="199"/>
      <c r="B613" s="54" t="s">
        <v>81</v>
      </c>
      <c r="C613" s="55" t="s">
        <v>82</v>
      </c>
      <c r="D613" s="60" t="s">
        <v>458</v>
      </c>
      <c r="E613" s="64"/>
      <c r="F613" s="92"/>
      <c r="G613" s="58"/>
    </row>
    <row r="614" spans="1:7" ht="49.9" customHeight="1" thickBot="1" x14ac:dyDescent="0.3">
      <c r="A614" s="108" t="str">
        <f>TabellaTest!F55</f>
        <v>TF024.UC02</v>
      </c>
      <c r="B614" s="120" t="str">
        <f>TabellaTest!C55</f>
        <v>PAR. 3.21-035-24</v>
      </c>
      <c r="C614" s="121"/>
      <c r="D614" s="122" t="str">
        <f>TabellaTest!E55</f>
        <v xml:space="preserve">Verifica emissione ordinanza di Sospensione esecuzione pene accessorie (UDS) </v>
      </c>
      <c r="E614" s="123"/>
      <c r="F614" s="128" t="str">
        <f>TabellaTest!G55</f>
        <v>Verifica: Verificare nel sottosistema SIUS l'utilizzo della funzione "Ordinanza Sospensione esecuzione pene accessorie"</v>
      </c>
      <c r="G614" s="130"/>
    </row>
    <row r="615" spans="1:7" ht="30" customHeight="1" x14ac:dyDescent="0.25">
      <c r="A615" s="124"/>
      <c r="B615" s="69" t="s">
        <v>31</v>
      </c>
      <c r="C615" s="44" t="s">
        <v>32</v>
      </c>
      <c r="D615" s="29" t="s">
        <v>33</v>
      </c>
      <c r="E615" s="29" t="s">
        <v>34</v>
      </c>
      <c r="F615" s="29" t="s">
        <v>35</v>
      </c>
      <c r="G615" s="30" t="s">
        <v>10</v>
      </c>
    </row>
    <row r="616" spans="1:7" ht="45" x14ac:dyDescent="0.25">
      <c r="A616" s="125"/>
      <c r="B616" s="56" t="s">
        <v>36</v>
      </c>
      <c r="C616" s="45" t="s">
        <v>37</v>
      </c>
      <c r="D616" s="46" t="s">
        <v>232</v>
      </c>
      <c r="E616" s="46" t="s">
        <v>91</v>
      </c>
      <c r="F616" s="46"/>
      <c r="G616" s="47"/>
    </row>
    <row r="617" spans="1:7" ht="30" x14ac:dyDescent="0.25">
      <c r="A617" s="125"/>
      <c r="B617" s="57">
        <v>1</v>
      </c>
      <c r="C617" s="48" t="s">
        <v>39</v>
      </c>
      <c r="D617" s="49" t="s">
        <v>134</v>
      </c>
      <c r="E617" s="50"/>
      <c r="F617" s="46" t="s">
        <v>111</v>
      </c>
      <c r="G617" s="47"/>
    </row>
    <row r="618" spans="1:7" ht="30" x14ac:dyDescent="0.25">
      <c r="A618" s="125"/>
      <c r="B618" s="103" t="s">
        <v>108</v>
      </c>
      <c r="C618" s="52" t="s">
        <v>40</v>
      </c>
      <c r="D618" s="46" t="s">
        <v>135</v>
      </c>
      <c r="E618" s="50"/>
      <c r="F618" s="46" t="s">
        <v>136</v>
      </c>
      <c r="G618" s="47"/>
    </row>
    <row r="619" spans="1:7" ht="45" x14ac:dyDescent="0.25">
      <c r="A619" s="125"/>
      <c r="B619" s="103" t="s">
        <v>107</v>
      </c>
      <c r="C619" s="52" t="s">
        <v>40</v>
      </c>
      <c r="D619" s="46" t="s">
        <v>137</v>
      </c>
      <c r="E619" s="50"/>
      <c r="F619" s="46" t="s">
        <v>470</v>
      </c>
      <c r="G619" s="47"/>
    </row>
    <row r="620" spans="1:7" ht="45" x14ac:dyDescent="0.25">
      <c r="A620" s="125"/>
      <c r="B620" s="103" t="s">
        <v>106</v>
      </c>
      <c r="C620" s="52" t="s">
        <v>40</v>
      </c>
      <c r="D620" s="46" t="s">
        <v>259</v>
      </c>
      <c r="E620" s="50"/>
      <c r="F620" s="46" t="s">
        <v>471</v>
      </c>
      <c r="G620" s="47"/>
    </row>
    <row r="621" spans="1:7" ht="30.75" thickBot="1" x14ac:dyDescent="0.3">
      <c r="A621" s="125"/>
      <c r="B621" s="54" t="s">
        <v>81</v>
      </c>
      <c r="C621" s="55" t="s">
        <v>82</v>
      </c>
      <c r="D621" s="61" t="s">
        <v>102</v>
      </c>
      <c r="E621" s="64"/>
      <c r="F621" s="61"/>
      <c r="G621" s="58" t="s">
        <v>47</v>
      </c>
    </row>
    <row r="622" spans="1:7" ht="45" x14ac:dyDescent="0.25">
      <c r="A622" s="125"/>
      <c r="B622" s="56" t="s">
        <v>36</v>
      </c>
      <c r="C622" s="45" t="s">
        <v>38</v>
      </c>
      <c r="D622" s="46" t="s">
        <v>473</v>
      </c>
      <c r="E622" s="46"/>
      <c r="F622" s="63"/>
      <c r="G622" s="47"/>
    </row>
    <row r="623" spans="1:7" ht="45" x14ac:dyDescent="0.25">
      <c r="A623" s="125"/>
      <c r="B623" s="103" t="s">
        <v>104</v>
      </c>
      <c r="C623" s="52" t="s">
        <v>40</v>
      </c>
      <c r="D623" s="46" t="s">
        <v>100</v>
      </c>
      <c r="E623" s="50"/>
      <c r="F623" s="46" t="s">
        <v>475</v>
      </c>
      <c r="G623" s="47"/>
    </row>
    <row r="624" spans="1:7" ht="30.75" thickBot="1" x14ac:dyDescent="0.3">
      <c r="A624" s="125"/>
      <c r="B624" s="54" t="s">
        <v>81</v>
      </c>
      <c r="C624" s="55" t="s">
        <v>82</v>
      </c>
      <c r="D624" s="61" t="s">
        <v>474</v>
      </c>
      <c r="E624" s="64"/>
      <c r="F624" s="61"/>
      <c r="G624" s="58" t="s">
        <v>47</v>
      </c>
    </row>
    <row r="625" spans="1:7" ht="45" x14ac:dyDescent="0.25">
      <c r="A625" s="125"/>
      <c r="B625" s="103" t="s">
        <v>101</v>
      </c>
      <c r="C625" s="52" t="s">
        <v>40</v>
      </c>
      <c r="D625" s="46" t="s">
        <v>97</v>
      </c>
      <c r="E625" s="50"/>
      <c r="F625" s="46" t="s">
        <v>150</v>
      </c>
      <c r="G625" s="47"/>
    </row>
    <row r="626" spans="1:7" ht="30" customHeight="1" thickBot="1" x14ac:dyDescent="0.3">
      <c r="A626" s="199"/>
      <c r="B626" s="54" t="s">
        <v>81</v>
      </c>
      <c r="C626" s="55" t="s">
        <v>82</v>
      </c>
      <c r="D626" s="61" t="s">
        <v>110</v>
      </c>
      <c r="E626" s="64"/>
      <c r="F626" s="61"/>
      <c r="G626" s="58" t="s">
        <v>47</v>
      </c>
    </row>
    <row r="627" spans="1:7" ht="59.45" customHeight="1" thickBot="1" x14ac:dyDescent="0.3">
      <c r="A627" s="108" t="str">
        <f>TabellaTest!F56</f>
        <v>TF025.UC01</v>
      </c>
      <c r="B627" s="120" t="str">
        <f>TabellaTest!C56</f>
        <v>PAR. 3.22-035-25</v>
      </c>
      <c r="C627" s="121"/>
      <c r="D627" s="122" t="str">
        <f>TabellaTest!E56</f>
        <v>Verifica iscrizione procedimento di Sospensione esecuzione pene accessorie (TDS)</v>
      </c>
      <c r="E627" s="123"/>
      <c r="F627" s="128" t="str">
        <f>TabellaTest!G56</f>
        <v>Verifica: Verificare che nel sottosistema SIUS a seguito iscrizione procedimento con contenuto Sospensione esecuzione pene accessorie venga inserito un nuovo procedimento SIUS</v>
      </c>
      <c r="G627" s="130"/>
    </row>
    <row r="628" spans="1:7" ht="30" customHeight="1" x14ac:dyDescent="0.25">
      <c r="A628" s="124"/>
      <c r="B628" s="106" t="s">
        <v>31</v>
      </c>
      <c r="C628" s="44" t="s">
        <v>32</v>
      </c>
      <c r="D628" s="29" t="s">
        <v>33</v>
      </c>
      <c r="E628" s="29" t="s">
        <v>34</v>
      </c>
      <c r="F628" s="29" t="s">
        <v>35</v>
      </c>
      <c r="G628" s="30" t="s">
        <v>10</v>
      </c>
    </row>
    <row r="629" spans="1:7" ht="30" customHeight="1" x14ac:dyDescent="0.25">
      <c r="A629" s="125"/>
      <c r="B629" s="56" t="s">
        <v>36</v>
      </c>
      <c r="C629" s="45" t="s">
        <v>37</v>
      </c>
      <c r="D629" s="46" t="s">
        <v>300</v>
      </c>
      <c r="E629" s="46" t="s">
        <v>362</v>
      </c>
      <c r="F629" s="46"/>
      <c r="G629" s="47"/>
    </row>
    <row r="630" spans="1:7" ht="60" customHeight="1" x14ac:dyDescent="0.25">
      <c r="A630" s="125"/>
      <c r="B630" s="56" t="s">
        <v>36</v>
      </c>
      <c r="C630" s="45" t="s">
        <v>38</v>
      </c>
      <c r="D630" s="46" t="s">
        <v>363</v>
      </c>
      <c r="E630" s="46"/>
      <c r="F630" s="63"/>
      <c r="G630" s="47"/>
    </row>
    <row r="631" spans="1:7" ht="30" customHeight="1" x14ac:dyDescent="0.25">
      <c r="A631" s="125"/>
      <c r="B631" s="57">
        <v>1</v>
      </c>
      <c r="C631" s="48" t="s">
        <v>39</v>
      </c>
      <c r="D631" s="46" t="s">
        <v>302</v>
      </c>
      <c r="E631" s="50"/>
      <c r="F631" s="46" t="s">
        <v>303</v>
      </c>
      <c r="G631" s="47"/>
    </row>
    <row r="632" spans="1:7" ht="45" x14ac:dyDescent="0.25">
      <c r="A632" s="125"/>
      <c r="B632" s="59">
        <v>2</v>
      </c>
      <c r="C632" s="52" t="s">
        <v>40</v>
      </c>
      <c r="D632" s="46" t="s">
        <v>304</v>
      </c>
      <c r="E632" s="50"/>
      <c r="F632" s="63" t="s">
        <v>205</v>
      </c>
      <c r="G632" s="47"/>
    </row>
    <row r="633" spans="1:7" ht="30" x14ac:dyDescent="0.25">
      <c r="A633" s="125"/>
      <c r="B633" s="59">
        <v>3</v>
      </c>
      <c r="C633" s="52" t="s">
        <v>40</v>
      </c>
      <c r="D633" s="46" t="s">
        <v>479</v>
      </c>
      <c r="E633" s="50"/>
      <c r="F633" s="46" t="s">
        <v>306</v>
      </c>
      <c r="G633" s="47"/>
    </row>
    <row r="634" spans="1:7" ht="60" x14ac:dyDescent="0.25">
      <c r="A634" s="125"/>
      <c r="B634" s="89">
        <v>4</v>
      </c>
      <c r="C634" s="90" t="s">
        <v>40</v>
      </c>
      <c r="D634" s="60" t="s">
        <v>469</v>
      </c>
      <c r="E634" s="91"/>
      <c r="F634" s="46" t="s">
        <v>131</v>
      </c>
      <c r="G634" s="53"/>
    </row>
    <row r="635" spans="1:7" ht="60.75" thickBot="1" x14ac:dyDescent="0.3">
      <c r="A635" s="199"/>
      <c r="B635" s="54" t="s">
        <v>81</v>
      </c>
      <c r="C635" s="55" t="s">
        <v>82</v>
      </c>
      <c r="D635" s="60" t="s">
        <v>458</v>
      </c>
      <c r="E635" s="64"/>
      <c r="F635" s="92"/>
      <c r="G635" s="58"/>
    </row>
    <row r="636" spans="1:7" ht="49.9" customHeight="1" thickBot="1" x14ac:dyDescent="0.3">
      <c r="A636" s="108" t="str">
        <f>TabellaTest!F57</f>
        <v>TF025.UC02</v>
      </c>
      <c r="B636" s="120" t="str">
        <f>TabellaTest!C57</f>
        <v>PAR. 3.22-035-25</v>
      </c>
      <c r="C636" s="121"/>
      <c r="D636" s="122" t="str">
        <f>TabellaTest!E57</f>
        <v xml:space="preserve">Verifica emissione ordinanza di Sospensione esecuzione pene accessorie (TDS) </v>
      </c>
      <c r="E636" s="123"/>
      <c r="F636" s="128" t="str">
        <f>TabellaTest!G57</f>
        <v>Verifica: Verificare nel sottosistema SIUS l'utilizzo della funzione "Ordinanza Sospensione esecuzione pene accessorie"</v>
      </c>
      <c r="G636" s="130"/>
    </row>
    <row r="637" spans="1:7" ht="30" customHeight="1" x14ac:dyDescent="0.25">
      <c r="A637" s="124"/>
      <c r="B637" s="69" t="s">
        <v>31</v>
      </c>
      <c r="C637" s="44" t="s">
        <v>32</v>
      </c>
      <c r="D637" s="29" t="s">
        <v>33</v>
      </c>
      <c r="E637" s="29" t="s">
        <v>34</v>
      </c>
      <c r="F637" s="29" t="s">
        <v>35</v>
      </c>
      <c r="G637" s="30" t="s">
        <v>10</v>
      </c>
    </row>
    <row r="638" spans="1:7" ht="45" x14ac:dyDescent="0.25">
      <c r="A638" s="125"/>
      <c r="B638" s="56" t="s">
        <v>36</v>
      </c>
      <c r="C638" s="45" t="s">
        <v>37</v>
      </c>
      <c r="D638" s="46" t="s">
        <v>480</v>
      </c>
      <c r="E638" s="46" t="s">
        <v>301</v>
      </c>
      <c r="F638" s="46"/>
      <c r="G638" s="47"/>
    </row>
    <row r="639" spans="1:7" ht="30" x14ac:dyDescent="0.25">
      <c r="A639" s="125"/>
      <c r="B639" s="57">
        <v>1</v>
      </c>
      <c r="C639" s="48" t="s">
        <v>39</v>
      </c>
      <c r="D639" s="49" t="s">
        <v>134</v>
      </c>
      <c r="E639" s="50"/>
      <c r="F639" s="46" t="s">
        <v>111</v>
      </c>
      <c r="G639" s="47"/>
    </row>
    <row r="640" spans="1:7" ht="30" x14ac:dyDescent="0.25">
      <c r="A640" s="125"/>
      <c r="B640" s="103" t="s">
        <v>108</v>
      </c>
      <c r="C640" s="52" t="s">
        <v>40</v>
      </c>
      <c r="D640" s="46" t="s">
        <v>135</v>
      </c>
      <c r="E640" s="50"/>
      <c r="F640" s="46" t="s">
        <v>136</v>
      </c>
      <c r="G640" s="47"/>
    </row>
    <row r="641" spans="1:7" ht="45" x14ac:dyDescent="0.25">
      <c r="A641" s="125"/>
      <c r="B641" s="103" t="s">
        <v>107</v>
      </c>
      <c r="C641" s="52" t="s">
        <v>40</v>
      </c>
      <c r="D641" s="46" t="s">
        <v>137</v>
      </c>
      <c r="E641" s="50"/>
      <c r="F641" s="46" t="s">
        <v>470</v>
      </c>
      <c r="G641" s="47"/>
    </row>
    <row r="642" spans="1:7" ht="45" x14ac:dyDescent="0.25">
      <c r="A642" s="125"/>
      <c r="B642" s="103" t="s">
        <v>106</v>
      </c>
      <c r="C642" s="52" t="s">
        <v>40</v>
      </c>
      <c r="D642" s="46" t="s">
        <v>259</v>
      </c>
      <c r="E642" s="50"/>
      <c r="F642" s="46" t="s">
        <v>471</v>
      </c>
      <c r="G642" s="47"/>
    </row>
    <row r="643" spans="1:7" ht="30.75" thickBot="1" x14ac:dyDescent="0.3">
      <c r="A643" s="125"/>
      <c r="B643" s="54" t="s">
        <v>81</v>
      </c>
      <c r="C643" s="55" t="s">
        <v>82</v>
      </c>
      <c r="D643" s="61" t="s">
        <v>102</v>
      </c>
      <c r="E643" s="64"/>
      <c r="F643" s="61"/>
      <c r="G643" s="58" t="s">
        <v>47</v>
      </c>
    </row>
    <row r="644" spans="1:7" ht="45" x14ac:dyDescent="0.25">
      <c r="A644" s="125"/>
      <c r="B644" s="56" t="s">
        <v>36</v>
      </c>
      <c r="C644" s="45" t="s">
        <v>38</v>
      </c>
      <c r="D644" s="46" t="s">
        <v>473</v>
      </c>
      <c r="E644" s="46"/>
      <c r="F644" s="63"/>
      <c r="G644" s="47"/>
    </row>
    <row r="645" spans="1:7" ht="45" x14ac:dyDescent="0.25">
      <c r="A645" s="125"/>
      <c r="B645" s="103" t="s">
        <v>104</v>
      </c>
      <c r="C645" s="52" t="s">
        <v>40</v>
      </c>
      <c r="D645" s="46" t="s">
        <v>100</v>
      </c>
      <c r="E645" s="50"/>
      <c r="F645" s="46" t="s">
        <v>475</v>
      </c>
      <c r="G645" s="47"/>
    </row>
    <row r="646" spans="1:7" ht="30.75" thickBot="1" x14ac:dyDescent="0.3">
      <c r="A646" s="125"/>
      <c r="B646" s="54" t="s">
        <v>81</v>
      </c>
      <c r="C646" s="55" t="s">
        <v>82</v>
      </c>
      <c r="D646" s="61" t="s">
        <v>481</v>
      </c>
      <c r="E646" s="64"/>
      <c r="F646" s="61"/>
      <c r="G646" s="58" t="s">
        <v>47</v>
      </c>
    </row>
    <row r="647" spans="1:7" ht="45" x14ac:dyDescent="0.25">
      <c r="A647" s="125"/>
      <c r="B647" s="103" t="s">
        <v>101</v>
      </c>
      <c r="C647" s="52" t="s">
        <v>40</v>
      </c>
      <c r="D647" s="46" t="s">
        <v>97</v>
      </c>
      <c r="E647" s="50"/>
      <c r="F647" s="46" t="s">
        <v>150</v>
      </c>
      <c r="G647" s="47"/>
    </row>
    <row r="648" spans="1:7" ht="30" customHeight="1" thickBot="1" x14ac:dyDescent="0.3">
      <c r="A648" s="199"/>
      <c r="B648" s="54" t="s">
        <v>81</v>
      </c>
      <c r="C648" s="55" t="s">
        <v>82</v>
      </c>
      <c r="D648" s="61" t="s">
        <v>110</v>
      </c>
      <c r="E648" s="64"/>
      <c r="F648" s="61"/>
      <c r="G648" s="58" t="s">
        <v>47</v>
      </c>
    </row>
    <row r="649" spans="1:7" ht="59.45" customHeight="1" thickBot="1" x14ac:dyDescent="0.3">
      <c r="A649" s="108" t="str">
        <f>TabellaTest!F58</f>
        <v>TF026.UC01</v>
      </c>
      <c r="B649" s="120" t="str">
        <f>TabellaTest!C58</f>
        <v>PAR. 3.23-035-26</v>
      </c>
      <c r="C649" s="121"/>
      <c r="D649" s="122" t="str">
        <f>TabellaTest!E58</f>
        <v xml:space="preserve">Verifica iscrizione procedimento di Conversione pene pecuniarie principali per mancato pagamento </v>
      </c>
      <c r="E649" s="123"/>
      <c r="F649" s="128" t="str">
        <f>TabellaTest!G58</f>
        <v>Verifica: Verificare che nel sottosistema SIUS a seguito iscrizione procedimento con contenuto Conversione pene pecuniarie principali per mancato pagamento  venga inserito un nuovo procedimento SIUS</v>
      </c>
      <c r="G649" s="130"/>
    </row>
    <row r="650" spans="1:7" ht="30" customHeight="1" x14ac:dyDescent="0.25">
      <c r="A650" s="124"/>
      <c r="B650" s="106" t="s">
        <v>31</v>
      </c>
      <c r="C650" s="44" t="s">
        <v>32</v>
      </c>
      <c r="D650" s="29" t="s">
        <v>33</v>
      </c>
      <c r="E650" s="29" t="s">
        <v>34</v>
      </c>
      <c r="F650" s="29" t="s">
        <v>35</v>
      </c>
      <c r="G650" s="30" t="s">
        <v>10</v>
      </c>
    </row>
    <row r="651" spans="1:7" ht="30" customHeight="1" x14ac:dyDescent="0.25">
      <c r="A651" s="125"/>
      <c r="B651" s="56" t="s">
        <v>36</v>
      </c>
      <c r="C651" s="45" t="s">
        <v>37</v>
      </c>
      <c r="D651" s="46" t="s">
        <v>203</v>
      </c>
      <c r="E651" s="46" t="s">
        <v>91</v>
      </c>
      <c r="F651" s="46"/>
      <c r="G651" s="47"/>
    </row>
    <row r="652" spans="1:7" ht="60" customHeight="1" x14ac:dyDescent="0.25">
      <c r="A652" s="125"/>
      <c r="B652" s="56" t="s">
        <v>36</v>
      </c>
      <c r="C652" s="45" t="s">
        <v>38</v>
      </c>
      <c r="D652" s="46" t="s">
        <v>467</v>
      </c>
      <c r="E652" s="46"/>
      <c r="F652" s="63" t="s">
        <v>468</v>
      </c>
      <c r="G652" s="47"/>
    </row>
    <row r="653" spans="1:7" ht="30" x14ac:dyDescent="0.25">
      <c r="A653" s="125"/>
      <c r="B653" s="59">
        <v>1</v>
      </c>
      <c r="C653" s="52" t="s">
        <v>40</v>
      </c>
      <c r="D653" s="46" t="s">
        <v>456</v>
      </c>
      <c r="E653" s="50"/>
      <c r="F653" s="46" t="s">
        <v>306</v>
      </c>
      <c r="G653" s="47"/>
    </row>
    <row r="654" spans="1:7" ht="60" x14ac:dyDescent="0.25">
      <c r="A654" s="125"/>
      <c r="B654" s="89">
        <v>2</v>
      </c>
      <c r="C654" s="90" t="s">
        <v>40</v>
      </c>
      <c r="D654" s="60" t="s">
        <v>487</v>
      </c>
      <c r="E654" s="91"/>
      <c r="F654" s="46" t="s">
        <v>131</v>
      </c>
      <c r="G654" s="53"/>
    </row>
    <row r="655" spans="1:7" ht="60.75" thickBot="1" x14ac:dyDescent="0.3">
      <c r="A655" s="125"/>
      <c r="B655" s="54" t="s">
        <v>81</v>
      </c>
      <c r="C655" s="55" t="s">
        <v>82</v>
      </c>
      <c r="D655" s="60" t="s">
        <v>458</v>
      </c>
      <c r="E655" s="64"/>
      <c r="F655" s="92"/>
      <c r="G655" s="58"/>
    </row>
    <row r="656" spans="1:7" ht="49.9" customHeight="1" thickBot="1" x14ac:dyDescent="0.3">
      <c r="A656" s="107" t="str">
        <f>TabellaTest!F59</f>
        <v>TF026.UC02</v>
      </c>
      <c r="B656" s="120" t="str">
        <f>TabellaTest!C59</f>
        <v>PAR. 3.23-035-26</v>
      </c>
      <c r="C656" s="121"/>
      <c r="D656" s="122" t="str">
        <f>TabellaTest!E59</f>
        <v xml:space="preserve">Verifica emissione ordinanza di Conversione pene pecuniarie principali per mancato pagamento </v>
      </c>
      <c r="E656" s="123"/>
      <c r="F656" s="128" t="str">
        <f>TabellaTest!G59</f>
        <v>Verifica: Verificare nel sottosistema SIUS l'utilizzo della funzione "Conversione pene pecuniarie principali per mancato pagamento"</v>
      </c>
      <c r="G656" s="130"/>
    </row>
    <row r="657" spans="1:7" ht="30" customHeight="1" x14ac:dyDescent="0.25">
      <c r="A657" s="124"/>
      <c r="B657" s="69" t="s">
        <v>31</v>
      </c>
      <c r="C657" s="44" t="s">
        <v>32</v>
      </c>
      <c r="D657" s="29" t="s">
        <v>33</v>
      </c>
      <c r="E657" s="29" t="s">
        <v>34</v>
      </c>
      <c r="F657" s="29" t="s">
        <v>35</v>
      </c>
      <c r="G657" s="30" t="s">
        <v>10</v>
      </c>
    </row>
    <row r="658" spans="1:7" ht="45" x14ac:dyDescent="0.25">
      <c r="A658" s="125"/>
      <c r="B658" s="56" t="s">
        <v>36</v>
      </c>
      <c r="C658" s="45" t="s">
        <v>37</v>
      </c>
      <c r="D658" s="46" t="s">
        <v>232</v>
      </c>
      <c r="E658" s="46" t="s">
        <v>91</v>
      </c>
      <c r="F658" s="46"/>
      <c r="G658" s="47"/>
    </row>
    <row r="659" spans="1:7" ht="30" x14ac:dyDescent="0.25">
      <c r="A659" s="125"/>
      <c r="B659" s="57">
        <v>1</v>
      </c>
      <c r="C659" s="48" t="s">
        <v>39</v>
      </c>
      <c r="D659" s="49" t="s">
        <v>134</v>
      </c>
      <c r="E659" s="50"/>
      <c r="F659" s="46" t="s">
        <v>111</v>
      </c>
      <c r="G659" s="47"/>
    </row>
    <row r="660" spans="1:7" ht="30" x14ac:dyDescent="0.25">
      <c r="A660" s="125"/>
      <c r="B660" s="103" t="s">
        <v>108</v>
      </c>
      <c r="C660" s="52" t="s">
        <v>40</v>
      </c>
      <c r="D660" s="46" t="s">
        <v>135</v>
      </c>
      <c r="E660" s="50"/>
      <c r="F660" s="46" t="s">
        <v>136</v>
      </c>
      <c r="G660" s="47"/>
    </row>
    <row r="661" spans="1:7" ht="60" x14ac:dyDescent="0.25">
      <c r="A661" s="125"/>
      <c r="B661" s="103" t="s">
        <v>107</v>
      </c>
      <c r="C661" s="52" t="s">
        <v>40</v>
      </c>
      <c r="D661" s="46" t="s">
        <v>137</v>
      </c>
      <c r="E661" s="50"/>
      <c r="F661" s="46" t="s">
        <v>488</v>
      </c>
      <c r="G661" s="47"/>
    </row>
    <row r="662" spans="1:7" ht="45" x14ac:dyDescent="0.25">
      <c r="A662" s="125"/>
      <c r="B662" s="103" t="s">
        <v>106</v>
      </c>
      <c r="C662" s="52" t="s">
        <v>40</v>
      </c>
      <c r="D662" s="46" t="s">
        <v>259</v>
      </c>
      <c r="E662" s="50"/>
      <c r="F662" s="46" t="s">
        <v>489</v>
      </c>
      <c r="G662" s="47"/>
    </row>
    <row r="663" spans="1:7" ht="30.75" thickBot="1" x14ac:dyDescent="0.3">
      <c r="A663" s="125"/>
      <c r="B663" s="54" t="s">
        <v>81</v>
      </c>
      <c r="C663" s="55" t="s">
        <v>82</v>
      </c>
      <c r="D663" s="61" t="s">
        <v>102</v>
      </c>
      <c r="E663" s="64"/>
      <c r="F663" s="61"/>
      <c r="G663" s="58" t="s">
        <v>47</v>
      </c>
    </row>
    <row r="664" spans="1:7" ht="45" x14ac:dyDescent="0.25">
      <c r="A664" s="125"/>
      <c r="B664" s="56" t="s">
        <v>36</v>
      </c>
      <c r="C664" s="45" t="s">
        <v>38</v>
      </c>
      <c r="D664" s="46" t="s">
        <v>490</v>
      </c>
      <c r="E664" s="46"/>
      <c r="F664" s="63"/>
      <c r="G664" s="47"/>
    </row>
    <row r="665" spans="1:7" ht="45" x14ac:dyDescent="0.25">
      <c r="A665" s="125"/>
      <c r="B665" s="103" t="s">
        <v>104</v>
      </c>
      <c r="C665" s="52" t="s">
        <v>40</v>
      </c>
      <c r="D665" s="46" t="s">
        <v>100</v>
      </c>
      <c r="E665" s="50"/>
      <c r="F665" s="46" t="s">
        <v>475</v>
      </c>
      <c r="G665" s="47"/>
    </row>
    <row r="666" spans="1:7" ht="30.75" thickBot="1" x14ac:dyDescent="0.3">
      <c r="A666" s="125"/>
      <c r="B666" s="54" t="s">
        <v>81</v>
      </c>
      <c r="C666" s="55" t="s">
        <v>82</v>
      </c>
      <c r="D666" s="61" t="s">
        <v>491</v>
      </c>
      <c r="E666" s="64"/>
      <c r="F666" s="61"/>
      <c r="G666" s="58" t="s">
        <v>47</v>
      </c>
    </row>
    <row r="667" spans="1:7" ht="45" x14ac:dyDescent="0.25">
      <c r="A667" s="125"/>
      <c r="B667" s="103" t="s">
        <v>101</v>
      </c>
      <c r="C667" s="52" t="s">
        <v>40</v>
      </c>
      <c r="D667" s="46" t="s">
        <v>97</v>
      </c>
      <c r="E667" s="50"/>
      <c r="F667" s="46" t="s">
        <v>150</v>
      </c>
      <c r="G667" s="47"/>
    </row>
    <row r="668" spans="1:7" ht="30" customHeight="1" thickBot="1" x14ac:dyDescent="0.3">
      <c r="A668" s="125"/>
      <c r="B668" s="54" t="s">
        <v>81</v>
      </c>
      <c r="C668" s="55" t="s">
        <v>82</v>
      </c>
      <c r="D668" s="61" t="s">
        <v>110</v>
      </c>
      <c r="E668" s="64"/>
      <c r="F668" s="61"/>
      <c r="G668" s="58" t="s">
        <v>47</v>
      </c>
    </row>
    <row r="669" spans="1:7" ht="30" customHeight="1" thickBot="1" x14ac:dyDescent="0.3">
      <c r="A669" s="100" t="str">
        <f>TabellaTest!F60</f>
        <v>TF027.UC01</v>
      </c>
      <c r="B669" s="135" t="str">
        <f>TabellaTest!C60</f>
        <v>PAR. 3.27-035-27</v>
      </c>
      <c r="C669" s="127"/>
      <c r="D669" s="135" t="str">
        <f>TabellaTest!E60</f>
        <v>Ricerca procedimenti di Esecuzione Pene Sostitutive</v>
      </c>
      <c r="E669" s="127"/>
      <c r="F669" s="135" t="str">
        <f>TabellaTest!G60</f>
        <v>Verifica: Verificare che la Ricerca estragga solo procedimenti di Esecuzione Pene Sostitutive</v>
      </c>
      <c r="G669" s="127"/>
    </row>
    <row r="670" spans="1:7" s="113" customFormat="1" ht="30" customHeight="1" x14ac:dyDescent="0.25">
      <c r="A670" s="205"/>
      <c r="B670" s="69" t="s">
        <v>31</v>
      </c>
      <c r="C670" s="44" t="s">
        <v>32</v>
      </c>
      <c r="D670" s="29" t="s">
        <v>33</v>
      </c>
      <c r="E670" s="29" t="s">
        <v>34</v>
      </c>
      <c r="F670" s="29" t="s">
        <v>35</v>
      </c>
      <c r="G670" s="30" t="s">
        <v>10</v>
      </c>
    </row>
    <row r="671" spans="1:7" ht="30" customHeight="1" x14ac:dyDescent="0.25">
      <c r="A671" s="206"/>
      <c r="B671" s="56" t="s">
        <v>36</v>
      </c>
      <c r="C671" s="45" t="s">
        <v>37</v>
      </c>
      <c r="D671" s="46" t="s">
        <v>203</v>
      </c>
      <c r="E671" s="46" t="s">
        <v>91</v>
      </c>
      <c r="F671" s="50"/>
      <c r="G671" s="47"/>
    </row>
    <row r="672" spans="1:7" ht="30" customHeight="1" x14ac:dyDescent="0.25">
      <c r="A672" s="206"/>
      <c r="B672" s="56" t="s">
        <v>36</v>
      </c>
      <c r="C672" s="45" t="s">
        <v>38</v>
      </c>
      <c r="D672" s="46" t="s">
        <v>509</v>
      </c>
      <c r="E672" s="46"/>
      <c r="F672" s="63"/>
      <c r="G672" s="47"/>
    </row>
    <row r="673" spans="1:7" ht="30" customHeight="1" x14ac:dyDescent="0.25">
      <c r="A673" s="206"/>
      <c r="B673" s="57">
        <v>1</v>
      </c>
      <c r="C673" s="48" t="s">
        <v>39</v>
      </c>
      <c r="D673" s="112" t="s">
        <v>497</v>
      </c>
      <c r="E673" s="50"/>
      <c r="F673" s="46" t="s">
        <v>498</v>
      </c>
      <c r="G673" s="47"/>
    </row>
    <row r="674" spans="1:7" ht="45" x14ac:dyDescent="0.25">
      <c r="A674" s="206"/>
      <c r="B674" s="59">
        <v>2</v>
      </c>
      <c r="C674" s="52" t="s">
        <v>40</v>
      </c>
      <c r="D674" s="46" t="s">
        <v>499</v>
      </c>
      <c r="E674" s="50"/>
      <c r="F674" s="46" t="s">
        <v>500</v>
      </c>
      <c r="G674" s="47"/>
    </row>
    <row r="675" spans="1:7" ht="75.75" thickBot="1" x14ac:dyDescent="0.3">
      <c r="A675" s="206"/>
      <c r="B675" s="54" t="s">
        <v>81</v>
      </c>
      <c r="C675" s="99" t="s">
        <v>82</v>
      </c>
      <c r="D675" s="98" t="s">
        <v>501</v>
      </c>
      <c r="E675" s="64"/>
      <c r="F675" s="61"/>
      <c r="G675" s="58" t="s">
        <v>90</v>
      </c>
    </row>
    <row r="676" spans="1:7" ht="30" x14ac:dyDescent="0.25">
      <c r="A676" s="206"/>
      <c r="B676" s="59">
        <v>3</v>
      </c>
      <c r="C676" s="52" t="s">
        <v>40</v>
      </c>
      <c r="D676" s="46" t="s">
        <v>502</v>
      </c>
      <c r="E676" s="50"/>
      <c r="F676" s="46" t="s">
        <v>503</v>
      </c>
      <c r="G676" s="47"/>
    </row>
    <row r="677" spans="1:7" ht="30" customHeight="1" x14ac:dyDescent="0.25">
      <c r="A677" s="206"/>
      <c r="B677" s="56" t="s">
        <v>36</v>
      </c>
      <c r="C677" s="45" t="s">
        <v>38</v>
      </c>
      <c r="D677" s="46" t="s">
        <v>504</v>
      </c>
      <c r="E677" s="46"/>
      <c r="F677" s="63"/>
      <c r="G677" s="47"/>
    </row>
    <row r="678" spans="1:7" ht="30" customHeight="1" x14ac:dyDescent="0.25">
      <c r="A678" s="206"/>
      <c r="B678" s="59">
        <v>4</v>
      </c>
      <c r="C678" s="52" t="s">
        <v>40</v>
      </c>
      <c r="D678" s="46" t="s">
        <v>505</v>
      </c>
      <c r="E678" s="50"/>
      <c r="F678" s="46" t="s">
        <v>506</v>
      </c>
      <c r="G678" s="47"/>
    </row>
    <row r="679" spans="1:7" ht="30" customHeight="1" x14ac:dyDescent="0.25">
      <c r="A679" s="206"/>
      <c r="B679" s="56" t="s">
        <v>36</v>
      </c>
      <c r="C679" s="45" t="s">
        <v>38</v>
      </c>
      <c r="D679" s="46" t="s">
        <v>504</v>
      </c>
      <c r="E679" s="46"/>
      <c r="F679" s="63"/>
      <c r="G679" s="47"/>
    </row>
    <row r="680" spans="1:7" ht="30" customHeight="1" x14ac:dyDescent="0.25">
      <c r="A680" s="206"/>
      <c r="B680" s="59">
        <v>5</v>
      </c>
      <c r="C680" s="52" t="s">
        <v>40</v>
      </c>
      <c r="D680" s="46" t="s">
        <v>507</v>
      </c>
      <c r="E680" s="50"/>
      <c r="F680" s="46" t="s">
        <v>508</v>
      </c>
      <c r="G680" s="47"/>
    </row>
    <row r="681" spans="1:7" ht="45.75" thickBot="1" x14ac:dyDescent="0.3">
      <c r="A681" s="207"/>
      <c r="B681" s="54" t="s">
        <v>81</v>
      </c>
      <c r="C681" s="99" t="s">
        <v>82</v>
      </c>
      <c r="D681" s="98" t="s">
        <v>516</v>
      </c>
      <c r="E681" s="64"/>
      <c r="F681" s="61"/>
      <c r="G681" s="58" t="s">
        <v>90</v>
      </c>
    </row>
    <row r="682" spans="1:7" ht="49.9" customHeight="1" thickBot="1" x14ac:dyDescent="0.3">
      <c r="A682" s="100" t="str">
        <f>TabellaTest!F61</f>
        <v>TF027.UC02</v>
      </c>
      <c r="B682" s="135" t="str">
        <f>TabellaTest!C61</f>
        <v>PAR. 3.27-035-27</v>
      </c>
      <c r="C682" s="127"/>
      <c r="D682" s="128" t="str">
        <f>TabellaTest!E61</f>
        <v>Ricerca procedimenti di Esecuzione Pene Sostitutive per Soggetto</v>
      </c>
      <c r="E682" s="129"/>
      <c r="F682" s="128" t="str">
        <f>TabellaTest!G61</f>
        <v>Verifica: Verificare che la Ricerca estragga solo soggetti, soddifacenti i dati impostati, con procedimenti di Esecuzione Pene Sostitutive</v>
      </c>
      <c r="G682" s="130"/>
    </row>
    <row r="683" spans="1:7" s="113" customFormat="1" ht="30" customHeight="1" x14ac:dyDescent="0.25">
      <c r="A683" s="205"/>
      <c r="B683" s="69" t="s">
        <v>31</v>
      </c>
      <c r="C683" s="44" t="s">
        <v>32</v>
      </c>
      <c r="D683" s="29" t="s">
        <v>33</v>
      </c>
      <c r="E683" s="29" t="s">
        <v>34</v>
      </c>
      <c r="F683" s="29" t="s">
        <v>35</v>
      </c>
      <c r="G683" s="30" t="s">
        <v>10</v>
      </c>
    </row>
    <row r="684" spans="1:7" ht="30" customHeight="1" x14ac:dyDescent="0.25">
      <c r="A684" s="206"/>
      <c r="B684" s="56" t="s">
        <v>36</v>
      </c>
      <c r="C684" s="45" t="s">
        <v>37</v>
      </c>
      <c r="D684" s="46" t="s">
        <v>510</v>
      </c>
      <c r="E684" s="46" t="s">
        <v>91</v>
      </c>
      <c r="F684" s="50"/>
      <c r="G684" s="47"/>
    </row>
    <row r="685" spans="1:7" ht="30" customHeight="1" x14ac:dyDescent="0.25">
      <c r="A685" s="206"/>
      <c r="B685" s="56" t="s">
        <v>36</v>
      </c>
      <c r="C685" s="45" t="s">
        <v>38</v>
      </c>
      <c r="D685" s="46" t="s">
        <v>509</v>
      </c>
      <c r="E685" s="46"/>
      <c r="F685" s="63"/>
      <c r="G685" s="47"/>
    </row>
    <row r="686" spans="1:7" ht="30" x14ac:dyDescent="0.25">
      <c r="A686" s="206"/>
      <c r="B686" s="57">
        <v>1</v>
      </c>
      <c r="C686" s="48" t="s">
        <v>39</v>
      </c>
      <c r="D686" s="112" t="s">
        <v>511</v>
      </c>
      <c r="E686" s="50"/>
      <c r="F686" s="46" t="s">
        <v>512</v>
      </c>
      <c r="G686" s="47"/>
    </row>
    <row r="687" spans="1:7" ht="30" x14ac:dyDescent="0.25">
      <c r="A687" s="206"/>
      <c r="B687" s="59">
        <v>2</v>
      </c>
      <c r="C687" s="52" t="s">
        <v>40</v>
      </c>
      <c r="D687" s="46" t="s">
        <v>513</v>
      </c>
      <c r="E687" s="50"/>
      <c r="F687" s="46" t="s">
        <v>514</v>
      </c>
      <c r="G687" s="47"/>
    </row>
    <row r="688" spans="1:7" ht="30" x14ac:dyDescent="0.25">
      <c r="A688" s="206"/>
      <c r="B688" s="59">
        <v>3</v>
      </c>
      <c r="C688" s="52" t="s">
        <v>40</v>
      </c>
      <c r="D688" s="46" t="s">
        <v>505</v>
      </c>
      <c r="E688" s="50"/>
      <c r="F688" s="46" t="s">
        <v>506</v>
      </c>
      <c r="G688" s="47"/>
    </row>
    <row r="689" spans="1:7" ht="30.75" thickBot="1" x14ac:dyDescent="0.3">
      <c r="A689" s="206"/>
      <c r="B689" s="54" t="s">
        <v>81</v>
      </c>
      <c r="C689" s="99" t="s">
        <v>82</v>
      </c>
      <c r="D689" s="98" t="s">
        <v>515</v>
      </c>
      <c r="E689" s="64"/>
      <c r="F689" s="61"/>
      <c r="G689" s="58" t="s">
        <v>90</v>
      </c>
    </row>
    <row r="690" spans="1:7" ht="30" customHeight="1" x14ac:dyDescent="0.25">
      <c r="A690" s="206"/>
      <c r="B690" s="56" t="s">
        <v>36</v>
      </c>
      <c r="C690" s="45" t="s">
        <v>38</v>
      </c>
      <c r="D690" s="46" t="s">
        <v>514</v>
      </c>
      <c r="E690" s="46"/>
      <c r="F690" s="63"/>
      <c r="G690" s="47"/>
    </row>
    <row r="691" spans="1:7" ht="30" customHeight="1" x14ac:dyDescent="0.25">
      <c r="A691" s="206"/>
      <c r="B691" s="59">
        <v>5</v>
      </c>
      <c r="C691" s="52" t="s">
        <v>40</v>
      </c>
      <c r="D691" s="46" t="s">
        <v>507</v>
      </c>
      <c r="E691" s="50"/>
      <c r="F691" s="46" t="s">
        <v>508</v>
      </c>
      <c r="G691" s="47"/>
    </row>
    <row r="692" spans="1:7" ht="45.75" thickBot="1" x14ac:dyDescent="0.3">
      <c r="A692" s="207"/>
      <c r="B692" s="54" t="s">
        <v>81</v>
      </c>
      <c r="C692" s="99" t="s">
        <v>82</v>
      </c>
      <c r="D692" s="98" t="s">
        <v>517</v>
      </c>
      <c r="E692" s="64"/>
      <c r="F692" s="61"/>
      <c r="G692" s="58" t="s">
        <v>90</v>
      </c>
    </row>
    <row r="693" spans="1:7" ht="66.599999999999994" customHeight="1" thickBot="1" x14ac:dyDescent="0.3">
      <c r="A693" s="100" t="str">
        <f>TabellaTest!F62</f>
        <v>TF028.UC01</v>
      </c>
      <c r="B693" s="135" t="str">
        <f>TabellaTest!C62</f>
        <v>PAR. 3.28-035-28</v>
      </c>
      <c r="C693" s="127"/>
      <c r="D693" s="128" t="str">
        <f>TabellaTest!E62</f>
        <v>Ricerca Licenze per Soggetti</v>
      </c>
      <c r="E693" s="129"/>
      <c r="F693" s="128" t="str">
        <f>TabellaTest!G62</f>
        <v>Verifica: Verificare che la Ricerca estragga solo soggetti, soddifacenti i dati impostati, con procedimenti di con Licenze - Pene Sostitutive</v>
      </c>
      <c r="G693" s="130"/>
    </row>
    <row r="694" spans="1:7" s="113" customFormat="1" ht="30" customHeight="1" x14ac:dyDescent="0.25">
      <c r="A694" s="205"/>
      <c r="B694" s="69" t="s">
        <v>31</v>
      </c>
      <c r="C694" s="44" t="s">
        <v>32</v>
      </c>
      <c r="D694" s="29" t="s">
        <v>33</v>
      </c>
      <c r="E694" s="29" t="s">
        <v>34</v>
      </c>
      <c r="F694" s="29" t="s">
        <v>35</v>
      </c>
      <c r="G694" s="30" t="s">
        <v>10</v>
      </c>
    </row>
    <row r="695" spans="1:7" ht="30" customHeight="1" x14ac:dyDescent="0.25">
      <c r="A695" s="206"/>
      <c r="B695" s="56" t="s">
        <v>36</v>
      </c>
      <c r="C695" s="45" t="s">
        <v>37</v>
      </c>
      <c r="D695" s="46" t="s">
        <v>203</v>
      </c>
      <c r="E695" s="46" t="s">
        <v>91</v>
      </c>
      <c r="F695" s="50"/>
      <c r="G695" s="47"/>
    </row>
    <row r="696" spans="1:7" ht="30" customHeight="1" x14ac:dyDescent="0.25">
      <c r="A696" s="206"/>
      <c r="B696" s="56" t="s">
        <v>36</v>
      </c>
      <c r="C696" s="45" t="s">
        <v>38</v>
      </c>
      <c r="D696" s="46" t="s">
        <v>509</v>
      </c>
      <c r="E696" s="46"/>
      <c r="F696" s="63"/>
      <c r="G696" s="47"/>
    </row>
    <row r="697" spans="1:7" ht="30" x14ac:dyDescent="0.25">
      <c r="A697" s="206"/>
      <c r="B697" s="57">
        <v>1</v>
      </c>
      <c r="C697" s="48" t="s">
        <v>39</v>
      </c>
      <c r="D697" s="112" t="s">
        <v>522</v>
      </c>
      <c r="E697" s="50"/>
      <c r="F697" s="46" t="s">
        <v>523</v>
      </c>
      <c r="G697" s="47"/>
    </row>
    <row r="698" spans="1:7" ht="75" x14ac:dyDescent="0.25">
      <c r="A698" s="206"/>
      <c r="B698" s="59">
        <v>2</v>
      </c>
      <c r="C698" s="52" t="s">
        <v>40</v>
      </c>
      <c r="D698" s="46" t="s">
        <v>524</v>
      </c>
      <c r="E698" s="50"/>
      <c r="F698" s="46" t="s">
        <v>525</v>
      </c>
      <c r="G698" s="47"/>
    </row>
    <row r="699" spans="1:7" ht="60.75" thickBot="1" x14ac:dyDescent="0.3">
      <c r="A699" s="206"/>
      <c r="B699" s="54" t="s">
        <v>81</v>
      </c>
      <c r="C699" s="99" t="s">
        <v>82</v>
      </c>
      <c r="D699" s="98" t="s">
        <v>526</v>
      </c>
      <c r="E699" s="64"/>
      <c r="F699" s="61"/>
      <c r="G699" s="58" t="s">
        <v>90</v>
      </c>
    </row>
    <row r="700" spans="1:7" ht="40.15" customHeight="1" x14ac:dyDescent="0.25">
      <c r="A700" s="206"/>
      <c r="B700" s="59">
        <v>3</v>
      </c>
      <c r="C700" s="52" t="s">
        <v>40</v>
      </c>
      <c r="D700" s="46" t="s">
        <v>527</v>
      </c>
      <c r="E700" s="50"/>
      <c r="F700" s="46" t="s">
        <v>528</v>
      </c>
      <c r="G700" s="47"/>
    </row>
    <row r="701" spans="1:7" ht="105.75" thickBot="1" x14ac:dyDescent="0.3">
      <c r="A701" s="206"/>
      <c r="B701" s="54" t="s">
        <v>81</v>
      </c>
      <c r="C701" s="99" t="s">
        <v>82</v>
      </c>
      <c r="D701" s="98" t="s">
        <v>529</v>
      </c>
      <c r="E701" s="64"/>
      <c r="F701" s="61"/>
      <c r="G701" s="58" t="s">
        <v>90</v>
      </c>
    </row>
    <row r="702" spans="1:7" ht="30" customHeight="1" thickBot="1" x14ac:dyDescent="0.3">
      <c r="A702" s="207"/>
      <c r="B702" s="59">
        <v>4</v>
      </c>
      <c r="C702" s="52" t="s">
        <v>40</v>
      </c>
      <c r="D702" s="46" t="s">
        <v>530</v>
      </c>
      <c r="E702" s="50"/>
      <c r="F702" s="46" t="s">
        <v>531</v>
      </c>
      <c r="G702" s="47"/>
    </row>
    <row r="703" spans="1:7" ht="30" customHeight="1" thickBot="1" x14ac:dyDescent="0.3">
      <c r="A703" s="67" t="str">
        <f>TabellaTest!F63</f>
        <v>TF028.UC02</v>
      </c>
      <c r="B703" s="135" t="str">
        <f>TabellaTest!C63</f>
        <v>PAR. 3.28-035-28</v>
      </c>
      <c r="C703" s="129"/>
      <c r="D703" s="136" t="str">
        <f>TabellaTest!E63</f>
        <v>Esecuzione Licenze - Pene Sostitutive</v>
      </c>
      <c r="E703" s="137"/>
      <c r="F703" s="128" t="str">
        <f>TabellaTest!G63</f>
        <v>Verifica: Verificare che la funzione Esecuzione Licenza sia utilizzabile anche per la Licenza Pene Sostitutive</v>
      </c>
      <c r="G703" s="130"/>
    </row>
    <row r="704" spans="1:7" ht="30.75" thickBot="1" x14ac:dyDescent="0.3">
      <c r="A704" s="140"/>
      <c r="B704" s="35" t="s">
        <v>31</v>
      </c>
      <c r="C704" s="32" t="s">
        <v>32</v>
      </c>
      <c r="D704" s="29" t="s">
        <v>33</v>
      </c>
      <c r="E704" s="29" t="s">
        <v>34</v>
      </c>
      <c r="F704" s="29" t="s">
        <v>35</v>
      </c>
      <c r="G704" s="30" t="s">
        <v>10</v>
      </c>
    </row>
    <row r="705" spans="1:7" ht="30" customHeight="1" thickBot="1" x14ac:dyDescent="0.3">
      <c r="A705" s="140"/>
      <c r="B705" s="56" t="s">
        <v>36</v>
      </c>
      <c r="C705" s="45" t="s">
        <v>37</v>
      </c>
      <c r="D705" s="46" t="s">
        <v>203</v>
      </c>
      <c r="E705" s="46" t="s">
        <v>91</v>
      </c>
      <c r="F705" s="50"/>
      <c r="G705" s="47"/>
    </row>
    <row r="706" spans="1:7" ht="30" customHeight="1" thickBot="1" x14ac:dyDescent="0.3">
      <c r="A706" s="140"/>
      <c r="B706" s="56" t="s">
        <v>36</v>
      </c>
      <c r="C706" s="45" t="s">
        <v>38</v>
      </c>
      <c r="D706" s="46" t="s">
        <v>509</v>
      </c>
      <c r="E706" s="46"/>
      <c r="F706" s="63"/>
      <c r="G706" s="47"/>
    </row>
    <row r="707" spans="1:7" ht="15.75" thickBot="1" x14ac:dyDescent="0.3">
      <c r="A707" s="140"/>
      <c r="B707" s="57">
        <v>1</v>
      </c>
      <c r="C707" s="48" t="s">
        <v>39</v>
      </c>
      <c r="D707" s="112" t="s">
        <v>532</v>
      </c>
      <c r="E707" s="50"/>
      <c r="F707" s="46" t="s">
        <v>533</v>
      </c>
      <c r="G707" s="47"/>
    </row>
    <row r="708" spans="1:7" ht="30.75" thickBot="1" x14ac:dyDescent="0.3">
      <c r="A708" s="140"/>
      <c r="B708" s="59">
        <v>2</v>
      </c>
      <c r="C708" s="52" t="s">
        <v>40</v>
      </c>
      <c r="D708" s="46" t="s">
        <v>534</v>
      </c>
      <c r="E708" s="50"/>
      <c r="F708" s="46" t="s">
        <v>535</v>
      </c>
      <c r="G708" s="47"/>
    </row>
    <row r="709" spans="1:7" ht="30.75" thickBot="1" x14ac:dyDescent="0.3">
      <c r="A709" s="140"/>
      <c r="B709" s="54" t="s">
        <v>81</v>
      </c>
      <c r="C709" s="99" t="s">
        <v>82</v>
      </c>
      <c r="D709" s="98" t="s">
        <v>536</v>
      </c>
      <c r="E709" s="64"/>
      <c r="F709" s="61"/>
      <c r="G709" s="58" t="s">
        <v>90</v>
      </c>
    </row>
    <row r="710" spans="1:7" ht="40.15" customHeight="1" thickBot="1" x14ac:dyDescent="0.3">
      <c r="A710" s="140"/>
      <c r="B710" s="59">
        <v>3</v>
      </c>
      <c r="C710" s="52" t="s">
        <v>40</v>
      </c>
      <c r="D710" s="46" t="s">
        <v>537</v>
      </c>
      <c r="E710" s="50"/>
      <c r="F710" s="46" t="s">
        <v>538</v>
      </c>
      <c r="G710" s="47"/>
    </row>
    <row r="711" spans="1:7" ht="40.15" customHeight="1" thickBot="1" x14ac:dyDescent="0.3">
      <c r="A711" s="140"/>
      <c r="B711" s="59">
        <v>3</v>
      </c>
      <c r="C711" s="52" t="s">
        <v>40</v>
      </c>
      <c r="D711" s="46" t="s">
        <v>539</v>
      </c>
      <c r="E711" s="50"/>
      <c r="F711" s="46" t="s">
        <v>541</v>
      </c>
      <c r="G711" s="47"/>
    </row>
    <row r="712" spans="1:7" ht="30.75" thickBot="1" x14ac:dyDescent="0.3">
      <c r="A712" s="140"/>
      <c r="B712" s="54" t="s">
        <v>81</v>
      </c>
      <c r="C712" s="99" t="s">
        <v>82</v>
      </c>
      <c r="D712" s="98" t="s">
        <v>540</v>
      </c>
      <c r="E712" s="64"/>
      <c r="F712" s="61"/>
      <c r="G712" s="58" t="s">
        <v>90</v>
      </c>
    </row>
    <row r="713" spans="1:7" ht="15" customHeight="1" thickBot="1" x14ac:dyDescent="0.3">
      <c r="A713" s="140"/>
      <c r="B713" s="56" t="s">
        <v>36</v>
      </c>
      <c r="C713" s="45" t="s">
        <v>38</v>
      </c>
      <c r="D713" s="46" t="s">
        <v>542</v>
      </c>
      <c r="E713" s="46"/>
      <c r="F713" s="63"/>
      <c r="G713" s="47"/>
    </row>
    <row r="714" spans="1:7" ht="30" customHeight="1" thickBot="1" x14ac:dyDescent="0.3">
      <c r="A714" s="140"/>
      <c r="B714" s="59">
        <v>4</v>
      </c>
      <c r="C714" s="52" t="s">
        <v>40</v>
      </c>
      <c r="D714" s="46" t="s">
        <v>543</v>
      </c>
      <c r="E714" s="50"/>
      <c r="F714" s="46" t="s">
        <v>544</v>
      </c>
      <c r="G714" s="47"/>
    </row>
    <row r="715" spans="1:7" ht="30" customHeight="1" thickBot="1" x14ac:dyDescent="0.3">
      <c r="A715" s="140"/>
      <c r="B715" s="59">
        <v>5</v>
      </c>
      <c r="C715" s="52" t="s">
        <v>40</v>
      </c>
      <c r="D715" s="46" t="s">
        <v>545</v>
      </c>
      <c r="E715" s="50"/>
      <c r="F715" s="46" t="s">
        <v>546</v>
      </c>
      <c r="G715" s="47"/>
    </row>
    <row r="716" spans="1:7" ht="30" customHeight="1" thickBot="1" x14ac:dyDescent="0.3">
      <c r="A716" s="140"/>
      <c r="B716" s="96" t="s">
        <v>81</v>
      </c>
      <c r="C716" s="51" t="s">
        <v>82</v>
      </c>
      <c r="D716" s="60" t="s">
        <v>547</v>
      </c>
      <c r="E716" s="97"/>
      <c r="F716" s="60"/>
      <c r="G716" s="53"/>
    </row>
    <row r="717" spans="1:7" ht="30" customHeight="1" thickBot="1" x14ac:dyDescent="0.3">
      <c r="A717" s="67" t="str">
        <f>TabellaTest!F64</f>
        <v>TF028.UC03</v>
      </c>
      <c r="B717" s="135" t="str">
        <f>TabellaTest!C64</f>
        <v>PAR. 3.28-035-28</v>
      </c>
      <c r="C717" s="129"/>
      <c r="D717" s="136" t="str">
        <f>TabellaTest!E64</f>
        <v>Relazione Trimestrale Licenze</v>
      </c>
      <c r="E717" s="137"/>
      <c r="F717" s="128" t="str">
        <f>TabellaTest!G64</f>
        <v>Verifica: Verificare che la funzione Relazione Trimestrale sia utilizzabile anche per le Licenze Pene Sostitutive</v>
      </c>
      <c r="G717" s="130"/>
    </row>
    <row r="718" spans="1:7" ht="30.75" thickBot="1" x14ac:dyDescent="0.3">
      <c r="A718" s="140"/>
      <c r="B718" s="35" t="s">
        <v>31</v>
      </c>
      <c r="C718" s="32" t="s">
        <v>32</v>
      </c>
      <c r="D718" s="29" t="s">
        <v>33</v>
      </c>
      <c r="E718" s="29" t="s">
        <v>34</v>
      </c>
      <c r="F718" s="29" t="s">
        <v>35</v>
      </c>
      <c r="G718" s="30" t="s">
        <v>10</v>
      </c>
    </row>
    <row r="719" spans="1:7" ht="30" customHeight="1" thickBot="1" x14ac:dyDescent="0.3">
      <c r="A719" s="140"/>
      <c r="B719" s="56" t="s">
        <v>36</v>
      </c>
      <c r="C719" s="45" t="s">
        <v>37</v>
      </c>
      <c r="D719" s="46" t="s">
        <v>203</v>
      </c>
      <c r="E719" s="46" t="s">
        <v>91</v>
      </c>
      <c r="F719" s="46"/>
      <c r="G719" s="47"/>
    </row>
    <row r="720" spans="1:7" ht="15" customHeight="1" thickBot="1" x14ac:dyDescent="0.3">
      <c r="A720" s="140"/>
      <c r="B720" s="56" t="s">
        <v>36</v>
      </c>
      <c r="C720" s="45" t="s">
        <v>38</v>
      </c>
      <c r="D720" s="46" t="s">
        <v>509</v>
      </c>
      <c r="E720" s="46"/>
      <c r="F720" s="63" t="s">
        <v>88</v>
      </c>
      <c r="G720" s="47"/>
    </row>
    <row r="721" spans="1:7" ht="30" customHeight="1" thickBot="1" x14ac:dyDescent="0.3">
      <c r="A721" s="140"/>
      <c r="B721" s="57">
        <v>1</v>
      </c>
      <c r="C721" s="48" t="s">
        <v>39</v>
      </c>
      <c r="D721" s="49" t="s">
        <v>551</v>
      </c>
      <c r="E721" s="93"/>
      <c r="F721" s="46" t="s">
        <v>552</v>
      </c>
      <c r="G721" s="47"/>
    </row>
    <row r="722" spans="1:7" ht="30" customHeight="1" thickBot="1" x14ac:dyDescent="0.3">
      <c r="A722" s="140"/>
      <c r="B722" s="94">
        <v>2</v>
      </c>
      <c r="C722" s="95" t="s">
        <v>40</v>
      </c>
      <c r="D722" s="60" t="s">
        <v>553</v>
      </c>
      <c r="E722" s="93"/>
      <c r="F722" s="46" t="s">
        <v>554</v>
      </c>
      <c r="G722" s="47"/>
    </row>
    <row r="723" spans="1:7" ht="105.75" thickBot="1" x14ac:dyDescent="0.3">
      <c r="A723" s="140"/>
      <c r="B723" s="96" t="s">
        <v>81</v>
      </c>
      <c r="C723" s="51" t="s">
        <v>82</v>
      </c>
      <c r="D723" s="60" t="s">
        <v>555</v>
      </c>
      <c r="E723" s="97"/>
      <c r="F723" s="60" t="s">
        <v>89</v>
      </c>
      <c r="G723" s="53" t="s">
        <v>47</v>
      </c>
    </row>
    <row r="724" spans="1:7" ht="30" customHeight="1" thickBot="1" x14ac:dyDescent="0.3">
      <c r="A724" s="140"/>
      <c r="B724" s="59">
        <v>3</v>
      </c>
      <c r="C724" s="52" t="s">
        <v>40</v>
      </c>
      <c r="D724" s="46" t="s">
        <v>556</v>
      </c>
      <c r="E724" s="93"/>
      <c r="F724" s="46" t="s">
        <v>557</v>
      </c>
      <c r="G724" s="47"/>
    </row>
    <row r="725" spans="1:7" ht="30.75" thickBot="1" x14ac:dyDescent="0.3">
      <c r="A725" s="140"/>
      <c r="B725" s="56" t="s">
        <v>36</v>
      </c>
      <c r="C725" s="45" t="s">
        <v>38</v>
      </c>
      <c r="D725" s="46" t="s">
        <v>558</v>
      </c>
      <c r="E725" s="46"/>
      <c r="F725" s="63"/>
      <c r="G725" s="47"/>
    </row>
    <row r="726" spans="1:7" ht="30" customHeight="1" thickBot="1" x14ac:dyDescent="0.3">
      <c r="A726" s="140"/>
      <c r="B726" s="94">
        <v>4</v>
      </c>
      <c r="C726" s="95" t="s">
        <v>40</v>
      </c>
      <c r="D726" s="46" t="s">
        <v>559</v>
      </c>
      <c r="E726" s="93"/>
      <c r="F726" s="46" t="s">
        <v>538</v>
      </c>
      <c r="G726" s="47"/>
    </row>
    <row r="727" spans="1:7" ht="30.75" thickBot="1" x14ac:dyDescent="0.3">
      <c r="A727" s="140"/>
      <c r="B727" s="56" t="s">
        <v>36</v>
      </c>
      <c r="C727" s="45" t="s">
        <v>38</v>
      </c>
      <c r="D727" s="46" t="s">
        <v>558</v>
      </c>
      <c r="E727" s="46"/>
      <c r="F727" s="63"/>
      <c r="G727" s="47"/>
    </row>
    <row r="728" spans="1:7" ht="45.75" thickBot="1" x14ac:dyDescent="0.3">
      <c r="A728" s="140"/>
      <c r="B728" s="103" t="s">
        <v>104</v>
      </c>
      <c r="C728" s="52" t="s">
        <v>40</v>
      </c>
      <c r="D728" s="46" t="s">
        <v>100</v>
      </c>
      <c r="E728" s="50"/>
      <c r="F728" s="46" t="s">
        <v>475</v>
      </c>
      <c r="G728" s="47"/>
    </row>
    <row r="729" spans="1:7" ht="30.75" thickBot="1" x14ac:dyDescent="0.3">
      <c r="A729" s="140"/>
      <c r="B729" s="54" t="s">
        <v>81</v>
      </c>
      <c r="C729" s="55" t="s">
        <v>82</v>
      </c>
      <c r="D729" s="61" t="s">
        <v>560</v>
      </c>
      <c r="E729" s="64"/>
      <c r="F729" s="61"/>
      <c r="G729" s="58" t="s">
        <v>47</v>
      </c>
    </row>
  </sheetData>
  <autoFilter ref="A3:G3">
    <filterColumn colId="1" showButton="0"/>
    <filterColumn colId="3" showButton="0"/>
    <filterColumn colId="5" showButton="0"/>
  </autoFilter>
  <mergeCells count="251">
    <mergeCell ref="F486:G486"/>
    <mergeCell ref="F471:G471"/>
    <mergeCell ref="F463:G463"/>
    <mergeCell ref="F426:G426"/>
    <mergeCell ref="F394:G394"/>
    <mergeCell ref="A374:A380"/>
    <mergeCell ref="A449:A462"/>
    <mergeCell ref="A670:A681"/>
    <mergeCell ref="A683:A692"/>
    <mergeCell ref="A5:A15"/>
    <mergeCell ref="A17:A38"/>
    <mergeCell ref="A84:A95"/>
    <mergeCell ref="A340:A351"/>
    <mergeCell ref="A361:A372"/>
    <mergeCell ref="F693:G693"/>
    <mergeCell ref="F682:G682"/>
    <mergeCell ref="F669:G669"/>
    <mergeCell ref="F656:G656"/>
    <mergeCell ref="F649:G649"/>
    <mergeCell ref="F636:G636"/>
    <mergeCell ref="F627:G627"/>
    <mergeCell ref="F614:G614"/>
    <mergeCell ref="F607:G607"/>
    <mergeCell ref="F594:G594"/>
    <mergeCell ref="F585:G585"/>
    <mergeCell ref="F572:G572"/>
    <mergeCell ref="F564:G564"/>
    <mergeCell ref="F551:G551"/>
    <mergeCell ref="F543:G543"/>
    <mergeCell ref="F529:G529"/>
    <mergeCell ref="F507:G507"/>
    <mergeCell ref="F499:G499"/>
    <mergeCell ref="B4:C4"/>
    <mergeCell ref="D4:E4"/>
    <mergeCell ref="B703:C703"/>
    <mergeCell ref="D703:E703"/>
    <mergeCell ref="F703:G703"/>
    <mergeCell ref="A704:A716"/>
    <mergeCell ref="A47:A64"/>
    <mergeCell ref="A177:A183"/>
    <mergeCell ref="B113:C113"/>
    <mergeCell ref="D113:E113"/>
    <mergeCell ref="F113:G113"/>
    <mergeCell ref="A151:A157"/>
    <mergeCell ref="A114:A131"/>
    <mergeCell ref="B132:C132"/>
    <mergeCell ref="F96:G96"/>
    <mergeCell ref="A66:A82"/>
    <mergeCell ref="A106:A112"/>
    <mergeCell ref="B65:C65"/>
    <mergeCell ref="B46:C46"/>
    <mergeCell ref="D46:E46"/>
    <mergeCell ref="F46:G46"/>
    <mergeCell ref="A133:A149"/>
    <mergeCell ref="B150:C150"/>
    <mergeCell ref="D150:E150"/>
    <mergeCell ref="A1:C1"/>
    <mergeCell ref="D1:G1"/>
    <mergeCell ref="A2:C2"/>
    <mergeCell ref="D2:G2"/>
    <mergeCell ref="B3:C3"/>
    <mergeCell ref="D3:E3"/>
    <mergeCell ref="F3:G3"/>
    <mergeCell ref="F65:G65"/>
    <mergeCell ref="B105:C105"/>
    <mergeCell ref="D105:E105"/>
    <mergeCell ref="F105:G105"/>
    <mergeCell ref="F83:G83"/>
    <mergeCell ref="A40:A45"/>
    <mergeCell ref="B39:C39"/>
    <mergeCell ref="D39:E39"/>
    <mergeCell ref="F39:G39"/>
    <mergeCell ref="F4:G4"/>
    <mergeCell ref="B16:C16"/>
    <mergeCell ref="D16:E16"/>
    <mergeCell ref="A97:A104"/>
    <mergeCell ref="F16:G16"/>
    <mergeCell ref="F150:G150"/>
    <mergeCell ref="D132:E132"/>
    <mergeCell ref="F132:G132"/>
    <mergeCell ref="D65:E65"/>
    <mergeCell ref="B83:C83"/>
    <mergeCell ref="D83:E83"/>
    <mergeCell ref="B96:C96"/>
    <mergeCell ref="D96:E96"/>
    <mergeCell ref="B158:C158"/>
    <mergeCell ref="D158:E158"/>
    <mergeCell ref="F158:G158"/>
    <mergeCell ref="F229:G229"/>
    <mergeCell ref="F210:G210"/>
    <mergeCell ref="F184:G184"/>
    <mergeCell ref="D176:E176"/>
    <mergeCell ref="F176:G176"/>
    <mergeCell ref="F202:G202"/>
    <mergeCell ref="B717:C717"/>
    <mergeCell ref="D717:E717"/>
    <mergeCell ref="F717:G717"/>
    <mergeCell ref="B331:C331"/>
    <mergeCell ref="D331:E331"/>
    <mergeCell ref="F331:G331"/>
    <mergeCell ref="B242:C242"/>
    <mergeCell ref="D242:E242"/>
    <mergeCell ref="F242:G242"/>
    <mergeCell ref="F295:G295"/>
    <mergeCell ref="B264:C264"/>
    <mergeCell ref="D264:E264"/>
    <mergeCell ref="F264:G264"/>
    <mergeCell ref="F439:G439"/>
    <mergeCell ref="B448:C448"/>
    <mergeCell ref="D448:E448"/>
    <mergeCell ref="F448:G448"/>
    <mergeCell ref="F521:G521"/>
    <mergeCell ref="A718:A729"/>
    <mergeCell ref="B373:C373"/>
    <mergeCell ref="D373:E373"/>
    <mergeCell ref="F373:G373"/>
    <mergeCell ref="B339:C339"/>
    <mergeCell ref="D339:E339"/>
    <mergeCell ref="F339:G339"/>
    <mergeCell ref="B352:C352"/>
    <mergeCell ref="D352:E352"/>
    <mergeCell ref="F352:G352"/>
    <mergeCell ref="B360:C360"/>
    <mergeCell ref="D360:E360"/>
    <mergeCell ref="F360:G360"/>
    <mergeCell ref="B381:C381"/>
    <mergeCell ref="D381:E381"/>
    <mergeCell ref="F381:G381"/>
    <mergeCell ref="B403:C403"/>
    <mergeCell ref="D403:E403"/>
    <mergeCell ref="F403:G403"/>
    <mergeCell ref="B418:C418"/>
    <mergeCell ref="D418:E418"/>
    <mergeCell ref="F418:G418"/>
    <mergeCell ref="B439:C439"/>
    <mergeCell ref="D439:E439"/>
    <mergeCell ref="A159:A175"/>
    <mergeCell ref="A185:A201"/>
    <mergeCell ref="B202:C202"/>
    <mergeCell ref="D202:E202"/>
    <mergeCell ref="B184:C184"/>
    <mergeCell ref="D184:E184"/>
    <mergeCell ref="D210:E210"/>
    <mergeCell ref="B210:C210"/>
    <mergeCell ref="B229:C229"/>
    <mergeCell ref="D229:E229"/>
    <mergeCell ref="B176:C176"/>
    <mergeCell ref="A211:A228"/>
    <mergeCell ref="A203:A209"/>
    <mergeCell ref="A311:A317"/>
    <mergeCell ref="A296:A309"/>
    <mergeCell ref="A243:A249"/>
    <mergeCell ref="B250:C250"/>
    <mergeCell ref="D250:E250"/>
    <mergeCell ref="F250:G250"/>
    <mergeCell ref="A251:A263"/>
    <mergeCell ref="B318:C318"/>
    <mergeCell ref="D318:E318"/>
    <mergeCell ref="F318:G318"/>
    <mergeCell ref="B310:C310"/>
    <mergeCell ref="D310:E310"/>
    <mergeCell ref="F310:G310"/>
    <mergeCell ref="B272:C272"/>
    <mergeCell ref="A265:A271"/>
    <mergeCell ref="D272:E272"/>
    <mergeCell ref="F272:G272"/>
    <mergeCell ref="A273:A285"/>
    <mergeCell ref="B286:C286"/>
    <mergeCell ref="D286:E286"/>
    <mergeCell ref="F286:G286"/>
    <mergeCell ref="A287:A294"/>
    <mergeCell ref="B295:C295"/>
    <mergeCell ref="D295:E295"/>
    <mergeCell ref="B394:C394"/>
    <mergeCell ref="D394:E394"/>
    <mergeCell ref="B426:C426"/>
    <mergeCell ref="D426:E426"/>
    <mergeCell ref="A419:A425"/>
    <mergeCell ref="B682:C682"/>
    <mergeCell ref="D682:E682"/>
    <mergeCell ref="D486:E486"/>
    <mergeCell ref="B572:C572"/>
    <mergeCell ref="D572:E572"/>
    <mergeCell ref="B499:C499"/>
    <mergeCell ref="D499:E499"/>
    <mergeCell ref="B507:C507"/>
    <mergeCell ref="D507:E507"/>
    <mergeCell ref="B521:C521"/>
    <mergeCell ref="D521:E521"/>
    <mergeCell ref="B693:C693"/>
    <mergeCell ref="D693:E693"/>
    <mergeCell ref="B669:C669"/>
    <mergeCell ref="D669:E669"/>
    <mergeCell ref="A230:A241"/>
    <mergeCell ref="A332:A338"/>
    <mergeCell ref="B551:C551"/>
    <mergeCell ref="D551:E551"/>
    <mergeCell ref="B564:C564"/>
    <mergeCell ref="D564:E564"/>
    <mergeCell ref="B463:C463"/>
    <mergeCell ref="D463:E463"/>
    <mergeCell ref="B471:C471"/>
    <mergeCell ref="D471:E471"/>
    <mergeCell ref="B486:C486"/>
    <mergeCell ref="A382:A393"/>
    <mergeCell ref="A319:A330"/>
    <mergeCell ref="A427:A438"/>
    <mergeCell ref="A440:A447"/>
    <mergeCell ref="A353:A359"/>
    <mergeCell ref="A395:A402"/>
    <mergeCell ref="A404:A417"/>
    <mergeCell ref="A487:A498"/>
    <mergeCell ref="A565:A571"/>
    <mergeCell ref="A608:A613"/>
    <mergeCell ref="A637:A648"/>
    <mergeCell ref="A552:A563"/>
    <mergeCell ref="A464:A470"/>
    <mergeCell ref="A472:A485"/>
    <mergeCell ref="A573:A584"/>
    <mergeCell ref="A500:A506"/>
    <mergeCell ref="A508:A520"/>
    <mergeCell ref="A522:A528"/>
    <mergeCell ref="A586:A593"/>
    <mergeCell ref="A650:A655"/>
    <mergeCell ref="A694:A702"/>
    <mergeCell ref="B529:C529"/>
    <mergeCell ref="D529:E529"/>
    <mergeCell ref="A530:A542"/>
    <mergeCell ref="B543:C543"/>
    <mergeCell ref="D543:E543"/>
    <mergeCell ref="A544:A550"/>
    <mergeCell ref="B585:C585"/>
    <mergeCell ref="D585:E585"/>
    <mergeCell ref="B594:C594"/>
    <mergeCell ref="D594:E594"/>
    <mergeCell ref="A595:A606"/>
    <mergeCell ref="B607:C607"/>
    <mergeCell ref="D607:E607"/>
    <mergeCell ref="B649:C649"/>
    <mergeCell ref="D649:E649"/>
    <mergeCell ref="B656:C656"/>
    <mergeCell ref="D656:E656"/>
    <mergeCell ref="A657:A668"/>
    <mergeCell ref="B614:C614"/>
    <mergeCell ref="D614:E614"/>
    <mergeCell ref="A615:A626"/>
    <mergeCell ref="B627:C627"/>
    <mergeCell ref="D627:E627"/>
    <mergeCell ref="A628:A635"/>
    <mergeCell ref="B636:C636"/>
    <mergeCell ref="D636:E636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A3" zoomScaleNormal="100" workbookViewId="0">
      <selection sqref="A1:XFD1048576"/>
    </sheetView>
  </sheetViews>
  <sheetFormatPr defaultRowHeight="12.75" x14ac:dyDescent="0.25"/>
  <cols>
    <col min="1" max="1" width="4" style="7" bestFit="1" customWidth="1"/>
    <col min="2" max="2" width="21.28515625" style="7" customWidth="1"/>
    <col min="3" max="3" width="22.7109375" style="7" bestFit="1" customWidth="1"/>
    <col min="4" max="4" width="32.5703125" style="7" customWidth="1"/>
    <col min="5" max="5" width="57.28515625" style="7" customWidth="1"/>
    <col min="6" max="6" width="15.5703125" style="7" customWidth="1"/>
    <col min="7" max="7" width="17.7109375" style="7" customWidth="1"/>
    <col min="8" max="254" width="9.140625" style="7"/>
    <col min="255" max="255" width="4" style="7" bestFit="1" customWidth="1"/>
    <col min="256" max="256" width="26.7109375" style="7" bestFit="1" customWidth="1"/>
    <col min="257" max="257" width="22.7109375" style="7" bestFit="1" customWidth="1"/>
    <col min="258" max="258" width="32.5703125" style="7" customWidth="1"/>
    <col min="259" max="259" width="57.28515625" style="7" customWidth="1"/>
    <col min="260" max="260" width="15.5703125" style="7" customWidth="1"/>
    <col min="261" max="261" width="16.7109375" style="7" customWidth="1"/>
    <col min="262" max="510" width="9.140625" style="7"/>
    <col min="511" max="511" width="4" style="7" bestFit="1" customWidth="1"/>
    <col min="512" max="512" width="26.7109375" style="7" bestFit="1" customWidth="1"/>
    <col min="513" max="513" width="22.7109375" style="7" bestFit="1" customWidth="1"/>
    <col min="514" max="514" width="32.5703125" style="7" customWidth="1"/>
    <col min="515" max="515" width="57.28515625" style="7" customWidth="1"/>
    <col min="516" max="516" width="15.5703125" style="7" customWidth="1"/>
    <col min="517" max="517" width="16.7109375" style="7" customWidth="1"/>
    <col min="518" max="766" width="9.140625" style="7"/>
    <col min="767" max="767" width="4" style="7" bestFit="1" customWidth="1"/>
    <col min="768" max="768" width="26.7109375" style="7" bestFit="1" customWidth="1"/>
    <col min="769" max="769" width="22.7109375" style="7" bestFit="1" customWidth="1"/>
    <col min="770" max="770" width="32.5703125" style="7" customWidth="1"/>
    <col min="771" max="771" width="57.28515625" style="7" customWidth="1"/>
    <col min="772" max="772" width="15.5703125" style="7" customWidth="1"/>
    <col min="773" max="773" width="16.7109375" style="7" customWidth="1"/>
    <col min="774" max="1022" width="9.140625" style="7"/>
    <col min="1023" max="1023" width="4" style="7" bestFit="1" customWidth="1"/>
    <col min="1024" max="1024" width="26.7109375" style="7" bestFit="1" customWidth="1"/>
    <col min="1025" max="1025" width="22.7109375" style="7" bestFit="1" customWidth="1"/>
    <col min="1026" max="1026" width="32.5703125" style="7" customWidth="1"/>
    <col min="1027" max="1027" width="57.28515625" style="7" customWidth="1"/>
    <col min="1028" max="1028" width="15.5703125" style="7" customWidth="1"/>
    <col min="1029" max="1029" width="16.7109375" style="7" customWidth="1"/>
    <col min="1030" max="1278" width="9.140625" style="7"/>
    <col min="1279" max="1279" width="4" style="7" bestFit="1" customWidth="1"/>
    <col min="1280" max="1280" width="26.7109375" style="7" bestFit="1" customWidth="1"/>
    <col min="1281" max="1281" width="22.7109375" style="7" bestFit="1" customWidth="1"/>
    <col min="1282" max="1282" width="32.5703125" style="7" customWidth="1"/>
    <col min="1283" max="1283" width="57.28515625" style="7" customWidth="1"/>
    <col min="1284" max="1284" width="15.5703125" style="7" customWidth="1"/>
    <col min="1285" max="1285" width="16.7109375" style="7" customWidth="1"/>
    <col min="1286" max="1534" width="9.140625" style="7"/>
    <col min="1535" max="1535" width="4" style="7" bestFit="1" customWidth="1"/>
    <col min="1536" max="1536" width="26.7109375" style="7" bestFit="1" customWidth="1"/>
    <col min="1537" max="1537" width="22.7109375" style="7" bestFit="1" customWidth="1"/>
    <col min="1538" max="1538" width="32.5703125" style="7" customWidth="1"/>
    <col min="1539" max="1539" width="57.28515625" style="7" customWidth="1"/>
    <col min="1540" max="1540" width="15.5703125" style="7" customWidth="1"/>
    <col min="1541" max="1541" width="16.7109375" style="7" customWidth="1"/>
    <col min="1542" max="1790" width="9.140625" style="7"/>
    <col min="1791" max="1791" width="4" style="7" bestFit="1" customWidth="1"/>
    <col min="1792" max="1792" width="26.7109375" style="7" bestFit="1" customWidth="1"/>
    <col min="1793" max="1793" width="22.7109375" style="7" bestFit="1" customWidth="1"/>
    <col min="1794" max="1794" width="32.5703125" style="7" customWidth="1"/>
    <col min="1795" max="1795" width="57.28515625" style="7" customWidth="1"/>
    <col min="1796" max="1796" width="15.5703125" style="7" customWidth="1"/>
    <col min="1797" max="1797" width="16.7109375" style="7" customWidth="1"/>
    <col min="1798" max="2046" width="9.140625" style="7"/>
    <col min="2047" max="2047" width="4" style="7" bestFit="1" customWidth="1"/>
    <col min="2048" max="2048" width="26.7109375" style="7" bestFit="1" customWidth="1"/>
    <col min="2049" max="2049" width="22.7109375" style="7" bestFit="1" customWidth="1"/>
    <col min="2050" max="2050" width="32.5703125" style="7" customWidth="1"/>
    <col min="2051" max="2051" width="57.28515625" style="7" customWidth="1"/>
    <col min="2052" max="2052" width="15.5703125" style="7" customWidth="1"/>
    <col min="2053" max="2053" width="16.7109375" style="7" customWidth="1"/>
    <col min="2054" max="2302" width="9.140625" style="7"/>
    <col min="2303" max="2303" width="4" style="7" bestFit="1" customWidth="1"/>
    <col min="2304" max="2304" width="26.7109375" style="7" bestFit="1" customWidth="1"/>
    <col min="2305" max="2305" width="22.7109375" style="7" bestFit="1" customWidth="1"/>
    <col min="2306" max="2306" width="32.5703125" style="7" customWidth="1"/>
    <col min="2307" max="2307" width="57.28515625" style="7" customWidth="1"/>
    <col min="2308" max="2308" width="15.5703125" style="7" customWidth="1"/>
    <col min="2309" max="2309" width="16.7109375" style="7" customWidth="1"/>
    <col min="2310" max="2558" width="9.140625" style="7"/>
    <col min="2559" max="2559" width="4" style="7" bestFit="1" customWidth="1"/>
    <col min="2560" max="2560" width="26.7109375" style="7" bestFit="1" customWidth="1"/>
    <col min="2561" max="2561" width="22.7109375" style="7" bestFit="1" customWidth="1"/>
    <col min="2562" max="2562" width="32.5703125" style="7" customWidth="1"/>
    <col min="2563" max="2563" width="57.28515625" style="7" customWidth="1"/>
    <col min="2564" max="2564" width="15.5703125" style="7" customWidth="1"/>
    <col min="2565" max="2565" width="16.7109375" style="7" customWidth="1"/>
    <col min="2566" max="2814" width="9.140625" style="7"/>
    <col min="2815" max="2815" width="4" style="7" bestFit="1" customWidth="1"/>
    <col min="2816" max="2816" width="26.7109375" style="7" bestFit="1" customWidth="1"/>
    <col min="2817" max="2817" width="22.7109375" style="7" bestFit="1" customWidth="1"/>
    <col min="2818" max="2818" width="32.5703125" style="7" customWidth="1"/>
    <col min="2819" max="2819" width="57.28515625" style="7" customWidth="1"/>
    <col min="2820" max="2820" width="15.5703125" style="7" customWidth="1"/>
    <col min="2821" max="2821" width="16.7109375" style="7" customWidth="1"/>
    <col min="2822" max="3070" width="9.140625" style="7"/>
    <col min="3071" max="3071" width="4" style="7" bestFit="1" customWidth="1"/>
    <col min="3072" max="3072" width="26.7109375" style="7" bestFit="1" customWidth="1"/>
    <col min="3073" max="3073" width="22.7109375" style="7" bestFit="1" customWidth="1"/>
    <col min="3074" max="3074" width="32.5703125" style="7" customWidth="1"/>
    <col min="3075" max="3075" width="57.28515625" style="7" customWidth="1"/>
    <col min="3076" max="3076" width="15.5703125" style="7" customWidth="1"/>
    <col min="3077" max="3077" width="16.7109375" style="7" customWidth="1"/>
    <col min="3078" max="3326" width="9.140625" style="7"/>
    <col min="3327" max="3327" width="4" style="7" bestFit="1" customWidth="1"/>
    <col min="3328" max="3328" width="26.7109375" style="7" bestFit="1" customWidth="1"/>
    <col min="3329" max="3329" width="22.7109375" style="7" bestFit="1" customWidth="1"/>
    <col min="3330" max="3330" width="32.5703125" style="7" customWidth="1"/>
    <col min="3331" max="3331" width="57.28515625" style="7" customWidth="1"/>
    <col min="3332" max="3332" width="15.5703125" style="7" customWidth="1"/>
    <col min="3333" max="3333" width="16.7109375" style="7" customWidth="1"/>
    <col min="3334" max="3582" width="9.140625" style="7"/>
    <col min="3583" max="3583" width="4" style="7" bestFit="1" customWidth="1"/>
    <col min="3584" max="3584" width="26.7109375" style="7" bestFit="1" customWidth="1"/>
    <col min="3585" max="3585" width="22.7109375" style="7" bestFit="1" customWidth="1"/>
    <col min="3586" max="3586" width="32.5703125" style="7" customWidth="1"/>
    <col min="3587" max="3587" width="57.28515625" style="7" customWidth="1"/>
    <col min="3588" max="3588" width="15.5703125" style="7" customWidth="1"/>
    <col min="3589" max="3589" width="16.7109375" style="7" customWidth="1"/>
    <col min="3590" max="3838" width="9.140625" style="7"/>
    <col min="3839" max="3839" width="4" style="7" bestFit="1" customWidth="1"/>
    <col min="3840" max="3840" width="26.7109375" style="7" bestFit="1" customWidth="1"/>
    <col min="3841" max="3841" width="22.7109375" style="7" bestFit="1" customWidth="1"/>
    <col min="3842" max="3842" width="32.5703125" style="7" customWidth="1"/>
    <col min="3843" max="3843" width="57.28515625" style="7" customWidth="1"/>
    <col min="3844" max="3844" width="15.5703125" style="7" customWidth="1"/>
    <col min="3845" max="3845" width="16.7109375" style="7" customWidth="1"/>
    <col min="3846" max="4094" width="9.140625" style="7"/>
    <col min="4095" max="4095" width="4" style="7" bestFit="1" customWidth="1"/>
    <col min="4096" max="4096" width="26.7109375" style="7" bestFit="1" customWidth="1"/>
    <col min="4097" max="4097" width="22.7109375" style="7" bestFit="1" customWidth="1"/>
    <col min="4098" max="4098" width="32.5703125" style="7" customWidth="1"/>
    <col min="4099" max="4099" width="57.28515625" style="7" customWidth="1"/>
    <col min="4100" max="4100" width="15.5703125" style="7" customWidth="1"/>
    <col min="4101" max="4101" width="16.7109375" style="7" customWidth="1"/>
    <col min="4102" max="4350" width="9.140625" style="7"/>
    <col min="4351" max="4351" width="4" style="7" bestFit="1" customWidth="1"/>
    <col min="4352" max="4352" width="26.7109375" style="7" bestFit="1" customWidth="1"/>
    <col min="4353" max="4353" width="22.7109375" style="7" bestFit="1" customWidth="1"/>
    <col min="4354" max="4354" width="32.5703125" style="7" customWidth="1"/>
    <col min="4355" max="4355" width="57.28515625" style="7" customWidth="1"/>
    <col min="4356" max="4356" width="15.5703125" style="7" customWidth="1"/>
    <col min="4357" max="4357" width="16.7109375" style="7" customWidth="1"/>
    <col min="4358" max="4606" width="9.140625" style="7"/>
    <col min="4607" max="4607" width="4" style="7" bestFit="1" customWidth="1"/>
    <col min="4608" max="4608" width="26.7109375" style="7" bestFit="1" customWidth="1"/>
    <col min="4609" max="4609" width="22.7109375" style="7" bestFit="1" customWidth="1"/>
    <col min="4610" max="4610" width="32.5703125" style="7" customWidth="1"/>
    <col min="4611" max="4611" width="57.28515625" style="7" customWidth="1"/>
    <col min="4612" max="4612" width="15.5703125" style="7" customWidth="1"/>
    <col min="4613" max="4613" width="16.7109375" style="7" customWidth="1"/>
    <col min="4614" max="4862" width="9.140625" style="7"/>
    <col min="4863" max="4863" width="4" style="7" bestFit="1" customWidth="1"/>
    <col min="4864" max="4864" width="26.7109375" style="7" bestFit="1" customWidth="1"/>
    <col min="4865" max="4865" width="22.7109375" style="7" bestFit="1" customWidth="1"/>
    <col min="4866" max="4866" width="32.5703125" style="7" customWidth="1"/>
    <col min="4867" max="4867" width="57.28515625" style="7" customWidth="1"/>
    <col min="4868" max="4868" width="15.5703125" style="7" customWidth="1"/>
    <col min="4869" max="4869" width="16.7109375" style="7" customWidth="1"/>
    <col min="4870" max="5118" width="9.140625" style="7"/>
    <col min="5119" max="5119" width="4" style="7" bestFit="1" customWidth="1"/>
    <col min="5120" max="5120" width="26.7109375" style="7" bestFit="1" customWidth="1"/>
    <col min="5121" max="5121" width="22.7109375" style="7" bestFit="1" customWidth="1"/>
    <col min="5122" max="5122" width="32.5703125" style="7" customWidth="1"/>
    <col min="5123" max="5123" width="57.28515625" style="7" customWidth="1"/>
    <col min="5124" max="5124" width="15.5703125" style="7" customWidth="1"/>
    <col min="5125" max="5125" width="16.7109375" style="7" customWidth="1"/>
    <col min="5126" max="5374" width="9.140625" style="7"/>
    <col min="5375" max="5375" width="4" style="7" bestFit="1" customWidth="1"/>
    <col min="5376" max="5376" width="26.7109375" style="7" bestFit="1" customWidth="1"/>
    <col min="5377" max="5377" width="22.7109375" style="7" bestFit="1" customWidth="1"/>
    <col min="5378" max="5378" width="32.5703125" style="7" customWidth="1"/>
    <col min="5379" max="5379" width="57.28515625" style="7" customWidth="1"/>
    <col min="5380" max="5380" width="15.5703125" style="7" customWidth="1"/>
    <col min="5381" max="5381" width="16.7109375" style="7" customWidth="1"/>
    <col min="5382" max="5630" width="9.140625" style="7"/>
    <col min="5631" max="5631" width="4" style="7" bestFit="1" customWidth="1"/>
    <col min="5632" max="5632" width="26.7109375" style="7" bestFit="1" customWidth="1"/>
    <col min="5633" max="5633" width="22.7109375" style="7" bestFit="1" customWidth="1"/>
    <col min="5634" max="5634" width="32.5703125" style="7" customWidth="1"/>
    <col min="5635" max="5635" width="57.28515625" style="7" customWidth="1"/>
    <col min="5636" max="5636" width="15.5703125" style="7" customWidth="1"/>
    <col min="5637" max="5637" width="16.7109375" style="7" customWidth="1"/>
    <col min="5638" max="5886" width="9.140625" style="7"/>
    <col min="5887" max="5887" width="4" style="7" bestFit="1" customWidth="1"/>
    <col min="5888" max="5888" width="26.7109375" style="7" bestFit="1" customWidth="1"/>
    <col min="5889" max="5889" width="22.7109375" style="7" bestFit="1" customWidth="1"/>
    <col min="5890" max="5890" width="32.5703125" style="7" customWidth="1"/>
    <col min="5891" max="5891" width="57.28515625" style="7" customWidth="1"/>
    <col min="5892" max="5892" width="15.5703125" style="7" customWidth="1"/>
    <col min="5893" max="5893" width="16.7109375" style="7" customWidth="1"/>
    <col min="5894" max="6142" width="9.140625" style="7"/>
    <col min="6143" max="6143" width="4" style="7" bestFit="1" customWidth="1"/>
    <col min="6144" max="6144" width="26.7109375" style="7" bestFit="1" customWidth="1"/>
    <col min="6145" max="6145" width="22.7109375" style="7" bestFit="1" customWidth="1"/>
    <col min="6146" max="6146" width="32.5703125" style="7" customWidth="1"/>
    <col min="6147" max="6147" width="57.28515625" style="7" customWidth="1"/>
    <col min="6148" max="6148" width="15.5703125" style="7" customWidth="1"/>
    <col min="6149" max="6149" width="16.7109375" style="7" customWidth="1"/>
    <col min="6150" max="6398" width="9.140625" style="7"/>
    <col min="6399" max="6399" width="4" style="7" bestFit="1" customWidth="1"/>
    <col min="6400" max="6400" width="26.7109375" style="7" bestFit="1" customWidth="1"/>
    <col min="6401" max="6401" width="22.7109375" style="7" bestFit="1" customWidth="1"/>
    <col min="6402" max="6402" width="32.5703125" style="7" customWidth="1"/>
    <col min="6403" max="6403" width="57.28515625" style="7" customWidth="1"/>
    <col min="6404" max="6404" width="15.5703125" style="7" customWidth="1"/>
    <col min="6405" max="6405" width="16.7109375" style="7" customWidth="1"/>
    <col min="6406" max="6654" width="9.140625" style="7"/>
    <col min="6655" max="6655" width="4" style="7" bestFit="1" customWidth="1"/>
    <col min="6656" max="6656" width="26.7109375" style="7" bestFit="1" customWidth="1"/>
    <col min="6657" max="6657" width="22.7109375" style="7" bestFit="1" customWidth="1"/>
    <col min="6658" max="6658" width="32.5703125" style="7" customWidth="1"/>
    <col min="6659" max="6659" width="57.28515625" style="7" customWidth="1"/>
    <col min="6660" max="6660" width="15.5703125" style="7" customWidth="1"/>
    <col min="6661" max="6661" width="16.7109375" style="7" customWidth="1"/>
    <col min="6662" max="6910" width="9.140625" style="7"/>
    <col min="6911" max="6911" width="4" style="7" bestFit="1" customWidth="1"/>
    <col min="6912" max="6912" width="26.7109375" style="7" bestFit="1" customWidth="1"/>
    <col min="6913" max="6913" width="22.7109375" style="7" bestFit="1" customWidth="1"/>
    <col min="6914" max="6914" width="32.5703125" style="7" customWidth="1"/>
    <col min="6915" max="6915" width="57.28515625" style="7" customWidth="1"/>
    <col min="6916" max="6916" width="15.5703125" style="7" customWidth="1"/>
    <col min="6917" max="6917" width="16.7109375" style="7" customWidth="1"/>
    <col min="6918" max="7166" width="9.140625" style="7"/>
    <col min="7167" max="7167" width="4" style="7" bestFit="1" customWidth="1"/>
    <col min="7168" max="7168" width="26.7109375" style="7" bestFit="1" customWidth="1"/>
    <col min="7169" max="7169" width="22.7109375" style="7" bestFit="1" customWidth="1"/>
    <col min="7170" max="7170" width="32.5703125" style="7" customWidth="1"/>
    <col min="7171" max="7171" width="57.28515625" style="7" customWidth="1"/>
    <col min="7172" max="7172" width="15.5703125" style="7" customWidth="1"/>
    <col min="7173" max="7173" width="16.7109375" style="7" customWidth="1"/>
    <col min="7174" max="7422" width="9.140625" style="7"/>
    <col min="7423" max="7423" width="4" style="7" bestFit="1" customWidth="1"/>
    <col min="7424" max="7424" width="26.7109375" style="7" bestFit="1" customWidth="1"/>
    <col min="7425" max="7425" width="22.7109375" style="7" bestFit="1" customWidth="1"/>
    <col min="7426" max="7426" width="32.5703125" style="7" customWidth="1"/>
    <col min="7427" max="7427" width="57.28515625" style="7" customWidth="1"/>
    <col min="7428" max="7428" width="15.5703125" style="7" customWidth="1"/>
    <col min="7429" max="7429" width="16.7109375" style="7" customWidth="1"/>
    <col min="7430" max="7678" width="9.140625" style="7"/>
    <col min="7679" max="7679" width="4" style="7" bestFit="1" customWidth="1"/>
    <col min="7680" max="7680" width="26.7109375" style="7" bestFit="1" customWidth="1"/>
    <col min="7681" max="7681" width="22.7109375" style="7" bestFit="1" customWidth="1"/>
    <col min="7682" max="7682" width="32.5703125" style="7" customWidth="1"/>
    <col min="7683" max="7683" width="57.28515625" style="7" customWidth="1"/>
    <col min="7684" max="7684" width="15.5703125" style="7" customWidth="1"/>
    <col min="7685" max="7685" width="16.7109375" style="7" customWidth="1"/>
    <col min="7686" max="7934" width="9.140625" style="7"/>
    <col min="7935" max="7935" width="4" style="7" bestFit="1" customWidth="1"/>
    <col min="7936" max="7936" width="26.7109375" style="7" bestFit="1" customWidth="1"/>
    <col min="7937" max="7937" width="22.7109375" style="7" bestFit="1" customWidth="1"/>
    <col min="7938" max="7938" width="32.5703125" style="7" customWidth="1"/>
    <col min="7939" max="7939" width="57.28515625" style="7" customWidth="1"/>
    <col min="7940" max="7940" width="15.5703125" style="7" customWidth="1"/>
    <col min="7941" max="7941" width="16.7109375" style="7" customWidth="1"/>
    <col min="7942" max="8190" width="9.140625" style="7"/>
    <col min="8191" max="8191" width="4" style="7" bestFit="1" customWidth="1"/>
    <col min="8192" max="8192" width="26.7109375" style="7" bestFit="1" customWidth="1"/>
    <col min="8193" max="8193" width="22.7109375" style="7" bestFit="1" customWidth="1"/>
    <col min="8194" max="8194" width="32.5703125" style="7" customWidth="1"/>
    <col min="8195" max="8195" width="57.28515625" style="7" customWidth="1"/>
    <col min="8196" max="8196" width="15.5703125" style="7" customWidth="1"/>
    <col min="8197" max="8197" width="16.7109375" style="7" customWidth="1"/>
    <col min="8198" max="8446" width="9.140625" style="7"/>
    <col min="8447" max="8447" width="4" style="7" bestFit="1" customWidth="1"/>
    <col min="8448" max="8448" width="26.7109375" style="7" bestFit="1" customWidth="1"/>
    <col min="8449" max="8449" width="22.7109375" style="7" bestFit="1" customWidth="1"/>
    <col min="8450" max="8450" width="32.5703125" style="7" customWidth="1"/>
    <col min="8451" max="8451" width="57.28515625" style="7" customWidth="1"/>
    <col min="8452" max="8452" width="15.5703125" style="7" customWidth="1"/>
    <col min="8453" max="8453" width="16.7109375" style="7" customWidth="1"/>
    <col min="8454" max="8702" width="9.140625" style="7"/>
    <col min="8703" max="8703" width="4" style="7" bestFit="1" customWidth="1"/>
    <col min="8704" max="8704" width="26.7109375" style="7" bestFit="1" customWidth="1"/>
    <col min="8705" max="8705" width="22.7109375" style="7" bestFit="1" customWidth="1"/>
    <col min="8706" max="8706" width="32.5703125" style="7" customWidth="1"/>
    <col min="8707" max="8707" width="57.28515625" style="7" customWidth="1"/>
    <col min="8708" max="8708" width="15.5703125" style="7" customWidth="1"/>
    <col min="8709" max="8709" width="16.7109375" style="7" customWidth="1"/>
    <col min="8710" max="8958" width="9.140625" style="7"/>
    <col min="8959" max="8959" width="4" style="7" bestFit="1" customWidth="1"/>
    <col min="8960" max="8960" width="26.7109375" style="7" bestFit="1" customWidth="1"/>
    <col min="8961" max="8961" width="22.7109375" style="7" bestFit="1" customWidth="1"/>
    <col min="8962" max="8962" width="32.5703125" style="7" customWidth="1"/>
    <col min="8963" max="8963" width="57.28515625" style="7" customWidth="1"/>
    <col min="8964" max="8964" width="15.5703125" style="7" customWidth="1"/>
    <col min="8965" max="8965" width="16.7109375" style="7" customWidth="1"/>
    <col min="8966" max="9214" width="9.140625" style="7"/>
    <col min="9215" max="9215" width="4" style="7" bestFit="1" customWidth="1"/>
    <col min="9216" max="9216" width="26.7109375" style="7" bestFit="1" customWidth="1"/>
    <col min="9217" max="9217" width="22.7109375" style="7" bestFit="1" customWidth="1"/>
    <col min="9218" max="9218" width="32.5703125" style="7" customWidth="1"/>
    <col min="9219" max="9219" width="57.28515625" style="7" customWidth="1"/>
    <col min="9220" max="9220" width="15.5703125" style="7" customWidth="1"/>
    <col min="9221" max="9221" width="16.7109375" style="7" customWidth="1"/>
    <col min="9222" max="9470" width="9.140625" style="7"/>
    <col min="9471" max="9471" width="4" style="7" bestFit="1" customWidth="1"/>
    <col min="9472" max="9472" width="26.7109375" style="7" bestFit="1" customWidth="1"/>
    <col min="9473" max="9473" width="22.7109375" style="7" bestFit="1" customWidth="1"/>
    <col min="9474" max="9474" width="32.5703125" style="7" customWidth="1"/>
    <col min="9475" max="9475" width="57.28515625" style="7" customWidth="1"/>
    <col min="9476" max="9476" width="15.5703125" style="7" customWidth="1"/>
    <col min="9477" max="9477" width="16.7109375" style="7" customWidth="1"/>
    <col min="9478" max="9726" width="9.140625" style="7"/>
    <col min="9727" max="9727" width="4" style="7" bestFit="1" customWidth="1"/>
    <col min="9728" max="9728" width="26.7109375" style="7" bestFit="1" customWidth="1"/>
    <col min="9729" max="9729" width="22.7109375" style="7" bestFit="1" customWidth="1"/>
    <col min="9730" max="9730" width="32.5703125" style="7" customWidth="1"/>
    <col min="9731" max="9731" width="57.28515625" style="7" customWidth="1"/>
    <col min="9732" max="9732" width="15.5703125" style="7" customWidth="1"/>
    <col min="9733" max="9733" width="16.7109375" style="7" customWidth="1"/>
    <col min="9734" max="9982" width="9.140625" style="7"/>
    <col min="9983" max="9983" width="4" style="7" bestFit="1" customWidth="1"/>
    <col min="9984" max="9984" width="26.7109375" style="7" bestFit="1" customWidth="1"/>
    <col min="9985" max="9985" width="22.7109375" style="7" bestFit="1" customWidth="1"/>
    <col min="9986" max="9986" width="32.5703125" style="7" customWidth="1"/>
    <col min="9987" max="9987" width="57.28515625" style="7" customWidth="1"/>
    <col min="9988" max="9988" width="15.5703125" style="7" customWidth="1"/>
    <col min="9989" max="9989" width="16.7109375" style="7" customWidth="1"/>
    <col min="9990" max="10238" width="9.140625" style="7"/>
    <col min="10239" max="10239" width="4" style="7" bestFit="1" customWidth="1"/>
    <col min="10240" max="10240" width="26.7109375" style="7" bestFit="1" customWidth="1"/>
    <col min="10241" max="10241" width="22.7109375" style="7" bestFit="1" customWidth="1"/>
    <col min="10242" max="10242" width="32.5703125" style="7" customWidth="1"/>
    <col min="10243" max="10243" width="57.28515625" style="7" customWidth="1"/>
    <col min="10244" max="10244" width="15.5703125" style="7" customWidth="1"/>
    <col min="10245" max="10245" width="16.7109375" style="7" customWidth="1"/>
    <col min="10246" max="10494" width="9.140625" style="7"/>
    <col min="10495" max="10495" width="4" style="7" bestFit="1" customWidth="1"/>
    <col min="10496" max="10496" width="26.7109375" style="7" bestFit="1" customWidth="1"/>
    <col min="10497" max="10497" width="22.7109375" style="7" bestFit="1" customWidth="1"/>
    <col min="10498" max="10498" width="32.5703125" style="7" customWidth="1"/>
    <col min="10499" max="10499" width="57.28515625" style="7" customWidth="1"/>
    <col min="10500" max="10500" width="15.5703125" style="7" customWidth="1"/>
    <col min="10501" max="10501" width="16.7109375" style="7" customWidth="1"/>
    <col min="10502" max="10750" width="9.140625" style="7"/>
    <col min="10751" max="10751" width="4" style="7" bestFit="1" customWidth="1"/>
    <col min="10752" max="10752" width="26.7109375" style="7" bestFit="1" customWidth="1"/>
    <col min="10753" max="10753" width="22.7109375" style="7" bestFit="1" customWidth="1"/>
    <col min="10754" max="10754" width="32.5703125" style="7" customWidth="1"/>
    <col min="10755" max="10755" width="57.28515625" style="7" customWidth="1"/>
    <col min="10756" max="10756" width="15.5703125" style="7" customWidth="1"/>
    <col min="10757" max="10757" width="16.7109375" style="7" customWidth="1"/>
    <col min="10758" max="11006" width="9.140625" style="7"/>
    <col min="11007" max="11007" width="4" style="7" bestFit="1" customWidth="1"/>
    <col min="11008" max="11008" width="26.7109375" style="7" bestFit="1" customWidth="1"/>
    <col min="11009" max="11009" width="22.7109375" style="7" bestFit="1" customWidth="1"/>
    <col min="11010" max="11010" width="32.5703125" style="7" customWidth="1"/>
    <col min="11011" max="11011" width="57.28515625" style="7" customWidth="1"/>
    <col min="11012" max="11012" width="15.5703125" style="7" customWidth="1"/>
    <col min="11013" max="11013" width="16.7109375" style="7" customWidth="1"/>
    <col min="11014" max="11262" width="9.140625" style="7"/>
    <col min="11263" max="11263" width="4" style="7" bestFit="1" customWidth="1"/>
    <col min="11264" max="11264" width="26.7109375" style="7" bestFit="1" customWidth="1"/>
    <col min="11265" max="11265" width="22.7109375" style="7" bestFit="1" customWidth="1"/>
    <col min="11266" max="11266" width="32.5703125" style="7" customWidth="1"/>
    <col min="11267" max="11267" width="57.28515625" style="7" customWidth="1"/>
    <col min="11268" max="11268" width="15.5703125" style="7" customWidth="1"/>
    <col min="11269" max="11269" width="16.7109375" style="7" customWidth="1"/>
    <col min="11270" max="11518" width="9.140625" style="7"/>
    <col min="11519" max="11519" width="4" style="7" bestFit="1" customWidth="1"/>
    <col min="11520" max="11520" width="26.7109375" style="7" bestFit="1" customWidth="1"/>
    <col min="11521" max="11521" width="22.7109375" style="7" bestFit="1" customWidth="1"/>
    <col min="11522" max="11522" width="32.5703125" style="7" customWidth="1"/>
    <col min="11523" max="11523" width="57.28515625" style="7" customWidth="1"/>
    <col min="11524" max="11524" width="15.5703125" style="7" customWidth="1"/>
    <col min="11525" max="11525" width="16.7109375" style="7" customWidth="1"/>
    <col min="11526" max="11774" width="9.140625" style="7"/>
    <col min="11775" max="11775" width="4" style="7" bestFit="1" customWidth="1"/>
    <col min="11776" max="11776" width="26.7109375" style="7" bestFit="1" customWidth="1"/>
    <col min="11777" max="11777" width="22.7109375" style="7" bestFit="1" customWidth="1"/>
    <col min="11778" max="11778" width="32.5703125" style="7" customWidth="1"/>
    <col min="11779" max="11779" width="57.28515625" style="7" customWidth="1"/>
    <col min="11780" max="11780" width="15.5703125" style="7" customWidth="1"/>
    <col min="11781" max="11781" width="16.7109375" style="7" customWidth="1"/>
    <col min="11782" max="12030" width="9.140625" style="7"/>
    <col min="12031" max="12031" width="4" style="7" bestFit="1" customWidth="1"/>
    <col min="12032" max="12032" width="26.7109375" style="7" bestFit="1" customWidth="1"/>
    <col min="12033" max="12033" width="22.7109375" style="7" bestFit="1" customWidth="1"/>
    <col min="12034" max="12034" width="32.5703125" style="7" customWidth="1"/>
    <col min="12035" max="12035" width="57.28515625" style="7" customWidth="1"/>
    <col min="12036" max="12036" width="15.5703125" style="7" customWidth="1"/>
    <col min="12037" max="12037" width="16.7109375" style="7" customWidth="1"/>
    <col min="12038" max="12286" width="9.140625" style="7"/>
    <col min="12287" max="12287" width="4" style="7" bestFit="1" customWidth="1"/>
    <col min="12288" max="12288" width="26.7109375" style="7" bestFit="1" customWidth="1"/>
    <col min="12289" max="12289" width="22.7109375" style="7" bestFit="1" customWidth="1"/>
    <col min="12290" max="12290" width="32.5703125" style="7" customWidth="1"/>
    <col min="12291" max="12291" width="57.28515625" style="7" customWidth="1"/>
    <col min="12292" max="12292" width="15.5703125" style="7" customWidth="1"/>
    <col min="12293" max="12293" width="16.7109375" style="7" customWidth="1"/>
    <col min="12294" max="12542" width="9.140625" style="7"/>
    <col min="12543" max="12543" width="4" style="7" bestFit="1" customWidth="1"/>
    <col min="12544" max="12544" width="26.7109375" style="7" bestFit="1" customWidth="1"/>
    <col min="12545" max="12545" width="22.7109375" style="7" bestFit="1" customWidth="1"/>
    <col min="12546" max="12546" width="32.5703125" style="7" customWidth="1"/>
    <col min="12547" max="12547" width="57.28515625" style="7" customWidth="1"/>
    <col min="12548" max="12548" width="15.5703125" style="7" customWidth="1"/>
    <col min="12549" max="12549" width="16.7109375" style="7" customWidth="1"/>
    <col min="12550" max="12798" width="9.140625" style="7"/>
    <col min="12799" max="12799" width="4" style="7" bestFit="1" customWidth="1"/>
    <col min="12800" max="12800" width="26.7109375" style="7" bestFit="1" customWidth="1"/>
    <col min="12801" max="12801" width="22.7109375" style="7" bestFit="1" customWidth="1"/>
    <col min="12802" max="12802" width="32.5703125" style="7" customWidth="1"/>
    <col min="12803" max="12803" width="57.28515625" style="7" customWidth="1"/>
    <col min="12804" max="12804" width="15.5703125" style="7" customWidth="1"/>
    <col min="12805" max="12805" width="16.7109375" style="7" customWidth="1"/>
    <col min="12806" max="13054" width="9.140625" style="7"/>
    <col min="13055" max="13055" width="4" style="7" bestFit="1" customWidth="1"/>
    <col min="13056" max="13056" width="26.7109375" style="7" bestFit="1" customWidth="1"/>
    <col min="13057" max="13057" width="22.7109375" style="7" bestFit="1" customWidth="1"/>
    <col min="13058" max="13058" width="32.5703125" style="7" customWidth="1"/>
    <col min="13059" max="13059" width="57.28515625" style="7" customWidth="1"/>
    <col min="13060" max="13060" width="15.5703125" style="7" customWidth="1"/>
    <col min="13061" max="13061" width="16.7109375" style="7" customWidth="1"/>
    <col min="13062" max="13310" width="9.140625" style="7"/>
    <col min="13311" max="13311" width="4" style="7" bestFit="1" customWidth="1"/>
    <col min="13312" max="13312" width="26.7109375" style="7" bestFit="1" customWidth="1"/>
    <col min="13313" max="13313" width="22.7109375" style="7" bestFit="1" customWidth="1"/>
    <col min="13314" max="13314" width="32.5703125" style="7" customWidth="1"/>
    <col min="13315" max="13315" width="57.28515625" style="7" customWidth="1"/>
    <col min="13316" max="13316" width="15.5703125" style="7" customWidth="1"/>
    <col min="13317" max="13317" width="16.7109375" style="7" customWidth="1"/>
    <col min="13318" max="13566" width="9.140625" style="7"/>
    <col min="13567" max="13567" width="4" style="7" bestFit="1" customWidth="1"/>
    <col min="13568" max="13568" width="26.7109375" style="7" bestFit="1" customWidth="1"/>
    <col min="13569" max="13569" width="22.7109375" style="7" bestFit="1" customWidth="1"/>
    <col min="13570" max="13570" width="32.5703125" style="7" customWidth="1"/>
    <col min="13571" max="13571" width="57.28515625" style="7" customWidth="1"/>
    <col min="13572" max="13572" width="15.5703125" style="7" customWidth="1"/>
    <col min="13573" max="13573" width="16.7109375" style="7" customWidth="1"/>
    <col min="13574" max="13822" width="9.140625" style="7"/>
    <col min="13823" max="13823" width="4" style="7" bestFit="1" customWidth="1"/>
    <col min="13824" max="13824" width="26.7109375" style="7" bestFit="1" customWidth="1"/>
    <col min="13825" max="13825" width="22.7109375" style="7" bestFit="1" customWidth="1"/>
    <col min="13826" max="13826" width="32.5703125" style="7" customWidth="1"/>
    <col min="13827" max="13827" width="57.28515625" style="7" customWidth="1"/>
    <col min="13828" max="13828" width="15.5703125" style="7" customWidth="1"/>
    <col min="13829" max="13829" width="16.7109375" style="7" customWidth="1"/>
    <col min="13830" max="14078" width="9.140625" style="7"/>
    <col min="14079" max="14079" width="4" style="7" bestFit="1" customWidth="1"/>
    <col min="14080" max="14080" width="26.7109375" style="7" bestFit="1" customWidth="1"/>
    <col min="14081" max="14081" width="22.7109375" style="7" bestFit="1" customWidth="1"/>
    <col min="14082" max="14082" width="32.5703125" style="7" customWidth="1"/>
    <col min="14083" max="14083" width="57.28515625" style="7" customWidth="1"/>
    <col min="14084" max="14084" width="15.5703125" style="7" customWidth="1"/>
    <col min="14085" max="14085" width="16.7109375" style="7" customWidth="1"/>
    <col min="14086" max="14334" width="9.140625" style="7"/>
    <col min="14335" max="14335" width="4" style="7" bestFit="1" customWidth="1"/>
    <col min="14336" max="14336" width="26.7109375" style="7" bestFit="1" customWidth="1"/>
    <col min="14337" max="14337" width="22.7109375" style="7" bestFit="1" customWidth="1"/>
    <col min="14338" max="14338" width="32.5703125" style="7" customWidth="1"/>
    <col min="14339" max="14339" width="57.28515625" style="7" customWidth="1"/>
    <col min="14340" max="14340" width="15.5703125" style="7" customWidth="1"/>
    <col min="14341" max="14341" width="16.7109375" style="7" customWidth="1"/>
    <col min="14342" max="14590" width="9.140625" style="7"/>
    <col min="14591" max="14591" width="4" style="7" bestFit="1" customWidth="1"/>
    <col min="14592" max="14592" width="26.7109375" style="7" bestFit="1" customWidth="1"/>
    <col min="14593" max="14593" width="22.7109375" style="7" bestFit="1" customWidth="1"/>
    <col min="14594" max="14594" width="32.5703125" style="7" customWidth="1"/>
    <col min="14595" max="14595" width="57.28515625" style="7" customWidth="1"/>
    <col min="14596" max="14596" width="15.5703125" style="7" customWidth="1"/>
    <col min="14597" max="14597" width="16.7109375" style="7" customWidth="1"/>
    <col min="14598" max="14846" width="9.140625" style="7"/>
    <col min="14847" max="14847" width="4" style="7" bestFit="1" customWidth="1"/>
    <col min="14848" max="14848" width="26.7109375" style="7" bestFit="1" customWidth="1"/>
    <col min="14849" max="14849" width="22.7109375" style="7" bestFit="1" customWidth="1"/>
    <col min="14850" max="14850" width="32.5703125" style="7" customWidth="1"/>
    <col min="14851" max="14851" width="57.28515625" style="7" customWidth="1"/>
    <col min="14852" max="14852" width="15.5703125" style="7" customWidth="1"/>
    <col min="14853" max="14853" width="16.7109375" style="7" customWidth="1"/>
    <col min="14854" max="15102" width="9.140625" style="7"/>
    <col min="15103" max="15103" width="4" style="7" bestFit="1" customWidth="1"/>
    <col min="15104" max="15104" width="26.7109375" style="7" bestFit="1" customWidth="1"/>
    <col min="15105" max="15105" width="22.7109375" style="7" bestFit="1" customWidth="1"/>
    <col min="15106" max="15106" width="32.5703125" style="7" customWidth="1"/>
    <col min="15107" max="15107" width="57.28515625" style="7" customWidth="1"/>
    <col min="15108" max="15108" width="15.5703125" style="7" customWidth="1"/>
    <col min="15109" max="15109" width="16.7109375" style="7" customWidth="1"/>
    <col min="15110" max="15358" width="9.140625" style="7"/>
    <col min="15359" max="15359" width="4" style="7" bestFit="1" customWidth="1"/>
    <col min="15360" max="15360" width="26.7109375" style="7" bestFit="1" customWidth="1"/>
    <col min="15361" max="15361" width="22.7109375" style="7" bestFit="1" customWidth="1"/>
    <col min="15362" max="15362" width="32.5703125" style="7" customWidth="1"/>
    <col min="15363" max="15363" width="57.28515625" style="7" customWidth="1"/>
    <col min="15364" max="15364" width="15.5703125" style="7" customWidth="1"/>
    <col min="15365" max="15365" width="16.7109375" style="7" customWidth="1"/>
    <col min="15366" max="15614" width="9.140625" style="7"/>
    <col min="15615" max="15615" width="4" style="7" bestFit="1" customWidth="1"/>
    <col min="15616" max="15616" width="26.7109375" style="7" bestFit="1" customWidth="1"/>
    <col min="15617" max="15617" width="22.7109375" style="7" bestFit="1" customWidth="1"/>
    <col min="15618" max="15618" width="32.5703125" style="7" customWidth="1"/>
    <col min="15619" max="15619" width="57.28515625" style="7" customWidth="1"/>
    <col min="15620" max="15620" width="15.5703125" style="7" customWidth="1"/>
    <col min="15621" max="15621" width="16.7109375" style="7" customWidth="1"/>
    <col min="15622" max="15870" width="9.140625" style="7"/>
    <col min="15871" max="15871" width="4" style="7" bestFit="1" customWidth="1"/>
    <col min="15872" max="15872" width="26.7109375" style="7" bestFit="1" customWidth="1"/>
    <col min="15873" max="15873" width="22.7109375" style="7" bestFit="1" customWidth="1"/>
    <col min="15874" max="15874" width="32.5703125" style="7" customWidth="1"/>
    <col min="15875" max="15875" width="57.28515625" style="7" customWidth="1"/>
    <col min="15876" max="15876" width="15.5703125" style="7" customWidth="1"/>
    <col min="15877" max="15877" width="16.7109375" style="7" customWidth="1"/>
    <col min="15878" max="16126" width="9.140625" style="7"/>
    <col min="16127" max="16127" width="4" style="7" bestFit="1" customWidth="1"/>
    <col min="16128" max="16128" width="26.7109375" style="7" bestFit="1" customWidth="1"/>
    <col min="16129" max="16129" width="22.7109375" style="7" bestFit="1" customWidth="1"/>
    <col min="16130" max="16130" width="32.5703125" style="7" customWidth="1"/>
    <col min="16131" max="16131" width="57.28515625" style="7" customWidth="1"/>
    <col min="16132" max="16132" width="15.5703125" style="7" customWidth="1"/>
    <col min="16133" max="16133" width="16.7109375" style="7" customWidth="1"/>
    <col min="16134" max="16384" width="9.140625" style="7"/>
  </cols>
  <sheetData>
    <row r="1" spans="1:8" s="38" customFormat="1" ht="21" customHeight="1" x14ac:dyDescent="0.3">
      <c r="A1" s="159" t="s">
        <v>4</v>
      </c>
      <c r="B1" s="160"/>
      <c r="C1" s="161"/>
      <c r="D1" s="165" t="str">
        <f>Copertina!B7</f>
        <v>MEV 2023_35_SIUS_Riforma_Cartabia</v>
      </c>
      <c r="E1" s="166"/>
      <c r="F1" s="166"/>
      <c r="G1" s="167"/>
      <c r="H1" s="7"/>
    </row>
    <row r="2" spans="1:8" s="38" customFormat="1" ht="20.25" customHeight="1" thickBot="1" x14ac:dyDescent="0.35">
      <c r="A2" s="162" t="s">
        <v>11</v>
      </c>
      <c r="B2" s="163"/>
      <c r="C2" s="164"/>
      <c r="D2" s="168" t="str">
        <f>Copertina!B3</f>
        <v>SIUT-SIES-CT-1.0-20240830-Allegato_al_piano_Test_2023_035_SIUS_Riforma_Cartabia.xlsx</v>
      </c>
      <c r="E2" s="169"/>
      <c r="F2" s="169"/>
      <c r="G2" s="170"/>
      <c r="H2" s="39"/>
    </row>
    <row r="3" spans="1:8" ht="42" customHeight="1" thickBot="1" x14ac:dyDescent="0.35">
      <c r="A3" s="4" t="s">
        <v>8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spans="1:8" ht="45" x14ac:dyDescent="0.25">
      <c r="A4" s="40" t="s">
        <v>42</v>
      </c>
      <c r="B4" s="28" t="s">
        <v>43</v>
      </c>
      <c r="C4" s="28" t="s">
        <v>44</v>
      </c>
      <c r="D4" s="28" t="s">
        <v>45</v>
      </c>
      <c r="E4" s="27" t="s">
        <v>46</v>
      </c>
      <c r="F4" s="27" t="s">
        <v>47</v>
      </c>
      <c r="G4" s="27"/>
    </row>
    <row r="5" spans="1:8" ht="30" x14ac:dyDescent="0.25">
      <c r="A5" s="40" t="s">
        <v>48</v>
      </c>
      <c r="B5" s="28" t="s">
        <v>43</v>
      </c>
      <c r="C5" s="28" t="s">
        <v>49</v>
      </c>
      <c r="D5" s="28" t="s">
        <v>50</v>
      </c>
      <c r="E5" s="28" t="s">
        <v>51</v>
      </c>
      <c r="F5" s="28" t="s">
        <v>47</v>
      </c>
      <c r="G5" s="28"/>
    </row>
    <row r="6" spans="1:8" ht="30" x14ac:dyDescent="0.25">
      <c r="A6" s="40" t="s">
        <v>52</v>
      </c>
      <c r="B6" s="28" t="s">
        <v>43</v>
      </c>
      <c r="C6" s="28" t="s">
        <v>53</v>
      </c>
      <c r="D6" s="28" t="s">
        <v>54</v>
      </c>
      <c r="E6" s="28" t="s">
        <v>55</v>
      </c>
      <c r="F6" s="28" t="s">
        <v>47</v>
      </c>
      <c r="G6" s="28"/>
    </row>
    <row r="7" spans="1:8" ht="30" x14ac:dyDescent="0.25">
      <c r="A7" s="40" t="s">
        <v>56</v>
      </c>
      <c r="B7" s="28" t="s">
        <v>57</v>
      </c>
      <c r="C7" s="28" t="s">
        <v>58</v>
      </c>
      <c r="D7" s="28" t="s">
        <v>59</v>
      </c>
      <c r="E7" s="28" t="s">
        <v>60</v>
      </c>
      <c r="F7" s="28" t="s">
        <v>47</v>
      </c>
      <c r="G7" s="28"/>
    </row>
    <row r="8" spans="1:8" ht="60" x14ac:dyDescent="0.25">
      <c r="A8" s="40" t="s">
        <v>61</v>
      </c>
      <c r="B8" s="28" t="s">
        <v>62</v>
      </c>
      <c r="C8" s="28" t="s">
        <v>63</v>
      </c>
      <c r="D8" s="28" t="s">
        <v>64</v>
      </c>
      <c r="E8" s="28" t="s">
        <v>65</v>
      </c>
      <c r="F8" s="28" t="s">
        <v>47</v>
      </c>
      <c r="G8" s="28"/>
    </row>
    <row r="9" spans="1:8" ht="30" x14ac:dyDescent="0.25">
      <c r="A9" s="40" t="s">
        <v>66</v>
      </c>
      <c r="B9" s="28" t="s">
        <v>62</v>
      </c>
      <c r="C9" s="28" t="s">
        <v>63</v>
      </c>
      <c r="D9" s="28" t="s">
        <v>67</v>
      </c>
      <c r="E9" s="28" t="s">
        <v>68</v>
      </c>
      <c r="F9" s="28" t="s">
        <v>47</v>
      </c>
      <c r="G9" s="28"/>
    </row>
    <row r="10" spans="1:8" ht="30" x14ac:dyDescent="0.25">
      <c r="A10" s="40" t="s">
        <v>69</v>
      </c>
      <c r="B10" s="28" t="s">
        <v>62</v>
      </c>
      <c r="C10" s="28" t="s">
        <v>63</v>
      </c>
      <c r="D10" s="28" t="s">
        <v>70</v>
      </c>
      <c r="E10" s="28" t="s">
        <v>71</v>
      </c>
      <c r="F10" s="28" t="s">
        <v>47</v>
      </c>
      <c r="G10" s="28"/>
    </row>
    <row r="11" spans="1:8" ht="60" x14ac:dyDescent="0.25">
      <c r="A11" s="40" t="s">
        <v>72</v>
      </c>
      <c r="B11" s="28" t="s">
        <v>62</v>
      </c>
      <c r="C11" s="28" t="s">
        <v>73</v>
      </c>
      <c r="D11" s="28" t="s">
        <v>74</v>
      </c>
      <c r="E11" s="28" t="s">
        <v>75</v>
      </c>
      <c r="F11" s="28" t="s">
        <v>47</v>
      </c>
      <c r="G11" s="28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B1"/>
    </sheetView>
  </sheetViews>
  <sheetFormatPr defaultRowHeight="12.75" x14ac:dyDescent="0.2"/>
  <cols>
    <col min="1" max="1" width="24.140625" style="13" customWidth="1"/>
    <col min="2" max="2" width="29.85546875" style="13" customWidth="1"/>
    <col min="3" max="3" width="28.140625" style="13" customWidth="1"/>
    <col min="4" max="4" width="27" style="13" customWidth="1"/>
    <col min="5" max="5" width="30.5703125" style="13" customWidth="1"/>
    <col min="6" max="6" width="1.7109375" style="13" customWidth="1"/>
    <col min="7" max="256" width="9.140625" style="13"/>
    <col min="257" max="257" width="24.140625" style="13" customWidth="1"/>
    <col min="258" max="258" width="29.85546875" style="13" customWidth="1"/>
    <col min="259" max="259" width="28.140625" style="13" customWidth="1"/>
    <col min="260" max="260" width="27" style="13" customWidth="1"/>
    <col min="261" max="261" width="30.5703125" style="13" customWidth="1"/>
    <col min="262" max="262" width="1.7109375" style="13" customWidth="1"/>
    <col min="263" max="512" width="9.140625" style="13"/>
    <col min="513" max="513" width="24.140625" style="13" customWidth="1"/>
    <col min="514" max="514" width="29.85546875" style="13" customWidth="1"/>
    <col min="515" max="515" width="28.140625" style="13" customWidth="1"/>
    <col min="516" max="516" width="27" style="13" customWidth="1"/>
    <col min="517" max="517" width="30.5703125" style="13" customWidth="1"/>
    <col min="518" max="518" width="1.7109375" style="13" customWidth="1"/>
    <col min="519" max="768" width="9.140625" style="13"/>
    <col min="769" max="769" width="24.140625" style="13" customWidth="1"/>
    <col min="770" max="770" width="29.85546875" style="13" customWidth="1"/>
    <col min="771" max="771" width="28.140625" style="13" customWidth="1"/>
    <col min="772" max="772" width="27" style="13" customWidth="1"/>
    <col min="773" max="773" width="30.5703125" style="13" customWidth="1"/>
    <col min="774" max="774" width="1.7109375" style="13" customWidth="1"/>
    <col min="775" max="1024" width="9.140625" style="13"/>
    <col min="1025" max="1025" width="24.140625" style="13" customWidth="1"/>
    <col min="1026" max="1026" width="29.85546875" style="13" customWidth="1"/>
    <col min="1027" max="1027" width="28.140625" style="13" customWidth="1"/>
    <col min="1028" max="1028" width="27" style="13" customWidth="1"/>
    <col min="1029" max="1029" width="30.5703125" style="13" customWidth="1"/>
    <col min="1030" max="1030" width="1.7109375" style="13" customWidth="1"/>
    <col min="1031" max="1280" width="9.140625" style="13"/>
    <col min="1281" max="1281" width="24.140625" style="13" customWidth="1"/>
    <col min="1282" max="1282" width="29.85546875" style="13" customWidth="1"/>
    <col min="1283" max="1283" width="28.140625" style="13" customWidth="1"/>
    <col min="1284" max="1284" width="27" style="13" customWidth="1"/>
    <col min="1285" max="1285" width="30.5703125" style="13" customWidth="1"/>
    <col min="1286" max="1286" width="1.7109375" style="13" customWidth="1"/>
    <col min="1287" max="1536" width="9.140625" style="13"/>
    <col min="1537" max="1537" width="24.140625" style="13" customWidth="1"/>
    <col min="1538" max="1538" width="29.85546875" style="13" customWidth="1"/>
    <col min="1539" max="1539" width="28.140625" style="13" customWidth="1"/>
    <col min="1540" max="1540" width="27" style="13" customWidth="1"/>
    <col min="1541" max="1541" width="30.5703125" style="13" customWidth="1"/>
    <col min="1542" max="1542" width="1.7109375" style="13" customWidth="1"/>
    <col min="1543" max="1792" width="9.140625" style="13"/>
    <col min="1793" max="1793" width="24.140625" style="13" customWidth="1"/>
    <col min="1794" max="1794" width="29.85546875" style="13" customWidth="1"/>
    <col min="1795" max="1795" width="28.140625" style="13" customWidth="1"/>
    <col min="1796" max="1796" width="27" style="13" customWidth="1"/>
    <col min="1797" max="1797" width="30.5703125" style="13" customWidth="1"/>
    <col min="1798" max="1798" width="1.7109375" style="13" customWidth="1"/>
    <col min="1799" max="2048" width="9.140625" style="13"/>
    <col min="2049" max="2049" width="24.140625" style="13" customWidth="1"/>
    <col min="2050" max="2050" width="29.85546875" style="13" customWidth="1"/>
    <col min="2051" max="2051" width="28.140625" style="13" customWidth="1"/>
    <col min="2052" max="2052" width="27" style="13" customWidth="1"/>
    <col min="2053" max="2053" width="30.5703125" style="13" customWidth="1"/>
    <col min="2054" max="2054" width="1.7109375" style="13" customWidth="1"/>
    <col min="2055" max="2304" width="9.140625" style="13"/>
    <col min="2305" max="2305" width="24.140625" style="13" customWidth="1"/>
    <col min="2306" max="2306" width="29.85546875" style="13" customWidth="1"/>
    <col min="2307" max="2307" width="28.140625" style="13" customWidth="1"/>
    <col min="2308" max="2308" width="27" style="13" customWidth="1"/>
    <col min="2309" max="2309" width="30.5703125" style="13" customWidth="1"/>
    <col min="2310" max="2310" width="1.7109375" style="13" customWidth="1"/>
    <col min="2311" max="2560" width="9.140625" style="13"/>
    <col min="2561" max="2561" width="24.140625" style="13" customWidth="1"/>
    <col min="2562" max="2562" width="29.85546875" style="13" customWidth="1"/>
    <col min="2563" max="2563" width="28.140625" style="13" customWidth="1"/>
    <col min="2564" max="2564" width="27" style="13" customWidth="1"/>
    <col min="2565" max="2565" width="30.5703125" style="13" customWidth="1"/>
    <col min="2566" max="2566" width="1.7109375" style="13" customWidth="1"/>
    <col min="2567" max="2816" width="9.140625" style="13"/>
    <col min="2817" max="2817" width="24.140625" style="13" customWidth="1"/>
    <col min="2818" max="2818" width="29.85546875" style="13" customWidth="1"/>
    <col min="2819" max="2819" width="28.140625" style="13" customWidth="1"/>
    <col min="2820" max="2820" width="27" style="13" customWidth="1"/>
    <col min="2821" max="2821" width="30.5703125" style="13" customWidth="1"/>
    <col min="2822" max="2822" width="1.7109375" style="13" customWidth="1"/>
    <col min="2823" max="3072" width="9.140625" style="13"/>
    <col min="3073" max="3073" width="24.140625" style="13" customWidth="1"/>
    <col min="3074" max="3074" width="29.85546875" style="13" customWidth="1"/>
    <col min="3075" max="3075" width="28.140625" style="13" customWidth="1"/>
    <col min="3076" max="3076" width="27" style="13" customWidth="1"/>
    <col min="3077" max="3077" width="30.5703125" style="13" customWidth="1"/>
    <col min="3078" max="3078" width="1.7109375" style="13" customWidth="1"/>
    <col min="3079" max="3328" width="9.140625" style="13"/>
    <col min="3329" max="3329" width="24.140625" style="13" customWidth="1"/>
    <col min="3330" max="3330" width="29.85546875" style="13" customWidth="1"/>
    <col min="3331" max="3331" width="28.140625" style="13" customWidth="1"/>
    <col min="3332" max="3332" width="27" style="13" customWidth="1"/>
    <col min="3333" max="3333" width="30.5703125" style="13" customWidth="1"/>
    <col min="3334" max="3334" width="1.7109375" style="13" customWidth="1"/>
    <col min="3335" max="3584" width="9.140625" style="13"/>
    <col min="3585" max="3585" width="24.140625" style="13" customWidth="1"/>
    <col min="3586" max="3586" width="29.85546875" style="13" customWidth="1"/>
    <col min="3587" max="3587" width="28.140625" style="13" customWidth="1"/>
    <col min="3588" max="3588" width="27" style="13" customWidth="1"/>
    <col min="3589" max="3589" width="30.5703125" style="13" customWidth="1"/>
    <col min="3590" max="3590" width="1.7109375" style="13" customWidth="1"/>
    <col min="3591" max="3840" width="9.140625" style="13"/>
    <col min="3841" max="3841" width="24.140625" style="13" customWidth="1"/>
    <col min="3842" max="3842" width="29.85546875" style="13" customWidth="1"/>
    <col min="3843" max="3843" width="28.140625" style="13" customWidth="1"/>
    <col min="3844" max="3844" width="27" style="13" customWidth="1"/>
    <col min="3845" max="3845" width="30.5703125" style="13" customWidth="1"/>
    <col min="3846" max="3846" width="1.7109375" style="13" customWidth="1"/>
    <col min="3847" max="4096" width="9.140625" style="13"/>
    <col min="4097" max="4097" width="24.140625" style="13" customWidth="1"/>
    <col min="4098" max="4098" width="29.85546875" style="13" customWidth="1"/>
    <col min="4099" max="4099" width="28.140625" style="13" customWidth="1"/>
    <col min="4100" max="4100" width="27" style="13" customWidth="1"/>
    <col min="4101" max="4101" width="30.5703125" style="13" customWidth="1"/>
    <col min="4102" max="4102" width="1.7109375" style="13" customWidth="1"/>
    <col min="4103" max="4352" width="9.140625" style="13"/>
    <col min="4353" max="4353" width="24.140625" style="13" customWidth="1"/>
    <col min="4354" max="4354" width="29.85546875" style="13" customWidth="1"/>
    <col min="4355" max="4355" width="28.140625" style="13" customWidth="1"/>
    <col min="4356" max="4356" width="27" style="13" customWidth="1"/>
    <col min="4357" max="4357" width="30.5703125" style="13" customWidth="1"/>
    <col min="4358" max="4358" width="1.7109375" style="13" customWidth="1"/>
    <col min="4359" max="4608" width="9.140625" style="13"/>
    <col min="4609" max="4609" width="24.140625" style="13" customWidth="1"/>
    <col min="4610" max="4610" width="29.85546875" style="13" customWidth="1"/>
    <col min="4611" max="4611" width="28.140625" style="13" customWidth="1"/>
    <col min="4612" max="4612" width="27" style="13" customWidth="1"/>
    <col min="4613" max="4613" width="30.5703125" style="13" customWidth="1"/>
    <col min="4614" max="4614" width="1.7109375" style="13" customWidth="1"/>
    <col min="4615" max="4864" width="9.140625" style="13"/>
    <col min="4865" max="4865" width="24.140625" style="13" customWidth="1"/>
    <col min="4866" max="4866" width="29.85546875" style="13" customWidth="1"/>
    <col min="4867" max="4867" width="28.140625" style="13" customWidth="1"/>
    <col min="4868" max="4868" width="27" style="13" customWidth="1"/>
    <col min="4869" max="4869" width="30.5703125" style="13" customWidth="1"/>
    <col min="4870" max="4870" width="1.7109375" style="13" customWidth="1"/>
    <col min="4871" max="5120" width="9.140625" style="13"/>
    <col min="5121" max="5121" width="24.140625" style="13" customWidth="1"/>
    <col min="5122" max="5122" width="29.85546875" style="13" customWidth="1"/>
    <col min="5123" max="5123" width="28.140625" style="13" customWidth="1"/>
    <col min="5124" max="5124" width="27" style="13" customWidth="1"/>
    <col min="5125" max="5125" width="30.5703125" style="13" customWidth="1"/>
    <col min="5126" max="5126" width="1.7109375" style="13" customWidth="1"/>
    <col min="5127" max="5376" width="9.140625" style="13"/>
    <col min="5377" max="5377" width="24.140625" style="13" customWidth="1"/>
    <col min="5378" max="5378" width="29.85546875" style="13" customWidth="1"/>
    <col min="5379" max="5379" width="28.140625" style="13" customWidth="1"/>
    <col min="5380" max="5380" width="27" style="13" customWidth="1"/>
    <col min="5381" max="5381" width="30.5703125" style="13" customWidth="1"/>
    <col min="5382" max="5382" width="1.7109375" style="13" customWidth="1"/>
    <col min="5383" max="5632" width="9.140625" style="13"/>
    <col min="5633" max="5633" width="24.140625" style="13" customWidth="1"/>
    <col min="5634" max="5634" width="29.85546875" style="13" customWidth="1"/>
    <col min="5635" max="5635" width="28.140625" style="13" customWidth="1"/>
    <col min="5636" max="5636" width="27" style="13" customWidth="1"/>
    <col min="5637" max="5637" width="30.5703125" style="13" customWidth="1"/>
    <col min="5638" max="5638" width="1.7109375" style="13" customWidth="1"/>
    <col min="5639" max="5888" width="9.140625" style="13"/>
    <col min="5889" max="5889" width="24.140625" style="13" customWidth="1"/>
    <col min="5890" max="5890" width="29.85546875" style="13" customWidth="1"/>
    <col min="5891" max="5891" width="28.140625" style="13" customWidth="1"/>
    <col min="5892" max="5892" width="27" style="13" customWidth="1"/>
    <col min="5893" max="5893" width="30.5703125" style="13" customWidth="1"/>
    <col min="5894" max="5894" width="1.7109375" style="13" customWidth="1"/>
    <col min="5895" max="6144" width="9.140625" style="13"/>
    <col min="6145" max="6145" width="24.140625" style="13" customWidth="1"/>
    <col min="6146" max="6146" width="29.85546875" style="13" customWidth="1"/>
    <col min="6147" max="6147" width="28.140625" style="13" customWidth="1"/>
    <col min="6148" max="6148" width="27" style="13" customWidth="1"/>
    <col min="6149" max="6149" width="30.5703125" style="13" customWidth="1"/>
    <col min="6150" max="6150" width="1.7109375" style="13" customWidth="1"/>
    <col min="6151" max="6400" width="9.140625" style="13"/>
    <col min="6401" max="6401" width="24.140625" style="13" customWidth="1"/>
    <col min="6402" max="6402" width="29.85546875" style="13" customWidth="1"/>
    <col min="6403" max="6403" width="28.140625" style="13" customWidth="1"/>
    <col min="6404" max="6404" width="27" style="13" customWidth="1"/>
    <col min="6405" max="6405" width="30.5703125" style="13" customWidth="1"/>
    <col min="6406" max="6406" width="1.7109375" style="13" customWidth="1"/>
    <col min="6407" max="6656" width="9.140625" style="13"/>
    <col min="6657" max="6657" width="24.140625" style="13" customWidth="1"/>
    <col min="6658" max="6658" width="29.85546875" style="13" customWidth="1"/>
    <col min="6659" max="6659" width="28.140625" style="13" customWidth="1"/>
    <col min="6660" max="6660" width="27" style="13" customWidth="1"/>
    <col min="6661" max="6661" width="30.5703125" style="13" customWidth="1"/>
    <col min="6662" max="6662" width="1.7109375" style="13" customWidth="1"/>
    <col min="6663" max="6912" width="9.140625" style="13"/>
    <col min="6913" max="6913" width="24.140625" style="13" customWidth="1"/>
    <col min="6914" max="6914" width="29.85546875" style="13" customWidth="1"/>
    <col min="6915" max="6915" width="28.140625" style="13" customWidth="1"/>
    <col min="6916" max="6916" width="27" style="13" customWidth="1"/>
    <col min="6917" max="6917" width="30.5703125" style="13" customWidth="1"/>
    <col min="6918" max="6918" width="1.7109375" style="13" customWidth="1"/>
    <col min="6919" max="7168" width="9.140625" style="13"/>
    <col min="7169" max="7169" width="24.140625" style="13" customWidth="1"/>
    <col min="7170" max="7170" width="29.85546875" style="13" customWidth="1"/>
    <col min="7171" max="7171" width="28.140625" style="13" customWidth="1"/>
    <col min="7172" max="7172" width="27" style="13" customWidth="1"/>
    <col min="7173" max="7173" width="30.5703125" style="13" customWidth="1"/>
    <col min="7174" max="7174" width="1.7109375" style="13" customWidth="1"/>
    <col min="7175" max="7424" width="9.140625" style="13"/>
    <col min="7425" max="7425" width="24.140625" style="13" customWidth="1"/>
    <col min="7426" max="7426" width="29.85546875" style="13" customWidth="1"/>
    <col min="7427" max="7427" width="28.140625" style="13" customWidth="1"/>
    <col min="7428" max="7428" width="27" style="13" customWidth="1"/>
    <col min="7429" max="7429" width="30.5703125" style="13" customWidth="1"/>
    <col min="7430" max="7430" width="1.7109375" style="13" customWidth="1"/>
    <col min="7431" max="7680" width="9.140625" style="13"/>
    <col min="7681" max="7681" width="24.140625" style="13" customWidth="1"/>
    <col min="7682" max="7682" width="29.85546875" style="13" customWidth="1"/>
    <col min="7683" max="7683" width="28.140625" style="13" customWidth="1"/>
    <col min="7684" max="7684" width="27" style="13" customWidth="1"/>
    <col min="7685" max="7685" width="30.5703125" style="13" customWidth="1"/>
    <col min="7686" max="7686" width="1.7109375" style="13" customWidth="1"/>
    <col min="7687" max="7936" width="9.140625" style="13"/>
    <col min="7937" max="7937" width="24.140625" style="13" customWidth="1"/>
    <col min="7938" max="7938" width="29.85546875" style="13" customWidth="1"/>
    <col min="7939" max="7939" width="28.140625" style="13" customWidth="1"/>
    <col min="7940" max="7940" width="27" style="13" customWidth="1"/>
    <col min="7941" max="7941" width="30.5703125" style="13" customWidth="1"/>
    <col min="7942" max="7942" width="1.7109375" style="13" customWidth="1"/>
    <col min="7943" max="8192" width="9.140625" style="13"/>
    <col min="8193" max="8193" width="24.140625" style="13" customWidth="1"/>
    <col min="8194" max="8194" width="29.85546875" style="13" customWidth="1"/>
    <col min="8195" max="8195" width="28.140625" style="13" customWidth="1"/>
    <col min="8196" max="8196" width="27" style="13" customWidth="1"/>
    <col min="8197" max="8197" width="30.5703125" style="13" customWidth="1"/>
    <col min="8198" max="8198" width="1.7109375" style="13" customWidth="1"/>
    <col min="8199" max="8448" width="9.140625" style="13"/>
    <col min="8449" max="8449" width="24.140625" style="13" customWidth="1"/>
    <col min="8450" max="8450" width="29.85546875" style="13" customWidth="1"/>
    <col min="8451" max="8451" width="28.140625" style="13" customWidth="1"/>
    <col min="8452" max="8452" width="27" style="13" customWidth="1"/>
    <col min="8453" max="8453" width="30.5703125" style="13" customWidth="1"/>
    <col min="8454" max="8454" width="1.7109375" style="13" customWidth="1"/>
    <col min="8455" max="8704" width="9.140625" style="13"/>
    <col min="8705" max="8705" width="24.140625" style="13" customWidth="1"/>
    <col min="8706" max="8706" width="29.85546875" style="13" customWidth="1"/>
    <col min="8707" max="8707" width="28.140625" style="13" customWidth="1"/>
    <col min="8708" max="8708" width="27" style="13" customWidth="1"/>
    <col min="8709" max="8709" width="30.5703125" style="13" customWidth="1"/>
    <col min="8710" max="8710" width="1.7109375" style="13" customWidth="1"/>
    <col min="8711" max="8960" width="9.140625" style="13"/>
    <col min="8961" max="8961" width="24.140625" style="13" customWidth="1"/>
    <col min="8962" max="8962" width="29.85546875" style="13" customWidth="1"/>
    <col min="8963" max="8963" width="28.140625" style="13" customWidth="1"/>
    <col min="8964" max="8964" width="27" style="13" customWidth="1"/>
    <col min="8965" max="8965" width="30.5703125" style="13" customWidth="1"/>
    <col min="8966" max="8966" width="1.7109375" style="13" customWidth="1"/>
    <col min="8967" max="9216" width="9.140625" style="13"/>
    <col min="9217" max="9217" width="24.140625" style="13" customWidth="1"/>
    <col min="9218" max="9218" width="29.85546875" style="13" customWidth="1"/>
    <col min="9219" max="9219" width="28.140625" style="13" customWidth="1"/>
    <col min="9220" max="9220" width="27" style="13" customWidth="1"/>
    <col min="9221" max="9221" width="30.5703125" style="13" customWidth="1"/>
    <col min="9222" max="9222" width="1.7109375" style="13" customWidth="1"/>
    <col min="9223" max="9472" width="9.140625" style="13"/>
    <col min="9473" max="9473" width="24.140625" style="13" customWidth="1"/>
    <col min="9474" max="9474" width="29.85546875" style="13" customWidth="1"/>
    <col min="9475" max="9475" width="28.140625" style="13" customWidth="1"/>
    <col min="9476" max="9476" width="27" style="13" customWidth="1"/>
    <col min="9477" max="9477" width="30.5703125" style="13" customWidth="1"/>
    <col min="9478" max="9478" width="1.7109375" style="13" customWidth="1"/>
    <col min="9479" max="9728" width="9.140625" style="13"/>
    <col min="9729" max="9729" width="24.140625" style="13" customWidth="1"/>
    <col min="9730" max="9730" width="29.85546875" style="13" customWidth="1"/>
    <col min="9731" max="9731" width="28.140625" style="13" customWidth="1"/>
    <col min="9732" max="9732" width="27" style="13" customWidth="1"/>
    <col min="9733" max="9733" width="30.5703125" style="13" customWidth="1"/>
    <col min="9734" max="9734" width="1.7109375" style="13" customWidth="1"/>
    <col min="9735" max="9984" width="9.140625" style="13"/>
    <col min="9985" max="9985" width="24.140625" style="13" customWidth="1"/>
    <col min="9986" max="9986" width="29.85546875" style="13" customWidth="1"/>
    <col min="9987" max="9987" width="28.140625" style="13" customWidth="1"/>
    <col min="9988" max="9988" width="27" style="13" customWidth="1"/>
    <col min="9989" max="9989" width="30.5703125" style="13" customWidth="1"/>
    <col min="9990" max="9990" width="1.7109375" style="13" customWidth="1"/>
    <col min="9991" max="10240" width="9.140625" style="13"/>
    <col min="10241" max="10241" width="24.140625" style="13" customWidth="1"/>
    <col min="10242" max="10242" width="29.85546875" style="13" customWidth="1"/>
    <col min="10243" max="10243" width="28.140625" style="13" customWidth="1"/>
    <col min="10244" max="10244" width="27" style="13" customWidth="1"/>
    <col min="10245" max="10245" width="30.5703125" style="13" customWidth="1"/>
    <col min="10246" max="10246" width="1.7109375" style="13" customWidth="1"/>
    <col min="10247" max="10496" width="9.140625" style="13"/>
    <col min="10497" max="10497" width="24.140625" style="13" customWidth="1"/>
    <col min="10498" max="10498" width="29.85546875" style="13" customWidth="1"/>
    <col min="10499" max="10499" width="28.140625" style="13" customWidth="1"/>
    <col min="10500" max="10500" width="27" style="13" customWidth="1"/>
    <col min="10501" max="10501" width="30.5703125" style="13" customWidth="1"/>
    <col min="10502" max="10502" width="1.7109375" style="13" customWidth="1"/>
    <col min="10503" max="10752" width="9.140625" style="13"/>
    <col min="10753" max="10753" width="24.140625" style="13" customWidth="1"/>
    <col min="10754" max="10754" width="29.85546875" style="13" customWidth="1"/>
    <col min="10755" max="10755" width="28.140625" style="13" customWidth="1"/>
    <col min="10756" max="10756" width="27" style="13" customWidth="1"/>
    <col min="10757" max="10757" width="30.5703125" style="13" customWidth="1"/>
    <col min="10758" max="10758" width="1.7109375" style="13" customWidth="1"/>
    <col min="10759" max="11008" width="9.140625" style="13"/>
    <col min="11009" max="11009" width="24.140625" style="13" customWidth="1"/>
    <col min="11010" max="11010" width="29.85546875" style="13" customWidth="1"/>
    <col min="11011" max="11011" width="28.140625" style="13" customWidth="1"/>
    <col min="11012" max="11012" width="27" style="13" customWidth="1"/>
    <col min="11013" max="11013" width="30.5703125" style="13" customWidth="1"/>
    <col min="11014" max="11014" width="1.7109375" style="13" customWidth="1"/>
    <col min="11015" max="11264" width="9.140625" style="13"/>
    <col min="11265" max="11265" width="24.140625" style="13" customWidth="1"/>
    <col min="11266" max="11266" width="29.85546875" style="13" customWidth="1"/>
    <col min="11267" max="11267" width="28.140625" style="13" customWidth="1"/>
    <col min="11268" max="11268" width="27" style="13" customWidth="1"/>
    <col min="11269" max="11269" width="30.5703125" style="13" customWidth="1"/>
    <col min="11270" max="11270" width="1.7109375" style="13" customWidth="1"/>
    <col min="11271" max="11520" width="9.140625" style="13"/>
    <col min="11521" max="11521" width="24.140625" style="13" customWidth="1"/>
    <col min="11522" max="11522" width="29.85546875" style="13" customWidth="1"/>
    <col min="11523" max="11523" width="28.140625" style="13" customWidth="1"/>
    <col min="11524" max="11524" width="27" style="13" customWidth="1"/>
    <col min="11525" max="11525" width="30.5703125" style="13" customWidth="1"/>
    <col min="11526" max="11526" width="1.7109375" style="13" customWidth="1"/>
    <col min="11527" max="11776" width="9.140625" style="13"/>
    <col min="11777" max="11777" width="24.140625" style="13" customWidth="1"/>
    <col min="11778" max="11778" width="29.85546875" style="13" customWidth="1"/>
    <col min="11779" max="11779" width="28.140625" style="13" customWidth="1"/>
    <col min="11780" max="11780" width="27" style="13" customWidth="1"/>
    <col min="11781" max="11781" width="30.5703125" style="13" customWidth="1"/>
    <col min="11782" max="11782" width="1.7109375" style="13" customWidth="1"/>
    <col min="11783" max="12032" width="9.140625" style="13"/>
    <col min="12033" max="12033" width="24.140625" style="13" customWidth="1"/>
    <col min="12034" max="12034" width="29.85546875" style="13" customWidth="1"/>
    <col min="12035" max="12035" width="28.140625" style="13" customWidth="1"/>
    <col min="12036" max="12036" width="27" style="13" customWidth="1"/>
    <col min="12037" max="12037" width="30.5703125" style="13" customWidth="1"/>
    <col min="12038" max="12038" width="1.7109375" style="13" customWidth="1"/>
    <col min="12039" max="12288" width="9.140625" style="13"/>
    <col min="12289" max="12289" width="24.140625" style="13" customWidth="1"/>
    <col min="12290" max="12290" width="29.85546875" style="13" customWidth="1"/>
    <col min="12291" max="12291" width="28.140625" style="13" customWidth="1"/>
    <col min="12292" max="12292" width="27" style="13" customWidth="1"/>
    <col min="12293" max="12293" width="30.5703125" style="13" customWidth="1"/>
    <col min="12294" max="12294" width="1.7109375" style="13" customWidth="1"/>
    <col min="12295" max="12544" width="9.140625" style="13"/>
    <col min="12545" max="12545" width="24.140625" style="13" customWidth="1"/>
    <col min="12546" max="12546" width="29.85546875" style="13" customWidth="1"/>
    <col min="12547" max="12547" width="28.140625" style="13" customWidth="1"/>
    <col min="12548" max="12548" width="27" style="13" customWidth="1"/>
    <col min="12549" max="12549" width="30.5703125" style="13" customWidth="1"/>
    <col min="12550" max="12550" width="1.7109375" style="13" customWidth="1"/>
    <col min="12551" max="12800" width="9.140625" style="13"/>
    <col min="12801" max="12801" width="24.140625" style="13" customWidth="1"/>
    <col min="12802" max="12802" width="29.85546875" style="13" customWidth="1"/>
    <col min="12803" max="12803" width="28.140625" style="13" customWidth="1"/>
    <col min="12804" max="12804" width="27" style="13" customWidth="1"/>
    <col min="12805" max="12805" width="30.5703125" style="13" customWidth="1"/>
    <col min="12806" max="12806" width="1.7109375" style="13" customWidth="1"/>
    <col min="12807" max="13056" width="9.140625" style="13"/>
    <col min="13057" max="13057" width="24.140625" style="13" customWidth="1"/>
    <col min="13058" max="13058" width="29.85546875" style="13" customWidth="1"/>
    <col min="13059" max="13059" width="28.140625" style="13" customWidth="1"/>
    <col min="13060" max="13060" width="27" style="13" customWidth="1"/>
    <col min="13061" max="13061" width="30.5703125" style="13" customWidth="1"/>
    <col min="13062" max="13062" width="1.7109375" style="13" customWidth="1"/>
    <col min="13063" max="13312" width="9.140625" style="13"/>
    <col min="13313" max="13313" width="24.140625" style="13" customWidth="1"/>
    <col min="13314" max="13314" width="29.85546875" style="13" customWidth="1"/>
    <col min="13315" max="13315" width="28.140625" style="13" customWidth="1"/>
    <col min="13316" max="13316" width="27" style="13" customWidth="1"/>
    <col min="13317" max="13317" width="30.5703125" style="13" customWidth="1"/>
    <col min="13318" max="13318" width="1.7109375" style="13" customWidth="1"/>
    <col min="13319" max="13568" width="9.140625" style="13"/>
    <col min="13569" max="13569" width="24.140625" style="13" customWidth="1"/>
    <col min="13570" max="13570" width="29.85546875" style="13" customWidth="1"/>
    <col min="13571" max="13571" width="28.140625" style="13" customWidth="1"/>
    <col min="13572" max="13572" width="27" style="13" customWidth="1"/>
    <col min="13573" max="13573" width="30.5703125" style="13" customWidth="1"/>
    <col min="13574" max="13574" width="1.7109375" style="13" customWidth="1"/>
    <col min="13575" max="13824" width="9.140625" style="13"/>
    <col min="13825" max="13825" width="24.140625" style="13" customWidth="1"/>
    <col min="13826" max="13826" width="29.85546875" style="13" customWidth="1"/>
    <col min="13827" max="13827" width="28.140625" style="13" customWidth="1"/>
    <col min="13828" max="13828" width="27" style="13" customWidth="1"/>
    <col min="13829" max="13829" width="30.5703125" style="13" customWidth="1"/>
    <col min="13830" max="13830" width="1.7109375" style="13" customWidth="1"/>
    <col min="13831" max="14080" width="9.140625" style="13"/>
    <col min="14081" max="14081" width="24.140625" style="13" customWidth="1"/>
    <col min="14082" max="14082" width="29.85546875" style="13" customWidth="1"/>
    <col min="14083" max="14083" width="28.140625" style="13" customWidth="1"/>
    <col min="14084" max="14084" width="27" style="13" customWidth="1"/>
    <col min="14085" max="14085" width="30.5703125" style="13" customWidth="1"/>
    <col min="14086" max="14086" width="1.7109375" style="13" customWidth="1"/>
    <col min="14087" max="14336" width="9.140625" style="13"/>
    <col min="14337" max="14337" width="24.140625" style="13" customWidth="1"/>
    <col min="14338" max="14338" width="29.85546875" style="13" customWidth="1"/>
    <col min="14339" max="14339" width="28.140625" style="13" customWidth="1"/>
    <col min="14340" max="14340" width="27" style="13" customWidth="1"/>
    <col min="14341" max="14341" width="30.5703125" style="13" customWidth="1"/>
    <col min="14342" max="14342" width="1.7109375" style="13" customWidth="1"/>
    <col min="14343" max="14592" width="9.140625" style="13"/>
    <col min="14593" max="14593" width="24.140625" style="13" customWidth="1"/>
    <col min="14594" max="14594" width="29.85546875" style="13" customWidth="1"/>
    <col min="14595" max="14595" width="28.140625" style="13" customWidth="1"/>
    <col min="14596" max="14596" width="27" style="13" customWidth="1"/>
    <col min="14597" max="14597" width="30.5703125" style="13" customWidth="1"/>
    <col min="14598" max="14598" width="1.7109375" style="13" customWidth="1"/>
    <col min="14599" max="14848" width="9.140625" style="13"/>
    <col min="14849" max="14849" width="24.140625" style="13" customWidth="1"/>
    <col min="14850" max="14850" width="29.85546875" style="13" customWidth="1"/>
    <col min="14851" max="14851" width="28.140625" style="13" customWidth="1"/>
    <col min="14852" max="14852" width="27" style="13" customWidth="1"/>
    <col min="14853" max="14853" width="30.5703125" style="13" customWidth="1"/>
    <col min="14854" max="14854" width="1.7109375" style="13" customWidth="1"/>
    <col min="14855" max="15104" width="9.140625" style="13"/>
    <col min="15105" max="15105" width="24.140625" style="13" customWidth="1"/>
    <col min="15106" max="15106" width="29.85546875" style="13" customWidth="1"/>
    <col min="15107" max="15107" width="28.140625" style="13" customWidth="1"/>
    <col min="15108" max="15108" width="27" style="13" customWidth="1"/>
    <col min="15109" max="15109" width="30.5703125" style="13" customWidth="1"/>
    <col min="15110" max="15110" width="1.7109375" style="13" customWidth="1"/>
    <col min="15111" max="15360" width="9.140625" style="13"/>
    <col min="15361" max="15361" width="24.140625" style="13" customWidth="1"/>
    <col min="15362" max="15362" width="29.85546875" style="13" customWidth="1"/>
    <col min="15363" max="15363" width="28.140625" style="13" customWidth="1"/>
    <col min="15364" max="15364" width="27" style="13" customWidth="1"/>
    <col min="15365" max="15365" width="30.5703125" style="13" customWidth="1"/>
    <col min="15366" max="15366" width="1.7109375" style="13" customWidth="1"/>
    <col min="15367" max="15616" width="9.140625" style="13"/>
    <col min="15617" max="15617" width="24.140625" style="13" customWidth="1"/>
    <col min="15618" max="15618" width="29.85546875" style="13" customWidth="1"/>
    <col min="15619" max="15619" width="28.140625" style="13" customWidth="1"/>
    <col min="15620" max="15620" width="27" style="13" customWidth="1"/>
    <col min="15621" max="15621" width="30.5703125" style="13" customWidth="1"/>
    <col min="15622" max="15622" width="1.7109375" style="13" customWidth="1"/>
    <col min="15623" max="15872" width="9.140625" style="13"/>
    <col min="15873" max="15873" width="24.140625" style="13" customWidth="1"/>
    <col min="15874" max="15874" width="29.85546875" style="13" customWidth="1"/>
    <col min="15875" max="15875" width="28.140625" style="13" customWidth="1"/>
    <col min="15876" max="15876" width="27" style="13" customWidth="1"/>
    <col min="15877" max="15877" width="30.5703125" style="13" customWidth="1"/>
    <col min="15878" max="15878" width="1.7109375" style="13" customWidth="1"/>
    <col min="15879" max="16128" width="9.140625" style="13"/>
    <col min="16129" max="16129" width="24.140625" style="13" customWidth="1"/>
    <col min="16130" max="16130" width="29.85546875" style="13" customWidth="1"/>
    <col min="16131" max="16131" width="28.140625" style="13" customWidth="1"/>
    <col min="16132" max="16132" width="27" style="13" customWidth="1"/>
    <col min="16133" max="16133" width="30.5703125" style="13" customWidth="1"/>
    <col min="16134" max="16134" width="1.7109375" style="13" customWidth="1"/>
    <col min="16135" max="16384" width="9.140625" style="13"/>
  </cols>
  <sheetData>
    <row r="1" spans="1:9" s="2" customFormat="1" ht="21" customHeight="1" x14ac:dyDescent="0.3">
      <c r="A1" s="192" t="s">
        <v>4</v>
      </c>
      <c r="B1" s="192"/>
      <c r="C1" s="194" t="str">
        <f>Copertina!B7</f>
        <v>MEV 2023_35_SIUS_Riforma_Cartabia</v>
      </c>
      <c r="D1" s="194"/>
      <c r="E1" s="194"/>
      <c r="F1" s="8"/>
      <c r="G1" s="9"/>
      <c r="H1" s="1"/>
    </row>
    <row r="2" spans="1:9" s="2" customFormat="1" ht="20.25" customHeight="1" thickBot="1" x14ac:dyDescent="0.35">
      <c r="A2" s="193" t="s">
        <v>11</v>
      </c>
      <c r="B2" s="193"/>
      <c r="C2" s="195" t="str">
        <f>Copertina!B3</f>
        <v>SIUT-SIES-CT-1.0-20240830-Allegato_al_piano_Test_2023_035_SIUS_Riforma_Cartabia.xlsx</v>
      </c>
      <c r="D2" s="195"/>
      <c r="E2" s="195"/>
      <c r="F2" s="10"/>
      <c r="G2" s="11"/>
      <c r="H2" s="3"/>
    </row>
    <row r="3" spans="1:9" s="12" customFormat="1" ht="27" customHeight="1" thickBot="1" x14ac:dyDescent="0.3">
      <c r="A3" s="176" t="s">
        <v>19</v>
      </c>
      <c r="B3" s="177"/>
      <c r="C3" s="177"/>
      <c r="D3" s="177"/>
      <c r="E3" s="178"/>
      <c r="G3" s="179" t="s">
        <v>20</v>
      </c>
      <c r="H3" s="180"/>
      <c r="I3" s="181"/>
    </row>
    <row r="4" spans="1:9" ht="23.25" customHeight="1" thickBot="1" x14ac:dyDescent="0.25">
      <c r="A4" s="188" t="s">
        <v>21</v>
      </c>
      <c r="B4" s="189" t="s">
        <v>22</v>
      </c>
      <c r="C4" s="190"/>
      <c r="D4" s="190"/>
      <c r="E4" s="191"/>
      <c r="G4" s="182"/>
      <c r="H4" s="183"/>
      <c r="I4" s="184"/>
    </row>
    <row r="5" spans="1:9" ht="26.25" customHeight="1" thickBot="1" x14ac:dyDescent="0.25">
      <c r="A5" s="172"/>
      <c r="B5" s="14">
        <v>1</v>
      </c>
      <c r="C5" s="14">
        <v>2</v>
      </c>
      <c r="D5" s="14">
        <v>3</v>
      </c>
      <c r="E5" s="15">
        <v>4</v>
      </c>
      <c r="G5" s="182"/>
      <c r="H5" s="183"/>
      <c r="I5" s="184"/>
    </row>
    <row r="6" spans="1:9" ht="15.75" thickBot="1" x14ac:dyDescent="0.25">
      <c r="A6" s="16" t="s">
        <v>23</v>
      </c>
      <c r="B6" s="17">
        <f>COUNTIFS(TabellaTest!$H$8:$H$362,1,TabellaTest!$I$8:$I$362,"A",TabellaTest!$J$8:$J$362,"KO")</f>
        <v>0</v>
      </c>
      <c r="C6" s="17">
        <f>COUNTIFS(TabellaTest!$H$8:$H$362,2,TabellaTest!$I$8:$I$362,"A",TabellaTest!$J$8:$J$362,"KO")</f>
        <v>0</v>
      </c>
      <c r="D6" s="17">
        <f>COUNTIFS(TabellaTest!$H$8:$H$362,3,TabellaTest!$I$8:$I$362,"A",TabellaTest!$J$8:$J$362,"KO")</f>
        <v>0</v>
      </c>
      <c r="E6" s="17">
        <f>COUNTIFS(TabellaTest!$H$8:$H$362,4,TabellaTest!$I$8:$I$362,"A",TabellaTest!$J$8:$J$362,"KO")</f>
        <v>0</v>
      </c>
      <c r="G6" s="182"/>
      <c r="H6" s="183"/>
      <c r="I6" s="184"/>
    </row>
    <row r="7" spans="1:9" ht="15.75" thickBot="1" x14ac:dyDescent="0.25">
      <c r="A7" s="18" t="s">
        <v>24</v>
      </c>
      <c r="B7" s="17">
        <f>COUNTIFS(TabellaTest!$H$8:$H$362,1,TabellaTest!$I$8:$I$362,"B",TabellaTest!$J$8:$J$362,"KO")</f>
        <v>0</v>
      </c>
      <c r="C7" s="17">
        <f>COUNTIFS(TabellaTest!$H$8:$H$362,2,TabellaTest!$I$8:$I$362,"B",TabellaTest!$J$8:$J$362,"KO")</f>
        <v>0</v>
      </c>
      <c r="D7" s="17">
        <f>COUNTIFS(TabellaTest!$H$8:$H$362,3,TabellaTest!$I$8:$I$362,"B",TabellaTest!$J$8:$J$362,"KO")</f>
        <v>0</v>
      </c>
      <c r="E7" s="17">
        <f>COUNTIFS(TabellaTest!$H$8:$H$362,4,TabellaTest!$I$8:$I$362,"B",TabellaTest!$J$8:$J$362,"KO")</f>
        <v>0</v>
      </c>
      <c r="G7" s="182"/>
      <c r="H7" s="183"/>
      <c r="I7" s="184"/>
    </row>
    <row r="8" spans="1:9" ht="15.75" thickBot="1" x14ac:dyDescent="0.25">
      <c r="A8" s="19" t="s">
        <v>25</v>
      </c>
      <c r="B8" s="17">
        <f>COUNTIFS(TabellaTest!$H$8:$H$362,1,TabellaTest!$I$8:$I$362,"C",TabellaTest!$J$8:$J$362,"KO")</f>
        <v>0</v>
      </c>
      <c r="C8" s="17">
        <f>COUNTIFS(TabellaTest!$H$8:$H$362,2,TabellaTest!$I$8:$I$362,"C",TabellaTest!$J$8:$J$362,"KO")</f>
        <v>0</v>
      </c>
      <c r="D8" s="17">
        <f>COUNTIFS(TabellaTest!$H$8:$H$362,3,TabellaTest!$I$8:$I$362,"C",TabellaTest!$J$8:$J$362,"KO")</f>
        <v>0</v>
      </c>
      <c r="E8" s="17">
        <f>COUNTIFS(TabellaTest!$H$8:$H$362,4,TabellaTest!$I$8:$I$362,"C",TabellaTest!$J$8:$J$362,"KO")</f>
        <v>0</v>
      </c>
      <c r="G8" s="185"/>
      <c r="H8" s="186"/>
      <c r="I8" s="187"/>
    </row>
    <row r="9" spans="1:9" ht="13.9" x14ac:dyDescent="0.3">
      <c r="G9" s="20"/>
      <c r="H9" s="20"/>
      <c r="I9" s="20"/>
    </row>
    <row r="12" spans="1:9" ht="10.5" customHeight="1" thickBot="1" x14ac:dyDescent="0.35"/>
    <row r="13" spans="1:9" ht="14.45" hidden="1" thickBot="1" x14ac:dyDescent="0.35"/>
    <row r="14" spans="1:9" s="12" customFormat="1" ht="28.5" customHeight="1" x14ac:dyDescent="0.25">
      <c r="A14" s="196" t="s">
        <v>26</v>
      </c>
      <c r="B14" s="197"/>
      <c r="C14" s="197"/>
      <c r="D14" s="197"/>
      <c r="E14" s="198"/>
    </row>
    <row r="15" spans="1:9" ht="15.75" thickBot="1" x14ac:dyDescent="0.25">
      <c r="A15" s="171" t="s">
        <v>21</v>
      </c>
      <c r="B15" s="173" t="s">
        <v>22</v>
      </c>
      <c r="C15" s="174"/>
      <c r="D15" s="174"/>
      <c r="E15" s="175"/>
    </row>
    <row r="16" spans="1:9" ht="15.75" thickBot="1" x14ac:dyDescent="0.25">
      <c r="A16" s="172"/>
      <c r="B16" s="21">
        <v>1</v>
      </c>
      <c r="C16" s="21">
        <v>2</v>
      </c>
      <c r="D16" s="21">
        <v>3</v>
      </c>
      <c r="E16" s="22">
        <v>4</v>
      </c>
    </row>
    <row r="17" spans="1:5" ht="15" thickBot="1" x14ac:dyDescent="0.35">
      <c r="A17" s="23" t="s">
        <v>23</v>
      </c>
      <c r="B17" s="24">
        <f>COUNTIFS(TabellaTest!$H$8:$H$362,1,TabellaTest!$I$8:$I$362,"A")</f>
        <v>0</v>
      </c>
      <c r="C17" s="24">
        <f>COUNTIFS(TabellaTest!$H$8:$H$362,2,TabellaTest!$I$8:$I$362,"A")</f>
        <v>0</v>
      </c>
      <c r="D17" s="24">
        <f>COUNTIFS(TabellaTest!$H$8:$H$362,3,TabellaTest!$I$8:$I$362,"A")</f>
        <v>0</v>
      </c>
      <c r="E17" s="24">
        <f>COUNTIFS(TabellaTest!$H$8:$H$362,4,TabellaTest!$I$8:$I$362,"A")</f>
        <v>0</v>
      </c>
    </row>
    <row r="18" spans="1:5" ht="15" thickBot="1" x14ac:dyDescent="0.35">
      <c r="A18" s="25" t="s">
        <v>24</v>
      </c>
      <c r="B18" s="24">
        <f>COUNTIFS(TabellaTest!$H$8:$H$362,1,TabellaTest!$I$8:$I$362,"B")</f>
        <v>0</v>
      </c>
      <c r="C18" s="24">
        <f>COUNTIFS(TabellaTest!$H$8:$H$362,2,TabellaTest!$I$8:$I$362,"B")</f>
        <v>29</v>
      </c>
      <c r="D18" s="24">
        <f>COUNTIFS(TabellaTest!$H$8:$H$362,3,TabellaTest!$I$8:$I$362,"B")</f>
        <v>0</v>
      </c>
      <c r="E18" s="24">
        <f>COUNTIFS(TabellaTest!$H$8:$H$362,4,TabellaTest!$I$8:$I$362,"B")</f>
        <v>0</v>
      </c>
    </row>
    <row r="19" spans="1:5" ht="15" thickBot="1" x14ac:dyDescent="0.35">
      <c r="A19" s="26" t="s">
        <v>25</v>
      </c>
      <c r="B19" s="24">
        <f>COUNTIFS(TabellaTest!$H$8:$H$362,1,TabellaTest!$I$8:$I$362,"C")</f>
        <v>0</v>
      </c>
      <c r="C19" s="24">
        <f>COUNTIFS(TabellaTest!$H$8:$H$362,2,TabellaTest!$I$8:$I$362,"C")</f>
        <v>0</v>
      </c>
      <c r="D19" s="24">
        <f>COUNTIFS(TabellaTest!$H$8:$H$362,3,TabellaTest!$I$8:$I$362,"C")</f>
        <v>28</v>
      </c>
      <c r="E19" s="24">
        <f>COUNTIFS(TabellaTest!$H$8:$H$362,4,TabellaTest!$I$8:$I$362,"C")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5f6d153-fdd9-4ea0-9d5e-dbae83f18a5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2024-08-27T14:18:29Z</dcterms:modified>
</cp:coreProperties>
</file>