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450"/>
  </bookViews>
  <sheets>
    <sheet name="Copertina" sheetId="1" r:id="rId1"/>
    <sheet name="TabellaTest" sheetId="2" r:id="rId2"/>
    <sheet name="SpecificaTest" sheetId="3" r:id="rId3"/>
    <sheet name="VerificheConformità" sheetId="4" r:id="rId4"/>
    <sheet name="SogliaAccettazione" sheetId="5" r:id="rId5"/>
  </sheets>
  <externalReferences>
    <externalReference r:id="rId6"/>
    <externalReference r:id="rId7"/>
  </externalReferences>
  <definedNames>
    <definedName name="_xlnm._FilterDatabase" localSheetId="2" hidden="1">SpecificaTest!$A$3:$G$3</definedName>
    <definedName name="_Toc217052696" localSheetId="1">TabellaTest!$E$5</definedName>
    <definedName name="_Toc217052698" localSheetId="1">TabellaTest!#REF!</definedName>
    <definedName name="AllUserNames" localSheetId="4">#REF!</definedName>
    <definedName name="AllUserNames" localSheetId="3">#REF!</definedName>
    <definedName name="AllUserNames">#REF!</definedName>
    <definedName name="_xlnm.Print_Area" localSheetId="3">VerificheConformità!$A$1:$G$19</definedName>
    <definedName name="DecisionLastCategory">'[1]Test Decision'!$P$3409</definedName>
    <definedName name="DecisionLastSize">'[1]Test Decision'!$Q$3409</definedName>
    <definedName name="QACP_Project_Setup" localSheetId="4">#REF!</definedName>
    <definedName name="QACP_Project_Setup" localSheetId="3">#REF!</definedName>
    <definedName name="QACP_Project_Setup">#REF!</definedName>
    <definedName name="QACPRiskFactorWeights" localSheetId="4">#REF!</definedName>
    <definedName name="QACPRiskFactorWeights" localSheetId="3">#REF!</definedName>
    <definedName name="QACPRiskFactorWeights">#REF!</definedName>
    <definedName name="Raw_Data_In" localSheetId="4">#REF!</definedName>
    <definedName name="Raw_Data_In" localSheetId="3">#REF!</definedName>
    <definedName name="Raw_Data_In">#REF!</definedName>
    <definedName name="sfsfd">[2]Users!$A$2:$A$5</definedName>
    <definedName name="TempUsers" localSheetId="4">#REF!</definedName>
    <definedName name="TempUsers" localSheetId="3">#REF!</definedName>
    <definedName name="TempUsers">#REF!</definedName>
    <definedName name="UserIDs" localSheetId="4">#REF!</definedName>
    <definedName name="UserIDs" localSheetId="3">#REF!</definedName>
    <definedName name="UserIDs">#REF!</definedName>
    <definedName name="UserList" localSheetId="4">#REF!</definedName>
    <definedName name="UserList" localSheetId="3">#REF!</definedName>
    <definedName name="UserList">#REF!</definedName>
    <definedName name="UserNames" localSheetId="4">#REF!</definedName>
    <definedName name="UserNames" localSheetId="3">#REF!</definedName>
    <definedName name="UserNames">#REF!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F64" i="3"/>
  <c r="D64" i="3"/>
  <c r="B64" i="3"/>
  <c r="A64" i="3"/>
  <c r="F11" i="2"/>
  <c r="F56" i="3"/>
  <c r="D56" i="3"/>
  <c r="F10" i="2"/>
  <c r="A56" i="3" s="1"/>
  <c r="F48" i="3"/>
  <c r="D48" i="3"/>
  <c r="F9" i="2"/>
  <c r="A48" i="3" s="1"/>
  <c r="B48" i="3" l="1"/>
  <c r="B56" i="3"/>
  <c r="F38" i="3" l="1"/>
  <c r="D38" i="3"/>
  <c r="B38" i="3"/>
  <c r="F8" i="2"/>
  <c r="A38" i="3" s="1"/>
  <c r="F29" i="3"/>
  <c r="D29" i="3"/>
  <c r="F7" i="2"/>
  <c r="A29" i="3" s="1"/>
  <c r="F21" i="3"/>
  <c r="D21" i="3"/>
  <c r="F6" i="2"/>
  <c r="A21" i="3" s="1"/>
  <c r="F12" i="3"/>
  <c r="D12" i="3"/>
  <c r="B12" i="3"/>
  <c r="F5" i="2"/>
  <c r="A12" i="3" s="1"/>
  <c r="F4" i="3"/>
  <c r="D4" i="3"/>
  <c r="B4" i="3"/>
  <c r="F4" i="2"/>
  <c r="A4" i="3" s="1"/>
  <c r="B29" i="3" l="1"/>
  <c r="B21" i="3"/>
  <c r="D1" i="3" l="1"/>
  <c r="B17" i="5" l="1"/>
  <c r="E19" i="5" l="1"/>
  <c r="E18" i="5"/>
  <c r="E17" i="5"/>
  <c r="D19" i="5"/>
  <c r="D18" i="5"/>
  <c r="D17" i="5"/>
  <c r="C19" i="5"/>
  <c r="C18" i="5"/>
  <c r="C17" i="5"/>
  <c r="B18" i="5"/>
  <c r="B19" i="5"/>
  <c r="E8" i="5"/>
  <c r="E7" i="5"/>
  <c r="D8" i="5"/>
  <c r="D7" i="5"/>
  <c r="C8" i="5"/>
  <c r="C7" i="5"/>
  <c r="B8" i="5"/>
  <c r="B7" i="5"/>
  <c r="E6" i="5"/>
  <c r="D6" i="5"/>
  <c r="C6" i="5"/>
  <c r="B6" i="5"/>
  <c r="C2" i="5" l="1"/>
  <c r="C1" i="5"/>
  <c r="C1" i="2"/>
  <c r="D2" i="4" l="1"/>
  <c r="D1" i="4"/>
  <c r="D2" i="3"/>
</calcChain>
</file>

<file path=xl/comments1.xml><?xml version="1.0" encoding="utf-8"?>
<comments xmlns="http://schemas.openxmlformats.org/spreadsheetml/2006/main">
  <authors>
    <author>Andrea Salvaggio</author>
  </authors>
  <commentList>
    <comment ref="H3" authorId="0">
      <text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: impedisce l'uso dell'applicazione
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: impedisce l'uso di una funzione
</t>
        </r>
        <r>
          <rPr>
            <b/>
            <sz val="9"/>
            <color indexed="81"/>
            <rFont val="Tahoma"/>
            <family val="2"/>
          </rPr>
          <t>3</t>
        </r>
        <r>
          <rPr>
            <sz val="9"/>
            <color indexed="81"/>
            <rFont val="Tahoma"/>
            <family val="2"/>
          </rPr>
          <t xml:space="preserve">: non impedisce l'uso di funzioni
</t>
        </r>
        <r>
          <rPr>
            <b/>
            <sz val="9"/>
            <color indexed="81"/>
            <rFont val="Tahoma"/>
            <family val="2"/>
          </rPr>
          <t>4</t>
        </r>
        <r>
          <rPr>
            <sz val="9"/>
            <color indexed="81"/>
            <rFont val="Tahoma"/>
            <family val="2"/>
          </rPr>
          <t xml:space="preserve">: malfunzionamento marginale
</t>
        </r>
      </text>
    </comment>
    <comment ref="I3" authorId="0">
      <text>
        <r>
          <rPr>
            <b/>
            <sz val="9"/>
            <color indexed="81"/>
            <rFont val="Tahoma"/>
            <family val="2"/>
          </rPr>
          <t>A</t>
        </r>
        <r>
          <rPr>
            <sz val="9"/>
            <color indexed="81"/>
            <rFont val="Tahoma"/>
            <family val="2"/>
          </rPr>
          <t>: Funzionalità indispensabile</t>
        </r>
        <r>
          <rPr>
            <b/>
            <sz val="9"/>
            <color indexed="81"/>
            <rFont val="Tahoma"/>
            <family val="2"/>
          </rPr>
          <t xml:space="preserve">
B</t>
        </r>
        <r>
          <rPr>
            <sz val="9"/>
            <color indexed="81"/>
            <rFont val="Tahoma"/>
            <family val="2"/>
          </rPr>
          <t>: Funzionalità non centrale</t>
        </r>
        <r>
          <rPr>
            <b/>
            <sz val="9"/>
            <color indexed="81"/>
            <rFont val="Tahoma"/>
            <family val="2"/>
          </rPr>
          <t xml:space="preserve">
C</t>
        </r>
        <r>
          <rPr>
            <sz val="9"/>
            <color indexed="81"/>
            <rFont val="Tahoma"/>
            <family val="2"/>
          </rPr>
          <t>: Funzionalità marginale</t>
        </r>
      </text>
    </comment>
  </commentList>
</comments>
</file>

<file path=xl/sharedStrings.xml><?xml version="1.0" encoding="utf-8"?>
<sst xmlns="http://schemas.openxmlformats.org/spreadsheetml/2006/main" count="373" uniqueCount="168">
  <si>
    <t>Nome del file</t>
  </si>
  <si>
    <t xml:space="preserve">Piano di test </t>
  </si>
  <si>
    <t>Versione</t>
  </si>
  <si>
    <t>Data</t>
  </si>
  <si>
    <t>Intervento</t>
  </si>
  <si>
    <t>Area Applicativa</t>
  </si>
  <si>
    <t>Allegato al Piano dei Test</t>
  </si>
  <si>
    <t>Codice Appl.</t>
  </si>
  <si>
    <t>ID</t>
  </si>
  <si>
    <t>Classe di Gravità (1-4)</t>
  </si>
  <si>
    <t>Esito</t>
  </si>
  <si>
    <t xml:space="preserve">Codifica Piano di test </t>
  </si>
  <si>
    <t xml:space="preserve"> ID caso di test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</si>
  <si>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</si>
  <si>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</si>
  <si>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</si>
  <si>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</si>
  <si>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</si>
  <si>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</si>
  <si>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</si>
  <si>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</si>
  <si>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</si>
  <si>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</si>
  <si>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A</t>
  </si>
  <si>
    <t>B</t>
  </si>
  <si>
    <t>C</t>
  </si>
  <si>
    <t>Numero massimo di difformità ammesse</t>
  </si>
  <si>
    <t>Requisito</t>
  </si>
  <si>
    <t>Scenario di test</t>
  </si>
  <si>
    <t>Caso d'uso</t>
  </si>
  <si>
    <t>Lista Requisiti</t>
  </si>
  <si>
    <t>Step</t>
  </si>
  <si>
    <t>Tipo</t>
  </si>
  <si>
    <t>Istruzioni
(test)</t>
  </si>
  <si>
    <t>Dati di input
(Associated Data)</t>
  </si>
  <si>
    <t>Risultati attesi
(Expected Result)</t>
  </si>
  <si>
    <t>P</t>
  </si>
  <si>
    <t>Attività Preliminari e/o Precondizioni</t>
  </si>
  <si>
    <t>Stato Base</t>
  </si>
  <si>
    <t>Navigazione</t>
  </si>
  <si>
    <t>Azione</t>
  </si>
  <si>
    <t>001</t>
  </si>
  <si>
    <t>Adeguatezza delle funzionalità</t>
  </si>
  <si>
    <t xml:space="preserve">Completezza funzionale </t>
  </si>
  <si>
    <t xml:space="preserve">Copertura dei requisiti </t>
  </si>
  <si>
    <t xml:space="preserve">Verifica del grado di copertura funzionale offerta sulla base dell’analisi dei requisiti, delle funzionalità e degli obiettivi richiesti </t>
  </si>
  <si>
    <t>OK</t>
  </si>
  <si>
    <t>002</t>
  </si>
  <si>
    <t xml:space="preserve">Correttezza funzionale </t>
  </si>
  <si>
    <t xml:space="preserve">Aderenza ai requisiti </t>
  </si>
  <si>
    <t xml:space="preserve">Verifica del grado con cui le funzionalità implementate rispettano i requisiti richiesti </t>
  </si>
  <si>
    <t>003</t>
  </si>
  <si>
    <t xml:space="preserve">Appropriatezza funzionale </t>
  </si>
  <si>
    <t xml:space="preserve">Conformità alle normative </t>
  </si>
  <si>
    <t xml:space="preserve">Verifica l’aderenza delle funzionalità implementate rispetto alle normative pertinenti </t>
  </si>
  <si>
    <t>004</t>
  </si>
  <si>
    <t>Affidabilità</t>
  </si>
  <si>
    <t xml:space="preserve">Robustezza </t>
  </si>
  <si>
    <t xml:space="preserve">Robustezza del software </t>
  </si>
  <si>
    <t xml:space="preserve">Verifica della capacità del sistema di gestire condizioni non previste dalle specifiche </t>
  </si>
  <si>
    <t>005</t>
  </si>
  <si>
    <t>Manutenibilità</t>
  </si>
  <si>
    <t>Analizzabilità</t>
  </si>
  <si>
    <t xml:space="preserve">Leggibilità del codice </t>
  </si>
  <si>
    <t xml:space="preserve">Verifica della facilità di comprensione del codice, per esempio con riferimento ai nomi utilizzati per i moduli, le funzioni e le variabili, ai commenti e alla dimensione dei moduli e delle funzioni  </t>
  </si>
  <si>
    <t>006</t>
  </si>
  <si>
    <t>Copertura documentazione tecnica</t>
  </si>
  <si>
    <t xml:space="preserve">Verifica del livello di completezza della documentazione tecnica di moduli e funzioni </t>
  </si>
  <si>
    <t>007</t>
  </si>
  <si>
    <t>Adeguatezza documentazione tecnica</t>
  </si>
  <si>
    <t xml:space="preserve">Verifica della qualità descrittiva della documentazione tecnica di moduli e funzioni </t>
  </si>
  <si>
    <t>008</t>
  </si>
  <si>
    <t>Verificabilità</t>
  </si>
  <si>
    <t>Completezza dei test</t>
  </si>
  <si>
    <t xml:space="preserve">Verifica del grado di copertura del codice sviluppato da parte di test (di varia natura, come test unitari, test di integrazione, test end-to-end, test di accettazione, test di regressione, test di qualità)  </t>
  </si>
  <si>
    <t>UC01</t>
  </si>
  <si>
    <t>Penale</t>
  </si>
  <si>
    <t>V</t>
  </si>
  <si>
    <t>Verifica</t>
  </si>
  <si>
    <t>Classe di Rilevanza (A, B, C)</t>
  </si>
  <si>
    <t>ID Requisito Padre</t>
  </si>
  <si>
    <t>ID Caso d'Uso</t>
  </si>
  <si>
    <t>Caso d'Uso</t>
  </si>
  <si>
    <t>Ministero della Giustizia
Dipartimento per l’innovazione tecnologica della giustizia
ALLEGATO AL PIANO DEI TEST
INTERVENTI EVOLUTIVI SULL’APPLICAZIONE SIES</t>
  </si>
  <si>
    <t>v1.0</t>
  </si>
  <si>
    <r>
      <t xml:space="preserve">  Via Crescenzio, 17/C – 00193 Roma
          </t>
    </r>
    <r>
      <rPr>
        <b/>
        <u/>
        <sz val="11"/>
        <color rgb="FF0070C0"/>
        <rFont val="Calibri"/>
        <family val="2"/>
        <scheme val="minor"/>
      </rPr>
      <t>prot.dit@giustiziacert.it</t>
    </r>
  </si>
  <si>
    <t>SIES/SIEP</t>
  </si>
  <si>
    <t>L'utente effettua l'accesso al sistema SIEP come Procura c/o Tribunale</t>
  </si>
  <si>
    <t>Axxxxx (Procura c/o Tribunale)</t>
  </si>
  <si>
    <r>
      <rPr>
        <b/>
        <i/>
        <sz val="11"/>
        <rFont val="Calibri"/>
        <family val="2"/>
        <scheme val="minor"/>
      </rPr>
      <t>B6437AAAEB-2026-1_Allegato_al_Piano_dei_Test_Evolutive_di_SIES_v1.0</t>
    </r>
    <r>
      <rPr>
        <i/>
        <sz val="11"/>
        <rFont val="Calibri"/>
        <family val="2"/>
        <scheme val="minor"/>
      </rPr>
      <t>.xlsx</t>
    </r>
  </si>
  <si>
    <r>
      <rPr>
        <b/>
        <i/>
        <sz val="11"/>
        <rFont val="Calibri"/>
        <family val="2"/>
        <scheme val="minor"/>
      </rPr>
      <t>B6437AAAEB-2026-1_Piano_dei_Test_Evolutive_di_SIES_v1.0</t>
    </r>
    <r>
      <rPr>
        <i/>
        <sz val="11"/>
        <rFont val="Calibri"/>
        <family val="2"/>
        <scheme val="minor"/>
      </rPr>
      <t>.pdf</t>
    </r>
  </si>
  <si>
    <t>MEV 2026_1 Scheda Intervento Evolutive di SIES v1.0</t>
  </si>
  <si>
    <t>PAR. 2.1-048-01</t>
  </si>
  <si>
    <t xml:space="preserve">Visualizzazione pagina di Dettaglio  procedimento </t>
  </si>
  <si>
    <t>Visualizzazione Data Fine Pena Virtuale su Dettaglio Procedimento</t>
  </si>
  <si>
    <t>Verifica: Verificare nel sottosistema SIEP la funzione Storico Calcoli Validati su Calcolo Pena DL 92/2024 in caso di assenza storico</t>
  </si>
  <si>
    <t>L'utente ricerca un procedimento di classe 1 con Soggetto detenuto e con almeno 4 anni di pena</t>
  </si>
  <si>
    <t>selezionare la funzione Calcolo Pena DL 92/2024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</si>
  <si>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Calcolo pena ipotetica con detrazioni DL. 92/2024 </t>
    </r>
  </si>
  <si>
    <r>
      <t xml:space="preserve">Verificare che sia presente il tasto </t>
    </r>
    <r>
      <rPr>
        <b/>
        <sz val="11"/>
        <rFont val="Calibri"/>
        <family val="2"/>
        <scheme val="minor"/>
      </rPr>
      <t>Storico Calcolo Validati</t>
    </r>
  </si>
  <si>
    <r>
      <t xml:space="preserve">Cliccare sul tasto </t>
    </r>
    <r>
      <rPr>
        <b/>
        <sz val="11"/>
        <rFont val="Calibri"/>
        <family val="2"/>
        <scheme val="minor"/>
      </rPr>
      <t>Storico Calcolo Validati</t>
    </r>
  </si>
  <si>
    <r>
      <t xml:space="preserve">Visualizzazione pagina  </t>
    </r>
    <r>
      <rPr>
        <b/>
        <sz val="11"/>
        <rFont val="Calibri"/>
        <family val="2"/>
        <scheme val="minor"/>
      </rPr>
      <t xml:space="preserve">Storico Calcolo pena ipotetica con detrazioni DL. 92/2024 </t>
    </r>
  </si>
  <si>
    <r>
      <t xml:space="preserve">Verificare che sia presente alcun dato storicizzato e sia riportata la dicitura </t>
    </r>
    <r>
      <rPr>
        <b/>
        <sz val="11"/>
        <rFont val="Calibri"/>
        <family val="2"/>
        <scheme val="minor"/>
      </rPr>
      <t>Nessun calcolo e' stato validato per il fascicolo corrente</t>
    </r>
  </si>
  <si>
    <t>UC02</t>
  </si>
  <si>
    <t xml:space="preserve">Verifica: Verificare nel sottosistema SIEP la funzione Valida su Calcolo Pena DL 92/2024 </t>
  </si>
  <si>
    <t xml:space="preserve">L'utente è posizionato sulla form di Dettaglio del procedimento SIEP del test precedente </t>
  </si>
  <si>
    <r>
      <t xml:space="preserve">Cliccare sul tasto </t>
    </r>
    <r>
      <rPr>
        <b/>
        <sz val="11"/>
        <rFont val="Calibri"/>
        <family val="2"/>
        <scheme val="minor"/>
      </rPr>
      <t>Conferma</t>
    </r>
  </si>
  <si>
    <r>
      <t xml:space="preserve"> Cliccare su tasto </t>
    </r>
    <r>
      <rPr>
        <b/>
        <sz val="11"/>
        <rFont val="Calibri"/>
        <family val="2"/>
        <scheme val="minor"/>
      </rPr>
      <t>Valida</t>
    </r>
  </si>
  <si>
    <t>Visualizzazione messaggio di Conferma a procedere alla storicizzazione dei dati presenti nella pagina</t>
  </si>
  <si>
    <t>Cliccare su OK</t>
  </si>
  <si>
    <t xml:space="preserve">Verifica: Verificare nel sottosistema SIEP la funzione Storico Calcoli Validati su Calcolo Pena DL 92/2024 </t>
  </si>
  <si>
    <t>UC03</t>
  </si>
  <si>
    <t>Cliccare sul tasto Storico Calcolo Validati</t>
  </si>
  <si>
    <r>
      <t xml:space="preserve">Visualizzazione pagina  </t>
    </r>
    <r>
      <rPr>
        <b/>
        <sz val="11"/>
        <rFont val="Calibri"/>
        <family val="2"/>
        <scheme val="minor"/>
      </rPr>
      <t xml:space="preserve">Calcolo pena ipotetica con detrazioni DL. 92/2024 </t>
    </r>
    <r>
      <rPr>
        <sz val="11"/>
        <rFont val="Calibri"/>
        <family val="2"/>
        <scheme val="minor"/>
      </rPr>
      <t>con il Dettaglio di tutti i dati coinvolti nel calcolo e i risulati dello stesso</t>
    </r>
  </si>
  <si>
    <t>Verificare che nell'Elenco dei dati storicizzati, sia riportato quello validato nel precedente test</t>
  </si>
  <si>
    <r>
      <t xml:space="preserve"> Cliccare sull'icona di </t>
    </r>
    <r>
      <rPr>
        <b/>
        <sz val="11"/>
        <rFont val="Calibri"/>
        <family val="2"/>
        <scheme val="minor"/>
      </rPr>
      <t>Dettaglio</t>
    </r>
    <r>
      <rPr>
        <sz val="11"/>
        <rFont val="Calibri"/>
        <family val="2"/>
        <scheme val="minor"/>
      </rPr>
      <t xml:space="preserve"> per il record di interesse</t>
    </r>
  </si>
  <si>
    <r>
      <t xml:space="preserve">Visualizzazione pagina  </t>
    </r>
    <r>
      <rPr>
        <b/>
        <sz val="11"/>
        <rFont val="Calibri"/>
        <family val="2"/>
        <scheme val="minor"/>
      </rPr>
      <t>Storico Calcolo pena ipotetica con detrazioni DL. 92/2024</t>
    </r>
    <r>
      <rPr>
        <sz val="11"/>
        <rFont val="Calibri"/>
        <family val="2"/>
        <scheme val="minor"/>
      </rPr>
      <t xml:space="preserve"> </t>
    </r>
  </si>
  <si>
    <t>Verificare che siano riportati tutti i dati di input e i dati generati dal calcolo</t>
  </si>
  <si>
    <r>
      <t xml:space="preserve">Cliccare su icona di </t>
    </r>
    <r>
      <rPr>
        <b/>
        <sz val="11"/>
        <rFont val="Calibri"/>
        <family val="2"/>
        <scheme val="minor"/>
      </rPr>
      <t>Ritorna su</t>
    </r>
  </si>
  <si>
    <t>UC04</t>
  </si>
  <si>
    <t>Verifica: Verificare nel sottosistema SIEP la funzione Dettaglio Procedimento</t>
  </si>
  <si>
    <t xml:space="preserve">L'utente è posizionato sulla pagina Calcolo pena ipotetica con detrazioni DL. 92/2024  del procedimento SIEP del test precedente </t>
  </si>
  <si>
    <r>
      <t xml:space="preserve">Cliccare su </t>
    </r>
    <r>
      <rPr>
        <b/>
        <sz val="11"/>
        <rFont val="Calibri"/>
        <family val="2"/>
        <scheme val="minor"/>
      </rPr>
      <t>Anno e Numero procedimento</t>
    </r>
  </si>
  <si>
    <r>
      <t xml:space="preserve">Visualizzazione pagina di </t>
    </r>
    <r>
      <rPr>
        <b/>
        <sz val="11"/>
        <color theme="1"/>
        <rFont val="Calibri"/>
        <family val="2"/>
        <scheme val="minor"/>
      </rPr>
      <t xml:space="preserve">Dettaglio  procedimento </t>
    </r>
  </si>
  <si>
    <r>
      <t xml:space="preserve">Verificare che accanto alle date inizio e fine pena sia presente la data </t>
    </r>
    <r>
      <rPr>
        <b/>
        <sz val="11"/>
        <rFont val="Calibri"/>
        <family val="2"/>
        <scheme val="minor"/>
      </rPr>
      <t>Fine Pena Virtuale</t>
    </r>
  </si>
  <si>
    <r>
      <t xml:space="preserve"> Cliccare sul link </t>
    </r>
    <r>
      <rPr>
        <b/>
        <sz val="11"/>
        <rFont val="Calibri"/>
        <family val="2"/>
        <scheme val="minor"/>
      </rPr>
      <t>Fine Pena Virtuale</t>
    </r>
  </si>
  <si>
    <t>Verificare che siano riportati tutti i dati di input e i dati generati dal calcolo collegato alla data fine pena virtuale</t>
  </si>
  <si>
    <t>Visualizzazione Scadenzario Fine Pena</t>
  </si>
  <si>
    <t>Verifica: Verificare nel sottosistema SIEP la funzione Scadenzario Fine Pena</t>
  </si>
  <si>
    <t>PAR. 2.2-048-02</t>
  </si>
  <si>
    <t>L'utente è posizionato sulla Home Page</t>
  </si>
  <si>
    <t>selezionare la funzione Scadenzari&gt;&gt;Fine Pena</t>
  </si>
  <si>
    <r>
      <t xml:space="preserve">Visualizzazione pagina </t>
    </r>
    <r>
      <rPr>
        <b/>
        <sz val="11"/>
        <rFont val="Calibri"/>
        <family val="2"/>
        <scheme val="minor"/>
      </rPr>
      <t xml:space="preserve">  Consultazione Scadenzario Fine Pena</t>
    </r>
  </si>
  <si>
    <r>
      <t xml:space="preserve">Impostare radio button </t>
    </r>
    <r>
      <rPr>
        <b/>
        <sz val="11"/>
        <rFont val="Calibri"/>
        <family val="2"/>
        <scheme val="minor"/>
      </rPr>
      <t>In scadenza</t>
    </r>
    <r>
      <rPr>
        <sz val="11"/>
        <rFont val="Calibri"/>
        <family val="2"/>
        <scheme val="minor"/>
      </rPr>
      <t xml:space="preserve">,  </t>
    </r>
    <r>
      <rPr>
        <b/>
        <sz val="11"/>
        <rFont val="Calibri"/>
        <family val="2"/>
        <scheme val="minor"/>
      </rPr>
      <t xml:space="preserve">Anni 5 </t>
    </r>
    <r>
      <rPr>
        <sz val="11"/>
        <rFont val="Calibri"/>
        <family val="2"/>
        <scheme val="minor"/>
      </rPr>
      <t xml:space="preserve">e cliccare </t>
    </r>
    <r>
      <rPr>
        <b/>
        <sz val="11"/>
        <rFont val="Calibri"/>
        <family val="2"/>
        <scheme val="minor"/>
      </rPr>
      <t>Ricerca</t>
    </r>
  </si>
  <si>
    <r>
      <t xml:space="preserve">Visualizzazione pagina di </t>
    </r>
    <r>
      <rPr>
        <b/>
        <sz val="11"/>
        <color theme="1"/>
        <rFont val="Calibri"/>
        <family val="2"/>
        <scheme val="minor"/>
      </rPr>
      <t xml:space="preserve">  Consultazione Scadenzario Fine Pena - In Scadenza</t>
    </r>
  </si>
  <si>
    <t>Verificare che nell'Elenco sia presente la nuova colonna Fine Pena Virtuale</t>
  </si>
  <si>
    <t>Per alcuni dei procedimenti presenti nell'Elenco, procedere a utilizzare la funzione Calcolo Pena DL 92/2024 e la relativa funzione Valida</t>
  </si>
  <si>
    <t>R1</t>
  </si>
  <si>
    <t>Riciclo Test</t>
  </si>
  <si>
    <t xml:space="preserve">Ripetere passo 1 e 2 del test </t>
  </si>
  <si>
    <t>Visualizzazione messaggio di Avvenuta storicizzazione del Calcolo Pena</t>
  </si>
  <si>
    <r>
      <t xml:space="preserve">Visualizzazione pagina  </t>
    </r>
    <r>
      <rPr>
        <b/>
        <sz val="11"/>
        <rFont val="Calibri"/>
        <family val="2"/>
        <scheme val="minor"/>
      </rPr>
      <t>Calcolo pena ipotetica con detrazioni DL. 92/2024</t>
    </r>
    <r>
      <rPr>
        <sz val="11"/>
        <rFont val="Calibri"/>
        <family val="2"/>
        <scheme val="minor"/>
      </rPr>
      <t xml:space="preserve"> con il Dettaglio di tutti i dati coinvolti nel calcolo e i risulati dello stesso</t>
    </r>
  </si>
  <si>
    <r>
      <t xml:space="preserve">L'utente è posizionato sulla pagina  </t>
    </r>
    <r>
      <rPr>
        <b/>
        <sz val="11"/>
        <rFont val="Calibri"/>
        <family val="2"/>
        <scheme val="minor"/>
      </rPr>
      <t>Calcolo pena ipotetica con detrazioni DL. 92/2024</t>
    </r>
    <r>
      <rPr>
        <sz val="11"/>
        <rFont val="Calibri"/>
        <family val="2"/>
        <scheme val="minor"/>
      </rPr>
      <t xml:space="preserve"> con il Dettaglio di tutti i dati coinvolti nel calcolo del precedente test</t>
    </r>
  </si>
  <si>
    <t>Verificare che nell'Elenco sia presente la nuova colonna Fine Pena Virtuale e che la stessa risulti valorizzata per i procedimenti su cui è stata utilizzata la funzione di Calcolo</t>
  </si>
  <si>
    <t>SIES/SIUS</t>
  </si>
  <si>
    <t>PAR. 3.1-048-03</t>
  </si>
  <si>
    <t>Ricerca Fine Pena Procedimenti Pendenti</t>
  </si>
  <si>
    <t xml:space="preserve">L'utente è collegato al sistema SIUS come Ufficio di Sorveglianza </t>
  </si>
  <si>
    <t>Exxxxx (Ufficio di Sorveglianza)</t>
  </si>
  <si>
    <t>L'utente è posizionato nella Home Page SIUS</t>
  </si>
  <si>
    <r>
      <t xml:space="preserve">Visualizzazione pagina </t>
    </r>
    <r>
      <rPr>
        <b/>
        <sz val="11"/>
        <rFont val="Calibri"/>
        <family val="2"/>
        <scheme val="minor"/>
      </rPr>
      <t>Ricerca Fine Pena Procedimenti Pendenti</t>
    </r>
  </si>
  <si>
    <t xml:space="preserve">Scadenzari &gt;&gt; Ricerca Fine Pena Procedimenti Pendenti             </t>
  </si>
  <si>
    <t>Verificare che siano presenti i seguenti filtri di ricerca: Intervallo Estremi Procedimenti ; Intervallo Date Iscrizione (uno dei due intervalli è obbligatorio); Criteri di ricerca (Tutti, In scadenza entro periodo, in scadenza oggi, scaduti) obbligatorio; Data Fine Pena Reale, Data Fine Pena Virtuale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</si>
  <si>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In scadenza entro 5 anni, Data Fine Pena Reale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</si>
  <si>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r>
      <t xml:space="preserve">Visualizzazione pagina </t>
    </r>
    <r>
      <rPr>
        <b/>
        <sz val="11"/>
        <rFont val="Calibri"/>
        <family val="2"/>
        <scheme val="minor"/>
      </rPr>
      <t>Elenco Procedimenti Pendenti con data inizio e Fine Pena</t>
    </r>
  </si>
  <si>
    <t>Verifica: Verificare nel sottosistema SIUS la funzione Ricerca Fine Pena Procedimenti Pendenti per data fine pena reale</t>
  </si>
  <si>
    <t>Verifica: Verificare nel sottosistema SIUS la funzione Ricerca Fine Pena Procedimenti Pendenti per fine pena virtuale</t>
  </si>
  <si>
    <r>
      <t xml:space="preserve">Valorizzare </t>
    </r>
    <r>
      <rPr>
        <b/>
        <sz val="11"/>
        <rFont val="Calibri"/>
        <family val="2"/>
        <scheme val="minor"/>
      </rPr>
      <t>Intervallo Estremi Procedimenti, In scadenza entro 5 anni, Data Fine Pena Virtuale</t>
    </r>
    <r>
      <rPr>
        <sz val="11"/>
        <rFont val="Calibri"/>
        <family val="2"/>
        <scheme val="minor"/>
      </rPr>
      <t xml:space="preserve"> e cliccare su</t>
    </r>
    <r>
      <rPr>
        <b/>
        <sz val="11"/>
        <rFont val="Calibri"/>
        <family val="2"/>
        <scheme val="minor"/>
      </rPr>
      <t xml:space="preserve"> Ricerca</t>
    </r>
  </si>
  <si>
    <t>Per alcuni dei procedimenti SIEP estratti nel precedente Test, lato SIEP bisogna calcolare la data fine pena virtuale</t>
  </si>
  <si>
    <t>PAR.3.2-048-04</t>
  </si>
  <si>
    <t>Condivisione Calcolatrice DL 92/2024 di SIEP lato SIUS</t>
  </si>
  <si>
    <t>L'utente ricerca un procedimento SIEP validato</t>
  </si>
  <si>
    <t>Visualizzazione pagina di Dettaglio  procedimento SIEP</t>
  </si>
  <si>
    <r>
      <t xml:space="preserve">selezionare la funzione Calcolo Pena DL 92/2024 </t>
    </r>
    <r>
      <rPr>
        <sz val="11"/>
        <rFont val="Calibri"/>
        <family val="2"/>
        <scheme val="minor"/>
      </rPr>
      <t>nel menu verticale</t>
    </r>
  </si>
  <si>
    <r>
      <t xml:space="preserve">che nella form sia presente solo il tasto </t>
    </r>
    <r>
      <rPr>
        <b/>
        <sz val="11"/>
        <rFont val="Calibri"/>
        <family val="2"/>
        <scheme val="minor"/>
      </rPr>
      <t>Ricalcolo</t>
    </r>
    <r>
      <rPr>
        <sz val="11"/>
        <rFont val="Calibri"/>
        <family val="2"/>
        <scheme val="minor"/>
      </rPr>
      <t>, quindi non sia presente il tasto Valida</t>
    </r>
  </si>
  <si>
    <r>
      <t xml:space="preserve">Visualizzazione pagina  </t>
    </r>
    <r>
      <rPr>
        <b/>
        <sz val="11"/>
        <rFont val="Calibri"/>
        <family val="2"/>
        <scheme val="minor"/>
      </rPr>
      <t xml:space="preserve">Calcolo pena ipotetica con detrazioni DL. 92/2024 </t>
    </r>
    <r>
      <rPr>
        <sz val="11"/>
        <rFont val="Calibri"/>
        <family val="2"/>
        <scheme val="minor"/>
      </rPr>
      <t>con il Dettaglio di tutti i dati coinvolti nel calcolo e i risultati dello stesso</t>
    </r>
  </si>
  <si>
    <t>Verificare che la form sia impaginata e presenti 20 risultati per pagina ordinata per data fine decrescente, per ciascuna riga siano riportati: Anno e Numero procedimento SIUS, Cognome e Nome soggetto, Luogo e Data nascita, Posizione Giuridica, Contenuto, Data inizio pena, Data Fine Pena, giorni residui alla scadenza dalla data odierna, Fine pena virtuale, giorni residui alla scadenza, Anno e Numero procedimento SIEP</t>
  </si>
  <si>
    <t>Verificare che la form sia impaginata e presenti 20 risultati per pagina ordinata per data fine vrtuale decrescente, per ciascuna riga siano riportati: Anno e Numero procedimento SIUS, Cognome e Nome soggetto, Luogo e Data nascita, Posizione Giuridica, Contenuto, Data inizio pena, Data Fine Pena, giorni residui alla scadenza dalla data odierna, Fine pena virtuale, giorni residui alla scadenza, Anno e Numero procedimento SIEP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</si>
</sst>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6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5DCE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</fills>
  <borders count="6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7F7F7F"/>
      </bottom>
      <diagonal/>
    </border>
    <border>
      <left/>
      <right style="medium">
        <color indexed="64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 style="medium">
        <color rgb="FF7F7F7F"/>
      </top>
      <bottom/>
      <diagonal/>
    </border>
    <border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 style="medium">
        <color indexed="64"/>
      </right>
      <top style="medium">
        <color rgb="FF7F7F7F"/>
      </top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rgb="FF7F7F7F"/>
      </bottom>
      <diagonal/>
    </border>
    <border>
      <left/>
      <right style="medium">
        <color rgb="FF7F7F7F"/>
      </right>
      <top/>
      <bottom style="medium">
        <color rgb="FF7F7F7F"/>
      </bottom>
      <diagonal/>
    </border>
    <border>
      <left style="medium">
        <color indexed="64"/>
      </left>
      <right style="medium">
        <color rgb="FF7F7F7F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7F7F7F"/>
      </right>
      <top/>
      <bottom/>
      <diagonal/>
    </border>
    <border>
      <left style="medium">
        <color rgb="FF7F7F7F"/>
      </left>
      <right/>
      <top/>
      <bottom style="medium">
        <color rgb="FF7F7F7F"/>
      </bottom>
      <diagonal/>
    </border>
    <border>
      <left style="medium">
        <color indexed="64"/>
      </left>
      <right/>
      <top/>
      <bottom style="medium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9" fillId="0" borderId="0"/>
  </cellStyleXfs>
  <cellXfs count="181">
    <xf numFmtId="0" fontId="0" fillId="0" borderId="0" xfId="0"/>
    <xf numFmtId="0" fontId="9" fillId="0" borderId="0" xfId="1" applyFont="1" applyAlignment="1">
      <alignment wrapText="1"/>
    </xf>
    <xf numFmtId="0" fontId="9" fillId="0" borderId="0" xfId="1" applyFont="1" applyAlignment="1">
      <alignment vertical="center"/>
    </xf>
    <xf numFmtId="0" fontId="10" fillId="0" borderId="0" xfId="1" applyFont="1" applyAlignment="1">
      <alignment vertical="center" wrapText="1"/>
    </xf>
    <xf numFmtId="49" fontId="6" fillId="6" borderId="12" xfId="1" applyNumberFormat="1" applyFont="1" applyFill="1" applyBorder="1" applyAlignment="1">
      <alignment horizontal="center" vertical="center" wrapText="1"/>
    </xf>
    <xf numFmtId="49" fontId="3" fillId="6" borderId="13" xfId="1" applyNumberFormat="1" applyFont="1" applyFill="1" applyBorder="1" applyAlignment="1">
      <alignment horizontal="center" vertical="center" wrapText="1"/>
    </xf>
    <xf numFmtId="49" fontId="3" fillId="6" borderId="14" xfId="1" applyNumberFormat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4" fillId="0" borderId="16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19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9" fillId="0" borderId="0" xfId="2" applyFont="1" applyAlignment="1">
      <alignment vertical="center"/>
    </xf>
    <xf numFmtId="0" fontId="9" fillId="0" borderId="0" xfId="2" applyFont="1"/>
    <xf numFmtId="0" fontId="13" fillId="9" borderId="28" xfId="2" applyFont="1" applyFill="1" applyBorder="1" applyAlignment="1">
      <alignment horizontal="center" vertical="center" wrapText="1"/>
    </xf>
    <xf numFmtId="0" fontId="13" fillId="9" borderId="22" xfId="2" applyFont="1" applyFill="1" applyBorder="1" applyAlignment="1">
      <alignment horizontal="center" vertical="center" wrapText="1"/>
    </xf>
    <xf numFmtId="0" fontId="14" fillId="0" borderId="27" xfId="2" applyFont="1" applyBorder="1" applyAlignment="1">
      <alignment horizontal="center" vertical="center" wrapText="1"/>
    </xf>
    <xf numFmtId="0" fontId="15" fillId="0" borderId="28" xfId="2" applyFont="1" applyBorder="1" applyAlignment="1">
      <alignment horizontal="center" vertical="center" wrapText="1"/>
    </xf>
    <xf numFmtId="0" fontId="13" fillId="9" borderId="27" xfId="2" applyFont="1" applyFill="1" applyBorder="1" applyAlignment="1">
      <alignment horizontal="center" vertical="center" wrapText="1"/>
    </xf>
    <xf numFmtId="0" fontId="14" fillId="0" borderId="29" xfId="2" applyFont="1" applyBorder="1" applyAlignment="1">
      <alignment horizontal="center" vertical="center" wrapText="1"/>
    </xf>
    <xf numFmtId="0" fontId="9" fillId="0" borderId="0" xfId="2" applyFont="1" applyAlignment="1">
      <alignment vertical="center" wrapText="1"/>
    </xf>
    <xf numFmtId="0" fontId="13" fillId="11" borderId="28" xfId="2" applyFont="1" applyFill="1" applyBorder="1" applyAlignment="1">
      <alignment horizontal="center" vertical="center" wrapText="1"/>
    </xf>
    <xf numFmtId="0" fontId="13" fillId="11" borderId="22" xfId="2" applyFont="1" applyFill="1" applyBorder="1" applyAlignment="1">
      <alignment horizontal="center" vertical="center" wrapText="1"/>
    </xf>
    <xf numFmtId="0" fontId="14" fillId="11" borderId="27" xfId="2" applyFont="1" applyFill="1" applyBorder="1" applyAlignment="1">
      <alignment horizontal="center" vertical="center" wrapText="1"/>
    </xf>
    <xf numFmtId="1" fontId="0" fillId="0" borderId="28" xfId="2" applyNumberFormat="1" applyFont="1" applyBorder="1" applyAlignment="1" applyProtection="1">
      <alignment horizontal="center" vertical="center" wrapText="1"/>
      <protection hidden="1"/>
    </xf>
    <xf numFmtId="0" fontId="13" fillId="11" borderId="27" xfId="2" applyFont="1" applyFill="1" applyBorder="1" applyAlignment="1">
      <alignment horizontal="center" vertical="center" wrapText="1"/>
    </xf>
    <xf numFmtId="0" fontId="14" fillId="11" borderId="29" xfId="2" applyFont="1" applyFill="1" applyBorder="1" applyAlignment="1">
      <alignment horizontal="center" vertical="center" wrapText="1"/>
    </xf>
    <xf numFmtId="49" fontId="0" fillId="0" borderId="35" xfId="0" applyNumberFormat="1" applyBorder="1" applyAlignment="1">
      <alignment horizontal="center" vertical="center" wrapText="1"/>
    </xf>
    <xf numFmtId="49" fontId="0" fillId="0" borderId="3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14" borderId="11" xfId="0" applyFont="1" applyFill="1" applyBorder="1" applyAlignment="1">
      <alignment horizontal="center" vertical="center" wrapText="1"/>
    </xf>
    <xf numFmtId="0" fontId="18" fillId="14" borderId="37" xfId="0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49" fontId="9" fillId="0" borderId="3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3" fillId="15" borderId="11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8" fillId="12" borderId="39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18" fillId="12" borderId="14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6" borderId="41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49" fontId="3" fillId="15" borderId="10" xfId="0" applyNumberFormat="1" applyFont="1" applyFill="1" applyBorder="1" applyAlignment="1">
      <alignment horizontal="center" vertical="center" wrapText="1"/>
    </xf>
    <xf numFmtId="1" fontId="0" fillId="0" borderId="43" xfId="0" applyNumberFormat="1" applyBorder="1" applyAlignment="1">
      <alignment horizontal="center" vertical="center"/>
    </xf>
    <xf numFmtId="49" fontId="3" fillId="16" borderId="45" xfId="0" applyNumberFormat="1" applyFont="1" applyFill="1" applyBorder="1" applyAlignment="1">
      <alignment horizontal="center" vertical="center" wrapText="1"/>
    </xf>
    <xf numFmtId="0" fontId="3" fillId="4" borderId="45" xfId="0" applyFont="1" applyFill="1" applyBorder="1" applyAlignment="1">
      <alignment horizontal="center" vertical="center" wrapText="1"/>
    </xf>
    <xf numFmtId="0" fontId="3" fillId="7" borderId="45" xfId="0" applyFont="1" applyFill="1" applyBorder="1" applyAlignment="1">
      <alignment horizontal="center" vertical="center" wrapText="1"/>
    </xf>
    <xf numFmtId="0" fontId="3" fillId="17" borderId="45" xfId="0" applyFont="1" applyFill="1" applyBorder="1" applyAlignment="1">
      <alignment horizontal="center" vertical="center" wrapText="1"/>
    </xf>
    <xf numFmtId="0" fontId="3" fillId="18" borderId="46" xfId="0" applyFont="1" applyFill="1" applyBorder="1" applyAlignment="1">
      <alignment horizontal="center" vertical="center" wrapText="1"/>
    </xf>
    <xf numFmtId="0" fontId="3" fillId="18" borderId="47" xfId="0" applyFont="1" applyFill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8" fillId="12" borderId="48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3" fillId="18" borderId="49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wrapText="1"/>
    </xf>
    <xf numFmtId="0" fontId="3" fillId="18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49" fontId="3" fillId="16" borderId="50" xfId="0" applyNumberFormat="1" applyFont="1" applyFill="1" applyBorder="1" applyAlignment="1">
      <alignment horizontal="center" vertical="center" wrapText="1"/>
    </xf>
    <xf numFmtId="0" fontId="3" fillId="4" borderId="50" xfId="0" applyFont="1" applyFill="1" applyBorder="1" applyAlignment="1">
      <alignment horizontal="center" vertical="center" wrapText="1"/>
    </xf>
    <xf numFmtId="0" fontId="3" fillId="18" borderId="50" xfId="0" applyFont="1" applyFill="1" applyBorder="1" applyAlignment="1">
      <alignment horizontal="center" vertical="center" wrapText="1"/>
    </xf>
    <xf numFmtId="0" fontId="3" fillId="7" borderId="50" xfId="0" applyFont="1" applyFill="1" applyBorder="1" applyAlignment="1">
      <alignment horizontal="center" vertical="center" wrapText="1"/>
    </xf>
    <xf numFmtId="0" fontId="3" fillId="18" borderId="12" xfId="0" applyFont="1" applyFill="1" applyBorder="1" applyAlignment="1">
      <alignment horizontal="center" vertical="center" wrapText="1"/>
    </xf>
    <xf numFmtId="0" fontId="3" fillId="18" borderId="13" xfId="0" applyFont="1" applyFill="1" applyBorder="1" applyAlignment="1">
      <alignment horizontal="center" vertical="center" wrapText="1"/>
    </xf>
    <xf numFmtId="0" fontId="3" fillId="17" borderId="50" xfId="0" applyFont="1" applyFill="1" applyBorder="1" applyAlignment="1">
      <alignment horizontal="center" vertical="center" wrapText="1"/>
    </xf>
    <xf numFmtId="0" fontId="3" fillId="17" borderId="12" xfId="0" applyFont="1" applyFill="1" applyBorder="1" applyAlignment="1">
      <alignment horizontal="center" vertical="center" wrapText="1"/>
    </xf>
    <xf numFmtId="0" fontId="3" fillId="17" borderId="13" xfId="0" applyFont="1" applyFill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3" fillId="15" borderId="50" xfId="0" applyFont="1" applyFill="1" applyBorder="1" applyAlignment="1">
      <alignment horizontal="center" vertical="center" wrapText="1"/>
    </xf>
    <xf numFmtId="0" fontId="3" fillId="15" borderId="47" xfId="0" applyFont="1" applyFill="1" applyBorder="1" applyAlignment="1">
      <alignment horizontal="center" vertical="center" wrapText="1"/>
    </xf>
    <xf numFmtId="0" fontId="18" fillId="14" borderId="47" xfId="0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18" fillId="12" borderId="37" xfId="0" applyFont="1" applyFill="1" applyBorder="1" applyAlignment="1">
      <alignment horizontal="center" vertical="center" wrapText="1"/>
    </xf>
    <xf numFmtId="49" fontId="3" fillId="15" borderId="46" xfId="0" applyNumberFormat="1" applyFont="1" applyFill="1" applyBorder="1" applyAlignment="1">
      <alignment horizontal="center" vertical="center" wrapText="1"/>
    </xf>
    <xf numFmtId="49" fontId="3" fillId="16" borderId="51" xfId="0" applyNumberFormat="1" applyFont="1" applyFill="1" applyBorder="1" applyAlignment="1">
      <alignment horizontal="center" vertical="center" wrapText="1"/>
    </xf>
    <xf numFmtId="0" fontId="3" fillId="18" borderId="45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justify" vertical="center"/>
    </xf>
    <xf numFmtId="0" fontId="0" fillId="0" borderId="55" xfId="0" applyBorder="1" applyAlignment="1">
      <alignment horizontal="center" vertical="center" wrapText="1"/>
    </xf>
    <xf numFmtId="1" fontId="0" fillId="0" borderId="34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 wrapText="1"/>
    </xf>
    <xf numFmtId="0" fontId="0" fillId="0" borderId="34" xfId="0" applyBorder="1" applyAlignment="1">
      <alignment horizontal="justify" vertical="center"/>
    </xf>
    <xf numFmtId="0" fontId="7" fillId="0" borderId="34" xfId="0" applyFont="1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" fontId="0" fillId="0" borderId="58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8" xfId="0" applyBorder="1" applyAlignment="1">
      <alignment horizontal="justify" vertical="center"/>
    </xf>
    <xf numFmtId="0" fontId="0" fillId="0" borderId="59" xfId="0" applyBorder="1" applyAlignment="1">
      <alignment horizontal="center" vertical="center" wrapText="1"/>
    </xf>
    <xf numFmtId="49" fontId="3" fillId="3" borderId="60" xfId="0" applyNumberFormat="1" applyFont="1" applyFill="1" applyBorder="1" applyAlignment="1">
      <alignment horizontal="center" vertical="center" wrapText="1"/>
    </xf>
    <xf numFmtId="49" fontId="3" fillId="4" borderId="60" xfId="0" applyNumberFormat="1" applyFont="1" applyFill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49" fontId="3" fillId="6" borderId="60" xfId="0" applyNumberFormat="1" applyFont="1" applyFill="1" applyBorder="1" applyAlignment="1">
      <alignment horizontal="center" vertical="center" wrapText="1"/>
    </xf>
    <xf numFmtId="49" fontId="3" fillId="5" borderId="60" xfId="0" applyNumberFormat="1" applyFont="1" applyFill="1" applyBorder="1" applyAlignment="1">
      <alignment horizontal="center" vertical="center" wrapText="1"/>
    </xf>
    <xf numFmtId="0" fontId="3" fillId="5" borderId="60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3" fillId="2" borderId="41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8" fillId="12" borderId="52" xfId="0" applyFont="1" applyFill="1" applyBorder="1" applyAlignment="1">
      <alignment horizontal="center" vertical="center" wrapText="1"/>
    </xf>
    <xf numFmtId="0" fontId="18" fillId="12" borderId="53" xfId="0" applyFont="1" applyFill="1" applyBorder="1" applyAlignment="1">
      <alignment horizontal="center" vertical="center" wrapText="1"/>
    </xf>
    <xf numFmtId="0" fontId="18" fillId="12" borderId="54" xfId="0" applyFont="1" applyFill="1" applyBorder="1" applyAlignment="1">
      <alignment horizontal="center" vertical="center" wrapText="1"/>
    </xf>
    <xf numFmtId="1" fontId="0" fillId="13" borderId="40" xfId="0" applyNumberFormat="1" applyFill="1" applyBorder="1" applyAlignment="1">
      <alignment horizontal="center" vertical="center" wrapText="1"/>
    </xf>
    <xf numFmtId="0" fontId="0" fillId="13" borderId="40" xfId="0" applyFill="1" applyBorder="1" applyAlignment="1">
      <alignment horizontal="center" vertical="center" wrapText="1"/>
    </xf>
    <xf numFmtId="1" fontId="0" fillId="13" borderId="41" xfId="0" applyNumberFormat="1" applyFill="1" applyBorder="1" applyAlignment="1">
      <alignment horizontal="center" vertical="center" wrapText="1"/>
    </xf>
    <xf numFmtId="0" fontId="0" fillId="13" borderId="41" xfId="0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18" fillId="12" borderId="36" xfId="0" applyFont="1" applyFill="1" applyBorder="1" applyAlignment="1">
      <alignment horizontal="center" vertical="center" wrapText="1"/>
    </xf>
    <xf numFmtId="0" fontId="18" fillId="12" borderId="38" xfId="0" applyFont="1" applyFill="1" applyBorder="1" applyAlignment="1">
      <alignment horizontal="center" vertical="center" wrapText="1"/>
    </xf>
    <xf numFmtId="1" fontId="0" fillId="13" borderId="36" xfId="0" applyNumberFormat="1" applyFill="1" applyBorder="1" applyAlignment="1">
      <alignment horizontal="center" vertical="center" wrapText="1"/>
    </xf>
    <xf numFmtId="0" fontId="0" fillId="13" borderId="36" xfId="0" applyFill="1" applyBorder="1" applyAlignment="1">
      <alignment horizontal="center" vertical="center" wrapText="1"/>
    </xf>
    <xf numFmtId="49" fontId="0" fillId="0" borderId="41" xfId="0" applyNumberForma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0" fontId="7" fillId="0" borderId="41" xfId="0" applyFont="1" applyBorder="1" applyAlignment="1">
      <alignment horizontal="center" vertical="center" wrapText="1"/>
    </xf>
    <xf numFmtId="0" fontId="3" fillId="15" borderId="4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49" fontId="0" fillId="0" borderId="11" xfId="0" applyNumberForma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8" borderId="31" xfId="2" applyFont="1" applyFill="1" applyBorder="1" applyAlignment="1">
      <alignment horizontal="left" vertical="center" wrapText="1"/>
    </xf>
    <xf numFmtId="0" fontId="3" fillId="8" borderId="27" xfId="2" applyFont="1" applyFill="1" applyBorder="1" applyAlignment="1">
      <alignment horizontal="left" vertical="center" wrapText="1"/>
    </xf>
    <xf numFmtId="0" fontId="12" fillId="8" borderId="32" xfId="2" applyFont="1" applyFill="1" applyBorder="1" applyAlignment="1">
      <alignment horizontal="center" vertical="center" wrapText="1"/>
    </xf>
    <xf numFmtId="0" fontId="12" fillId="8" borderId="21" xfId="2" applyFont="1" applyFill="1" applyBorder="1" applyAlignment="1">
      <alignment horizontal="center" vertical="center" wrapText="1"/>
    </xf>
    <xf numFmtId="0" fontId="12" fillId="8" borderId="22" xfId="2" applyFont="1" applyFill="1" applyBorder="1" applyAlignment="1">
      <alignment horizontal="center" vertical="center" wrapText="1"/>
    </xf>
    <xf numFmtId="0" fontId="8" fillId="7" borderId="33" xfId="2" applyFont="1" applyFill="1" applyBorder="1" applyAlignment="1">
      <alignment horizontal="center" vertical="center"/>
    </xf>
    <xf numFmtId="0" fontId="8" fillId="7" borderId="21" xfId="2" applyFont="1" applyFill="1" applyBorder="1" applyAlignment="1">
      <alignment horizontal="center" vertical="center"/>
    </xf>
    <xf numFmtId="0" fontId="8" fillId="7" borderId="22" xfId="2" applyFont="1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center" vertical="center" wrapText="1"/>
    </xf>
    <xf numFmtId="0" fontId="11" fillId="0" borderId="0" xfId="2" applyFont="1" applyAlignment="1">
      <alignment horizontal="center" vertical="center" wrapText="1"/>
    </xf>
    <xf numFmtId="0" fontId="11" fillId="0" borderId="6" xfId="2" applyFont="1" applyBorder="1" applyAlignment="1">
      <alignment horizontal="center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8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center" vertical="center" wrapText="1"/>
    </xf>
    <xf numFmtId="0" fontId="3" fillId="8" borderId="23" xfId="2" applyFont="1" applyFill="1" applyBorder="1" applyAlignment="1">
      <alignment horizontal="left" vertical="center" wrapText="1"/>
    </xf>
    <xf numFmtId="0" fontId="12" fillId="8" borderId="24" xfId="2" applyFont="1" applyFill="1" applyBorder="1" applyAlignment="1">
      <alignment horizontal="center" vertical="center" wrapText="1"/>
    </xf>
    <xf numFmtId="0" fontId="12" fillId="8" borderId="25" xfId="2" applyFont="1" applyFill="1" applyBorder="1" applyAlignment="1">
      <alignment horizontal="center" vertical="center" wrapText="1"/>
    </xf>
    <xf numFmtId="0" fontId="12" fillId="8" borderId="26" xfId="2" applyFont="1" applyFill="1" applyBorder="1" applyAlignment="1">
      <alignment horizontal="center" vertical="center" wrapText="1"/>
    </xf>
    <xf numFmtId="0" fontId="3" fillId="2" borderId="4" xfId="0" applyFont="1" applyFill="1" applyBorder="1" applyAlignment="1" applyProtection="1">
      <alignment horizontal="center" wrapText="1"/>
      <protection locked="0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vertical="center" wrapText="1"/>
    </xf>
    <xf numFmtId="0" fontId="8" fillId="10" borderId="30" xfId="2" applyFont="1" applyFill="1" applyBorder="1" applyAlignment="1">
      <alignment horizontal="center" vertical="center"/>
    </xf>
    <xf numFmtId="0" fontId="8" fillId="10" borderId="16" xfId="2" applyFont="1" applyFill="1" applyBorder="1" applyAlignment="1">
      <alignment horizontal="center" vertical="center"/>
    </xf>
    <xf numFmtId="0" fontId="8" fillId="10" borderId="17" xfId="2" applyFont="1" applyFill="1" applyBorder="1" applyAlignment="1">
      <alignment horizontal="center" vertical="center"/>
    </xf>
  </cellXfs>
  <cellStyles count="4">
    <cellStyle name="Normale" xfId="0" builtinId="0"/>
    <cellStyle name="Normale 2" xfId="1"/>
    <cellStyle name="Normale 3" xfId="2"/>
    <cellStyle name="Normale 4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2" name="Picture 5">
          <a:extLst>
            <a:ext uri="{FF2B5EF4-FFF2-40B4-BE49-F238E27FC236}">
              <a16:creationId xmlns="" xmlns:a16="http://schemas.microsoft.com/office/drawing/2014/main" id="{BE6E059E-EBBA-4582-A85D-A320D8B73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3" name="Picture 6">
          <a:extLst>
            <a:ext uri="{FF2B5EF4-FFF2-40B4-BE49-F238E27FC236}">
              <a16:creationId xmlns="" xmlns:a16="http://schemas.microsoft.com/office/drawing/2014/main" id="{A433206B-F0DA-431B-8027-14A3EAB8C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3962400</xdr:colOff>
      <xdr:row>0</xdr:row>
      <xdr:rowOff>123825</xdr:rowOff>
    </xdr:from>
    <xdr:to>
      <xdr:col>2</xdr:col>
      <xdr:colOff>3448050</xdr:colOff>
      <xdr:row>0</xdr:row>
      <xdr:rowOff>419100</xdr:rowOff>
    </xdr:to>
    <xdr:pic>
      <xdr:nvPicPr>
        <xdr:cNvPr id="4" name="Picture 7">
          <a:extLst>
            <a:ext uri="{FF2B5EF4-FFF2-40B4-BE49-F238E27FC236}">
              <a16:creationId xmlns="" xmlns:a16="http://schemas.microsoft.com/office/drawing/2014/main" id="{5A98800D-9369-472C-98BF-839009E35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11201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3343275</xdr:colOff>
      <xdr:row>0</xdr:row>
      <xdr:rowOff>180975</xdr:rowOff>
    </xdr:from>
    <xdr:to>
      <xdr:col>1</xdr:col>
      <xdr:colOff>5772150</xdr:colOff>
      <xdr:row>0</xdr:row>
      <xdr:rowOff>600075</xdr:rowOff>
    </xdr:to>
    <xdr:pic>
      <xdr:nvPicPr>
        <xdr:cNvPr id="13" name="Picture 4" descr="Text&#10;&#10;Description automatically generated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1150" y="180975"/>
          <a:ext cx="2428875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438150</xdr:colOff>
      <xdr:row>0</xdr:row>
      <xdr:rowOff>123825</xdr:rowOff>
    </xdr:from>
    <xdr:to>
      <xdr:col>1</xdr:col>
      <xdr:colOff>847725</xdr:colOff>
      <xdr:row>0</xdr:row>
      <xdr:rowOff>657225</xdr:rowOff>
    </xdr:to>
    <xdr:pic>
      <xdr:nvPicPr>
        <xdr:cNvPr id="14" name="Picture 6" descr="Graphical user interface, text&#10;&#10;Description automatically generated with medium confidence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123825"/>
          <a:ext cx="245745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1562100</xdr:colOff>
      <xdr:row>0</xdr:row>
      <xdr:rowOff>28575</xdr:rowOff>
    </xdr:from>
    <xdr:to>
      <xdr:col>1</xdr:col>
      <xdr:colOff>2714625</xdr:colOff>
      <xdr:row>0</xdr:row>
      <xdr:rowOff>742950</xdr:rowOff>
    </xdr:to>
    <xdr:pic>
      <xdr:nvPicPr>
        <xdr:cNvPr id="15" name="Picture 5" descr="A picture containing text&#10;&#10;Description automatically generated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8575"/>
          <a:ext cx="1152525" cy="714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714375</xdr:colOff>
      <xdr:row>10</xdr:row>
      <xdr:rowOff>57149</xdr:rowOff>
    </xdr:from>
    <xdr:to>
      <xdr:col>0</xdr:col>
      <xdr:colOff>1133475</xdr:colOff>
      <xdr:row>10</xdr:row>
      <xdr:rowOff>1476375</xdr:rowOff>
    </xdr:to>
    <xdr:pic>
      <xdr:nvPicPr>
        <xdr:cNvPr id="19" name="Immagine 18" descr="A blue and white circular logo&#10;&#10;Description automatically generated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75" y="4819649"/>
          <a:ext cx="419100" cy="1419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workbookViewId="0">
      <selection sqref="A1:XFD1048576"/>
    </sheetView>
  </sheetViews>
  <sheetFormatPr defaultRowHeight="120.75" customHeight="1" x14ac:dyDescent="0.25"/>
  <cols>
    <col min="1" max="1" width="30.7109375" style="29" customWidth="1"/>
    <col min="2" max="2" width="90.7109375" style="29" customWidth="1"/>
    <col min="3" max="3" width="51.7109375" style="29" customWidth="1"/>
    <col min="4" max="253" width="9.140625" style="29"/>
    <col min="254" max="254" width="1.42578125" style="29" customWidth="1"/>
    <col min="255" max="255" width="31.28515625" style="29" customWidth="1"/>
    <col min="256" max="256" width="83.5703125" style="29" bestFit="1" customWidth="1"/>
    <col min="257" max="257" width="51.7109375" style="29" customWidth="1"/>
    <col min="258" max="509" width="9.140625" style="29"/>
    <col min="510" max="510" width="1.42578125" style="29" customWidth="1"/>
    <col min="511" max="511" width="31.28515625" style="29" customWidth="1"/>
    <col min="512" max="512" width="83.5703125" style="29" bestFit="1" customWidth="1"/>
    <col min="513" max="513" width="51.7109375" style="29" customWidth="1"/>
    <col min="514" max="765" width="9.140625" style="29"/>
    <col min="766" max="766" width="1.42578125" style="29" customWidth="1"/>
    <col min="767" max="767" width="31.28515625" style="29" customWidth="1"/>
    <col min="768" max="768" width="83.5703125" style="29" bestFit="1" customWidth="1"/>
    <col min="769" max="769" width="51.7109375" style="29" customWidth="1"/>
    <col min="770" max="1021" width="9.140625" style="29"/>
    <col min="1022" max="1022" width="1.42578125" style="29" customWidth="1"/>
    <col min="1023" max="1023" width="31.28515625" style="29" customWidth="1"/>
    <col min="1024" max="1024" width="83.5703125" style="29" bestFit="1" customWidth="1"/>
    <col min="1025" max="1025" width="51.7109375" style="29" customWidth="1"/>
    <col min="1026" max="1277" width="9.140625" style="29"/>
    <col min="1278" max="1278" width="1.42578125" style="29" customWidth="1"/>
    <col min="1279" max="1279" width="31.28515625" style="29" customWidth="1"/>
    <col min="1280" max="1280" width="83.5703125" style="29" bestFit="1" customWidth="1"/>
    <col min="1281" max="1281" width="51.7109375" style="29" customWidth="1"/>
    <col min="1282" max="1533" width="9.140625" style="29"/>
    <col min="1534" max="1534" width="1.42578125" style="29" customWidth="1"/>
    <col min="1535" max="1535" width="31.28515625" style="29" customWidth="1"/>
    <col min="1536" max="1536" width="83.5703125" style="29" bestFit="1" customWidth="1"/>
    <col min="1537" max="1537" width="51.7109375" style="29" customWidth="1"/>
    <col min="1538" max="1789" width="9.140625" style="29"/>
    <col min="1790" max="1790" width="1.42578125" style="29" customWidth="1"/>
    <col min="1791" max="1791" width="31.28515625" style="29" customWidth="1"/>
    <col min="1792" max="1792" width="83.5703125" style="29" bestFit="1" customWidth="1"/>
    <col min="1793" max="1793" width="51.7109375" style="29" customWidth="1"/>
    <col min="1794" max="2045" width="9.140625" style="29"/>
    <col min="2046" max="2046" width="1.42578125" style="29" customWidth="1"/>
    <col min="2047" max="2047" width="31.28515625" style="29" customWidth="1"/>
    <col min="2048" max="2048" width="83.5703125" style="29" bestFit="1" customWidth="1"/>
    <col min="2049" max="2049" width="51.7109375" style="29" customWidth="1"/>
    <col min="2050" max="2301" width="9.140625" style="29"/>
    <col min="2302" max="2302" width="1.42578125" style="29" customWidth="1"/>
    <col min="2303" max="2303" width="31.28515625" style="29" customWidth="1"/>
    <col min="2304" max="2304" width="83.5703125" style="29" bestFit="1" customWidth="1"/>
    <col min="2305" max="2305" width="51.7109375" style="29" customWidth="1"/>
    <col min="2306" max="2557" width="9.140625" style="29"/>
    <col min="2558" max="2558" width="1.42578125" style="29" customWidth="1"/>
    <col min="2559" max="2559" width="31.28515625" style="29" customWidth="1"/>
    <col min="2560" max="2560" width="83.5703125" style="29" bestFit="1" customWidth="1"/>
    <col min="2561" max="2561" width="51.7109375" style="29" customWidth="1"/>
    <col min="2562" max="2813" width="9.140625" style="29"/>
    <col min="2814" max="2814" width="1.42578125" style="29" customWidth="1"/>
    <col min="2815" max="2815" width="31.28515625" style="29" customWidth="1"/>
    <col min="2816" max="2816" width="83.5703125" style="29" bestFit="1" customWidth="1"/>
    <col min="2817" max="2817" width="51.7109375" style="29" customWidth="1"/>
    <col min="2818" max="3069" width="9.140625" style="29"/>
    <col min="3070" max="3070" width="1.42578125" style="29" customWidth="1"/>
    <col min="3071" max="3071" width="31.28515625" style="29" customWidth="1"/>
    <col min="3072" max="3072" width="83.5703125" style="29" bestFit="1" customWidth="1"/>
    <col min="3073" max="3073" width="51.7109375" style="29" customWidth="1"/>
    <col min="3074" max="3325" width="9.140625" style="29"/>
    <col min="3326" max="3326" width="1.42578125" style="29" customWidth="1"/>
    <col min="3327" max="3327" width="31.28515625" style="29" customWidth="1"/>
    <col min="3328" max="3328" width="83.5703125" style="29" bestFit="1" customWidth="1"/>
    <col min="3329" max="3329" width="51.7109375" style="29" customWidth="1"/>
    <col min="3330" max="3581" width="9.140625" style="29"/>
    <col min="3582" max="3582" width="1.42578125" style="29" customWidth="1"/>
    <col min="3583" max="3583" width="31.28515625" style="29" customWidth="1"/>
    <col min="3584" max="3584" width="83.5703125" style="29" bestFit="1" customWidth="1"/>
    <col min="3585" max="3585" width="51.7109375" style="29" customWidth="1"/>
    <col min="3586" max="3837" width="9.140625" style="29"/>
    <col min="3838" max="3838" width="1.42578125" style="29" customWidth="1"/>
    <col min="3839" max="3839" width="31.28515625" style="29" customWidth="1"/>
    <col min="3840" max="3840" width="83.5703125" style="29" bestFit="1" customWidth="1"/>
    <col min="3841" max="3841" width="51.7109375" style="29" customWidth="1"/>
    <col min="3842" max="4093" width="9.140625" style="29"/>
    <col min="4094" max="4094" width="1.42578125" style="29" customWidth="1"/>
    <col min="4095" max="4095" width="31.28515625" style="29" customWidth="1"/>
    <col min="4096" max="4096" width="83.5703125" style="29" bestFit="1" customWidth="1"/>
    <col min="4097" max="4097" width="51.7109375" style="29" customWidth="1"/>
    <col min="4098" max="4349" width="9.140625" style="29"/>
    <col min="4350" max="4350" width="1.42578125" style="29" customWidth="1"/>
    <col min="4351" max="4351" width="31.28515625" style="29" customWidth="1"/>
    <col min="4352" max="4352" width="83.5703125" style="29" bestFit="1" customWidth="1"/>
    <col min="4353" max="4353" width="51.7109375" style="29" customWidth="1"/>
    <col min="4354" max="4605" width="9.140625" style="29"/>
    <col min="4606" max="4606" width="1.42578125" style="29" customWidth="1"/>
    <col min="4607" max="4607" width="31.28515625" style="29" customWidth="1"/>
    <col min="4608" max="4608" width="83.5703125" style="29" bestFit="1" customWidth="1"/>
    <col min="4609" max="4609" width="51.7109375" style="29" customWidth="1"/>
    <col min="4610" max="4861" width="9.140625" style="29"/>
    <col min="4862" max="4862" width="1.42578125" style="29" customWidth="1"/>
    <col min="4863" max="4863" width="31.28515625" style="29" customWidth="1"/>
    <col min="4864" max="4864" width="83.5703125" style="29" bestFit="1" customWidth="1"/>
    <col min="4865" max="4865" width="51.7109375" style="29" customWidth="1"/>
    <col min="4866" max="5117" width="9.140625" style="29"/>
    <col min="5118" max="5118" width="1.42578125" style="29" customWidth="1"/>
    <col min="5119" max="5119" width="31.28515625" style="29" customWidth="1"/>
    <col min="5120" max="5120" width="83.5703125" style="29" bestFit="1" customWidth="1"/>
    <col min="5121" max="5121" width="51.7109375" style="29" customWidth="1"/>
    <col min="5122" max="5373" width="9.140625" style="29"/>
    <col min="5374" max="5374" width="1.42578125" style="29" customWidth="1"/>
    <col min="5375" max="5375" width="31.28515625" style="29" customWidth="1"/>
    <col min="5376" max="5376" width="83.5703125" style="29" bestFit="1" customWidth="1"/>
    <col min="5377" max="5377" width="51.7109375" style="29" customWidth="1"/>
    <col min="5378" max="5629" width="9.140625" style="29"/>
    <col min="5630" max="5630" width="1.42578125" style="29" customWidth="1"/>
    <col min="5631" max="5631" width="31.28515625" style="29" customWidth="1"/>
    <col min="5632" max="5632" width="83.5703125" style="29" bestFit="1" customWidth="1"/>
    <col min="5633" max="5633" width="51.7109375" style="29" customWidth="1"/>
    <col min="5634" max="5885" width="9.140625" style="29"/>
    <col min="5886" max="5886" width="1.42578125" style="29" customWidth="1"/>
    <col min="5887" max="5887" width="31.28515625" style="29" customWidth="1"/>
    <col min="5888" max="5888" width="83.5703125" style="29" bestFit="1" customWidth="1"/>
    <col min="5889" max="5889" width="51.7109375" style="29" customWidth="1"/>
    <col min="5890" max="6141" width="9.140625" style="29"/>
    <col min="6142" max="6142" width="1.42578125" style="29" customWidth="1"/>
    <col min="6143" max="6143" width="31.28515625" style="29" customWidth="1"/>
    <col min="6144" max="6144" width="83.5703125" style="29" bestFit="1" customWidth="1"/>
    <col min="6145" max="6145" width="51.7109375" style="29" customWidth="1"/>
    <col min="6146" max="6397" width="9.140625" style="29"/>
    <col min="6398" max="6398" width="1.42578125" style="29" customWidth="1"/>
    <col min="6399" max="6399" width="31.28515625" style="29" customWidth="1"/>
    <col min="6400" max="6400" width="83.5703125" style="29" bestFit="1" customWidth="1"/>
    <col min="6401" max="6401" width="51.7109375" style="29" customWidth="1"/>
    <col min="6402" max="6653" width="9.140625" style="29"/>
    <col min="6654" max="6654" width="1.42578125" style="29" customWidth="1"/>
    <col min="6655" max="6655" width="31.28515625" style="29" customWidth="1"/>
    <col min="6656" max="6656" width="83.5703125" style="29" bestFit="1" customWidth="1"/>
    <col min="6657" max="6657" width="51.7109375" style="29" customWidth="1"/>
    <col min="6658" max="6909" width="9.140625" style="29"/>
    <col min="6910" max="6910" width="1.42578125" style="29" customWidth="1"/>
    <col min="6911" max="6911" width="31.28515625" style="29" customWidth="1"/>
    <col min="6912" max="6912" width="83.5703125" style="29" bestFit="1" customWidth="1"/>
    <col min="6913" max="6913" width="51.7109375" style="29" customWidth="1"/>
    <col min="6914" max="7165" width="9.140625" style="29"/>
    <col min="7166" max="7166" width="1.42578125" style="29" customWidth="1"/>
    <col min="7167" max="7167" width="31.28515625" style="29" customWidth="1"/>
    <col min="7168" max="7168" width="83.5703125" style="29" bestFit="1" customWidth="1"/>
    <col min="7169" max="7169" width="51.7109375" style="29" customWidth="1"/>
    <col min="7170" max="7421" width="9.140625" style="29"/>
    <col min="7422" max="7422" width="1.42578125" style="29" customWidth="1"/>
    <col min="7423" max="7423" width="31.28515625" style="29" customWidth="1"/>
    <col min="7424" max="7424" width="83.5703125" style="29" bestFit="1" customWidth="1"/>
    <col min="7425" max="7425" width="51.7109375" style="29" customWidth="1"/>
    <col min="7426" max="7677" width="9.140625" style="29"/>
    <col min="7678" max="7678" width="1.42578125" style="29" customWidth="1"/>
    <col min="7679" max="7679" width="31.28515625" style="29" customWidth="1"/>
    <col min="7680" max="7680" width="83.5703125" style="29" bestFit="1" customWidth="1"/>
    <col min="7681" max="7681" width="51.7109375" style="29" customWidth="1"/>
    <col min="7682" max="7933" width="9.140625" style="29"/>
    <col min="7934" max="7934" width="1.42578125" style="29" customWidth="1"/>
    <col min="7935" max="7935" width="31.28515625" style="29" customWidth="1"/>
    <col min="7936" max="7936" width="83.5703125" style="29" bestFit="1" customWidth="1"/>
    <col min="7937" max="7937" width="51.7109375" style="29" customWidth="1"/>
    <col min="7938" max="8189" width="9.140625" style="29"/>
    <col min="8190" max="8190" width="1.42578125" style="29" customWidth="1"/>
    <col min="8191" max="8191" width="31.28515625" style="29" customWidth="1"/>
    <col min="8192" max="8192" width="83.5703125" style="29" bestFit="1" customWidth="1"/>
    <col min="8193" max="8193" width="51.7109375" style="29" customWidth="1"/>
    <col min="8194" max="8445" width="9.140625" style="29"/>
    <col min="8446" max="8446" width="1.42578125" style="29" customWidth="1"/>
    <col min="8447" max="8447" width="31.28515625" style="29" customWidth="1"/>
    <col min="8448" max="8448" width="83.5703125" style="29" bestFit="1" customWidth="1"/>
    <col min="8449" max="8449" width="51.7109375" style="29" customWidth="1"/>
    <col min="8450" max="8701" width="9.140625" style="29"/>
    <col min="8702" max="8702" width="1.42578125" style="29" customWidth="1"/>
    <col min="8703" max="8703" width="31.28515625" style="29" customWidth="1"/>
    <col min="8704" max="8704" width="83.5703125" style="29" bestFit="1" customWidth="1"/>
    <col min="8705" max="8705" width="51.7109375" style="29" customWidth="1"/>
    <col min="8706" max="8957" width="9.140625" style="29"/>
    <col min="8958" max="8958" width="1.42578125" style="29" customWidth="1"/>
    <col min="8959" max="8959" width="31.28515625" style="29" customWidth="1"/>
    <col min="8960" max="8960" width="83.5703125" style="29" bestFit="1" customWidth="1"/>
    <col min="8961" max="8961" width="51.7109375" style="29" customWidth="1"/>
    <col min="8962" max="9213" width="9.140625" style="29"/>
    <col min="9214" max="9214" width="1.42578125" style="29" customWidth="1"/>
    <col min="9215" max="9215" width="31.28515625" style="29" customWidth="1"/>
    <col min="9216" max="9216" width="83.5703125" style="29" bestFit="1" customWidth="1"/>
    <col min="9217" max="9217" width="51.7109375" style="29" customWidth="1"/>
    <col min="9218" max="9469" width="9.140625" style="29"/>
    <col min="9470" max="9470" width="1.42578125" style="29" customWidth="1"/>
    <col min="9471" max="9471" width="31.28515625" style="29" customWidth="1"/>
    <col min="9472" max="9472" width="83.5703125" style="29" bestFit="1" customWidth="1"/>
    <col min="9473" max="9473" width="51.7109375" style="29" customWidth="1"/>
    <col min="9474" max="9725" width="9.140625" style="29"/>
    <col min="9726" max="9726" width="1.42578125" style="29" customWidth="1"/>
    <col min="9727" max="9727" width="31.28515625" style="29" customWidth="1"/>
    <col min="9728" max="9728" width="83.5703125" style="29" bestFit="1" customWidth="1"/>
    <col min="9729" max="9729" width="51.7109375" style="29" customWidth="1"/>
    <col min="9730" max="9981" width="9.140625" style="29"/>
    <col min="9982" max="9982" width="1.42578125" style="29" customWidth="1"/>
    <col min="9983" max="9983" width="31.28515625" style="29" customWidth="1"/>
    <col min="9984" max="9984" width="83.5703125" style="29" bestFit="1" customWidth="1"/>
    <col min="9985" max="9985" width="51.7109375" style="29" customWidth="1"/>
    <col min="9986" max="10237" width="9.140625" style="29"/>
    <col min="10238" max="10238" width="1.42578125" style="29" customWidth="1"/>
    <col min="10239" max="10239" width="31.28515625" style="29" customWidth="1"/>
    <col min="10240" max="10240" width="83.5703125" style="29" bestFit="1" customWidth="1"/>
    <col min="10241" max="10241" width="51.7109375" style="29" customWidth="1"/>
    <col min="10242" max="10493" width="9.140625" style="29"/>
    <col min="10494" max="10494" width="1.42578125" style="29" customWidth="1"/>
    <col min="10495" max="10495" width="31.28515625" style="29" customWidth="1"/>
    <col min="10496" max="10496" width="83.5703125" style="29" bestFit="1" customWidth="1"/>
    <col min="10497" max="10497" width="51.7109375" style="29" customWidth="1"/>
    <col min="10498" max="10749" width="9.140625" style="29"/>
    <col min="10750" max="10750" width="1.42578125" style="29" customWidth="1"/>
    <col min="10751" max="10751" width="31.28515625" style="29" customWidth="1"/>
    <col min="10752" max="10752" width="83.5703125" style="29" bestFit="1" customWidth="1"/>
    <col min="10753" max="10753" width="51.7109375" style="29" customWidth="1"/>
    <col min="10754" max="11005" width="9.140625" style="29"/>
    <col min="11006" max="11006" width="1.42578125" style="29" customWidth="1"/>
    <col min="11007" max="11007" width="31.28515625" style="29" customWidth="1"/>
    <col min="11008" max="11008" width="83.5703125" style="29" bestFit="1" customWidth="1"/>
    <col min="11009" max="11009" width="51.7109375" style="29" customWidth="1"/>
    <col min="11010" max="11261" width="9.140625" style="29"/>
    <col min="11262" max="11262" width="1.42578125" style="29" customWidth="1"/>
    <col min="11263" max="11263" width="31.28515625" style="29" customWidth="1"/>
    <col min="11264" max="11264" width="83.5703125" style="29" bestFit="1" customWidth="1"/>
    <col min="11265" max="11265" width="51.7109375" style="29" customWidth="1"/>
    <col min="11266" max="11517" width="9.140625" style="29"/>
    <col min="11518" max="11518" width="1.42578125" style="29" customWidth="1"/>
    <col min="11519" max="11519" width="31.28515625" style="29" customWidth="1"/>
    <col min="11520" max="11520" width="83.5703125" style="29" bestFit="1" customWidth="1"/>
    <col min="11521" max="11521" width="51.7109375" style="29" customWidth="1"/>
    <col min="11522" max="11773" width="9.140625" style="29"/>
    <col min="11774" max="11774" width="1.42578125" style="29" customWidth="1"/>
    <col min="11775" max="11775" width="31.28515625" style="29" customWidth="1"/>
    <col min="11776" max="11776" width="83.5703125" style="29" bestFit="1" customWidth="1"/>
    <col min="11777" max="11777" width="51.7109375" style="29" customWidth="1"/>
    <col min="11778" max="12029" width="9.140625" style="29"/>
    <col min="12030" max="12030" width="1.42578125" style="29" customWidth="1"/>
    <col min="12031" max="12031" width="31.28515625" style="29" customWidth="1"/>
    <col min="12032" max="12032" width="83.5703125" style="29" bestFit="1" customWidth="1"/>
    <col min="12033" max="12033" width="51.7109375" style="29" customWidth="1"/>
    <col min="12034" max="12285" width="9.140625" style="29"/>
    <col min="12286" max="12286" width="1.42578125" style="29" customWidth="1"/>
    <col min="12287" max="12287" width="31.28515625" style="29" customWidth="1"/>
    <col min="12288" max="12288" width="83.5703125" style="29" bestFit="1" customWidth="1"/>
    <col min="12289" max="12289" width="51.7109375" style="29" customWidth="1"/>
    <col min="12290" max="12541" width="9.140625" style="29"/>
    <col min="12542" max="12542" width="1.42578125" style="29" customWidth="1"/>
    <col min="12543" max="12543" width="31.28515625" style="29" customWidth="1"/>
    <col min="12544" max="12544" width="83.5703125" style="29" bestFit="1" customWidth="1"/>
    <col min="12545" max="12545" width="51.7109375" style="29" customWidth="1"/>
    <col min="12546" max="12797" width="9.140625" style="29"/>
    <col min="12798" max="12798" width="1.42578125" style="29" customWidth="1"/>
    <col min="12799" max="12799" width="31.28515625" style="29" customWidth="1"/>
    <col min="12800" max="12800" width="83.5703125" style="29" bestFit="1" customWidth="1"/>
    <col min="12801" max="12801" width="51.7109375" style="29" customWidth="1"/>
    <col min="12802" max="13053" width="9.140625" style="29"/>
    <col min="13054" max="13054" width="1.42578125" style="29" customWidth="1"/>
    <col min="13055" max="13055" width="31.28515625" style="29" customWidth="1"/>
    <col min="13056" max="13056" width="83.5703125" style="29" bestFit="1" customWidth="1"/>
    <col min="13057" max="13057" width="51.7109375" style="29" customWidth="1"/>
    <col min="13058" max="13309" width="9.140625" style="29"/>
    <col min="13310" max="13310" width="1.42578125" style="29" customWidth="1"/>
    <col min="13311" max="13311" width="31.28515625" style="29" customWidth="1"/>
    <col min="13312" max="13312" width="83.5703125" style="29" bestFit="1" customWidth="1"/>
    <col min="13313" max="13313" width="51.7109375" style="29" customWidth="1"/>
    <col min="13314" max="13565" width="9.140625" style="29"/>
    <col min="13566" max="13566" width="1.42578125" style="29" customWidth="1"/>
    <col min="13567" max="13567" width="31.28515625" style="29" customWidth="1"/>
    <col min="13568" max="13568" width="83.5703125" style="29" bestFit="1" customWidth="1"/>
    <col min="13569" max="13569" width="51.7109375" style="29" customWidth="1"/>
    <col min="13570" max="13821" width="9.140625" style="29"/>
    <col min="13822" max="13822" width="1.42578125" style="29" customWidth="1"/>
    <col min="13823" max="13823" width="31.28515625" style="29" customWidth="1"/>
    <col min="13824" max="13824" width="83.5703125" style="29" bestFit="1" customWidth="1"/>
    <col min="13825" max="13825" width="51.7109375" style="29" customWidth="1"/>
    <col min="13826" max="14077" width="9.140625" style="29"/>
    <col min="14078" max="14078" width="1.42578125" style="29" customWidth="1"/>
    <col min="14079" max="14079" width="31.28515625" style="29" customWidth="1"/>
    <col min="14080" max="14080" width="83.5703125" style="29" bestFit="1" customWidth="1"/>
    <col min="14081" max="14081" width="51.7109375" style="29" customWidth="1"/>
    <col min="14082" max="14333" width="9.140625" style="29"/>
    <col min="14334" max="14334" width="1.42578125" style="29" customWidth="1"/>
    <col min="14335" max="14335" width="31.28515625" style="29" customWidth="1"/>
    <col min="14336" max="14336" width="83.5703125" style="29" bestFit="1" customWidth="1"/>
    <col min="14337" max="14337" width="51.7109375" style="29" customWidth="1"/>
    <col min="14338" max="14589" width="9.140625" style="29"/>
    <col min="14590" max="14590" width="1.42578125" style="29" customWidth="1"/>
    <col min="14591" max="14591" width="31.28515625" style="29" customWidth="1"/>
    <col min="14592" max="14592" width="83.5703125" style="29" bestFit="1" customWidth="1"/>
    <col min="14593" max="14593" width="51.7109375" style="29" customWidth="1"/>
    <col min="14594" max="14845" width="9.140625" style="29"/>
    <col min="14846" max="14846" width="1.42578125" style="29" customWidth="1"/>
    <col min="14847" max="14847" width="31.28515625" style="29" customWidth="1"/>
    <col min="14848" max="14848" width="83.5703125" style="29" bestFit="1" customWidth="1"/>
    <col min="14849" max="14849" width="51.7109375" style="29" customWidth="1"/>
    <col min="14850" max="15101" width="9.140625" style="29"/>
    <col min="15102" max="15102" width="1.42578125" style="29" customWidth="1"/>
    <col min="15103" max="15103" width="31.28515625" style="29" customWidth="1"/>
    <col min="15104" max="15104" width="83.5703125" style="29" bestFit="1" customWidth="1"/>
    <col min="15105" max="15105" width="51.7109375" style="29" customWidth="1"/>
    <col min="15106" max="15357" width="9.140625" style="29"/>
    <col min="15358" max="15358" width="1.42578125" style="29" customWidth="1"/>
    <col min="15359" max="15359" width="31.28515625" style="29" customWidth="1"/>
    <col min="15360" max="15360" width="83.5703125" style="29" bestFit="1" customWidth="1"/>
    <col min="15361" max="15361" width="51.7109375" style="29" customWidth="1"/>
    <col min="15362" max="15613" width="9.140625" style="29"/>
    <col min="15614" max="15614" width="1.42578125" style="29" customWidth="1"/>
    <col min="15615" max="15615" width="31.28515625" style="29" customWidth="1"/>
    <col min="15616" max="15616" width="83.5703125" style="29" bestFit="1" customWidth="1"/>
    <col min="15617" max="15617" width="51.7109375" style="29" customWidth="1"/>
    <col min="15618" max="15869" width="9.140625" style="29"/>
    <col min="15870" max="15870" width="1.42578125" style="29" customWidth="1"/>
    <col min="15871" max="15871" width="31.28515625" style="29" customWidth="1"/>
    <col min="15872" max="15872" width="83.5703125" style="29" bestFit="1" customWidth="1"/>
    <col min="15873" max="15873" width="51.7109375" style="29" customWidth="1"/>
    <col min="15874" max="16125" width="9.140625" style="29"/>
    <col min="16126" max="16126" width="1.42578125" style="29" customWidth="1"/>
    <col min="16127" max="16127" width="31.28515625" style="29" customWidth="1"/>
    <col min="16128" max="16128" width="83.5703125" style="29" bestFit="1" customWidth="1"/>
    <col min="16129" max="16129" width="51.7109375" style="29" customWidth="1"/>
    <col min="16130" max="16384" width="9.140625" style="29"/>
  </cols>
  <sheetData>
    <row r="1" spans="1:14" ht="60" customHeight="1" x14ac:dyDescent="0.25">
      <c r="A1" s="115"/>
      <c r="B1" s="115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</row>
    <row r="2" spans="1:14" ht="60" customHeight="1" x14ac:dyDescent="0.25">
      <c r="A2" s="119" t="s">
        <v>83</v>
      </c>
      <c r="B2" s="119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</row>
    <row r="3" spans="1:14" ht="15" customHeight="1" x14ac:dyDescent="0.25">
      <c r="A3" s="119"/>
      <c r="B3" s="119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</row>
    <row r="4" spans="1:14" ht="15" customHeight="1" x14ac:dyDescent="0.25">
      <c r="A4" s="35" t="s">
        <v>0</v>
      </c>
      <c r="B4" s="54" t="s">
        <v>89</v>
      </c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</row>
    <row r="5" spans="1:14" ht="15" customHeight="1" x14ac:dyDescent="0.25">
      <c r="A5" s="35" t="s">
        <v>1</v>
      </c>
      <c r="B5" s="54" t="s">
        <v>90</v>
      </c>
      <c r="C5" s="118"/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</row>
    <row r="6" spans="1:14" ht="15" customHeight="1" x14ac:dyDescent="0.25">
      <c r="A6" s="35" t="s">
        <v>2</v>
      </c>
      <c r="B6" s="36" t="s">
        <v>84</v>
      </c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</row>
    <row r="7" spans="1:14" ht="15" customHeight="1" x14ac:dyDescent="0.25">
      <c r="A7" s="35" t="s">
        <v>3</v>
      </c>
      <c r="B7" s="37">
        <v>46052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</row>
    <row r="8" spans="1:14" ht="15" customHeight="1" x14ac:dyDescent="0.25">
      <c r="A8" s="35" t="s">
        <v>4</v>
      </c>
      <c r="B8" s="36" t="s">
        <v>91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</row>
    <row r="9" spans="1:14" ht="15" customHeight="1" x14ac:dyDescent="0.25">
      <c r="A9" s="35" t="s">
        <v>5</v>
      </c>
      <c r="B9" s="36" t="s">
        <v>76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</row>
    <row r="10" spans="1:14" ht="90" customHeight="1" x14ac:dyDescent="0.25">
      <c r="A10" s="114" t="s">
        <v>6</v>
      </c>
      <c r="B10" s="114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</row>
    <row r="11" spans="1:14" ht="120" customHeight="1" x14ac:dyDescent="0.25">
      <c r="A11" s="116" t="s">
        <v>85</v>
      </c>
      <c r="B11" s="117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</row>
    <row r="12" spans="1:14" ht="120.75" customHeight="1" x14ac:dyDescent="0.25">
      <c r="A12" s="115"/>
      <c r="B12" s="115"/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</row>
    <row r="61" ht="15" x14ac:dyDescent="0.25"/>
  </sheetData>
  <mergeCells count="6">
    <mergeCell ref="A10:B10"/>
    <mergeCell ref="A1:B1"/>
    <mergeCell ref="A11:B11"/>
    <mergeCell ref="C1:N12"/>
    <mergeCell ref="A12:B12"/>
    <mergeCell ref="A2:B3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11"/>
  <sheetViews>
    <sheetView zoomScaleNormal="100" workbookViewId="0">
      <selection sqref="A1:XFD1048576"/>
    </sheetView>
  </sheetViews>
  <sheetFormatPr defaultColWidth="9.140625" defaultRowHeight="15" x14ac:dyDescent="0.25"/>
  <cols>
    <col min="1" max="1" width="12.7109375" style="56" customWidth="1"/>
    <col min="2" max="3" width="20.7109375" style="56" customWidth="1"/>
    <col min="4" max="4" width="10.7109375" style="56" customWidth="1"/>
    <col min="5" max="5" width="30.7109375" style="56" customWidth="1"/>
    <col min="6" max="6" width="10.7109375" style="56" customWidth="1"/>
    <col min="7" max="7" width="45.7109375" style="56" customWidth="1"/>
    <col min="8" max="8" width="11.7109375" style="56" customWidth="1"/>
    <col min="9" max="9" width="16.7109375" style="56" customWidth="1"/>
    <col min="10" max="10" width="5.7109375" style="56" customWidth="1"/>
    <col min="11" max="11" width="11.28515625" style="56" bestFit="1" customWidth="1"/>
    <col min="12" max="12" width="9.7109375" style="56" bestFit="1" customWidth="1"/>
    <col min="13" max="16384" width="9.140625" style="56"/>
  </cols>
  <sheetData>
    <row r="1" spans="1:11" ht="30" customHeight="1" thickBot="1" x14ac:dyDescent="0.3">
      <c r="A1" s="121" t="s">
        <v>4</v>
      </c>
      <c r="B1" s="121"/>
      <c r="C1" s="120" t="str">
        <f>Copertina!B8</f>
        <v>MEV 2026_1 Scheda Intervento Evolutive di SIES v1.0</v>
      </c>
      <c r="D1" s="120"/>
      <c r="E1" s="120"/>
      <c r="F1" s="120"/>
      <c r="G1" s="120"/>
      <c r="H1" s="120"/>
      <c r="I1" s="120"/>
      <c r="J1" s="120"/>
    </row>
    <row r="2" spans="1:11" ht="30" customHeight="1" thickBot="1" x14ac:dyDescent="0.3">
      <c r="A2" s="121" t="s">
        <v>11</v>
      </c>
      <c r="B2" s="121"/>
      <c r="C2" s="120" t="str">
        <f>Copertina!B4</f>
        <v>B6437AAAEB-2026-1_Allegato_al_Piano_dei_Test_Evolutive_di_SIES_v1.0.xlsx</v>
      </c>
      <c r="D2" s="120"/>
      <c r="E2" s="120"/>
      <c r="F2" s="120"/>
      <c r="G2" s="120"/>
      <c r="H2" s="120"/>
      <c r="I2" s="120"/>
      <c r="J2" s="120"/>
    </row>
    <row r="3" spans="1:11" ht="30" customHeight="1" thickBot="1" x14ac:dyDescent="0.3">
      <c r="A3" s="108" t="s">
        <v>7</v>
      </c>
      <c r="B3" s="108" t="s">
        <v>80</v>
      </c>
      <c r="C3" s="109" t="s">
        <v>30</v>
      </c>
      <c r="D3" s="109" t="s">
        <v>81</v>
      </c>
      <c r="E3" s="109" t="s">
        <v>82</v>
      </c>
      <c r="F3" s="110" t="s">
        <v>8</v>
      </c>
      <c r="G3" s="111" t="s">
        <v>28</v>
      </c>
      <c r="H3" s="112" t="s">
        <v>9</v>
      </c>
      <c r="I3" s="113" t="s">
        <v>79</v>
      </c>
      <c r="J3" s="110" t="s">
        <v>10</v>
      </c>
    </row>
    <row r="4" spans="1:11" s="29" customFormat="1" ht="45" x14ac:dyDescent="0.25">
      <c r="A4" s="49" t="s">
        <v>86</v>
      </c>
      <c r="B4" s="59" t="s">
        <v>92</v>
      </c>
      <c r="C4" s="59" t="s">
        <v>92</v>
      </c>
      <c r="D4" s="50" t="s">
        <v>75</v>
      </c>
      <c r="E4" s="96" t="s">
        <v>94</v>
      </c>
      <c r="F4" s="50" t="str">
        <f t="shared" ref="F4" si="0">CONCATENATE("TF0",MID(B4,LEN(B4)-1,2),".",D4)</f>
        <v>TF001.UC01</v>
      </c>
      <c r="G4" s="51" t="s">
        <v>95</v>
      </c>
      <c r="H4" s="50">
        <v>3</v>
      </c>
      <c r="I4" s="50" t="s">
        <v>25</v>
      </c>
      <c r="J4" s="52"/>
      <c r="K4" s="57"/>
    </row>
    <row r="5" spans="1:11" ht="75" customHeight="1" x14ac:dyDescent="0.25">
      <c r="A5" s="97" t="s">
        <v>86</v>
      </c>
      <c r="B5" s="98" t="s">
        <v>92</v>
      </c>
      <c r="C5" s="98" t="s">
        <v>92</v>
      </c>
      <c r="D5" s="99" t="s">
        <v>103</v>
      </c>
      <c r="E5" s="100" t="s">
        <v>94</v>
      </c>
      <c r="F5" s="99" t="str">
        <f t="shared" ref="F5" si="1">CONCATENATE("TF0",MID(B5,LEN(B5)-1,2),".",D5)</f>
        <v>TF001.UC02</v>
      </c>
      <c r="G5" s="101" t="s">
        <v>104</v>
      </c>
      <c r="H5" s="99">
        <v>3</v>
      </c>
      <c r="I5" s="99" t="s">
        <v>25</v>
      </c>
      <c r="J5" s="102"/>
      <c r="K5" s="55"/>
    </row>
    <row r="6" spans="1:11" ht="75" customHeight="1" x14ac:dyDescent="0.25">
      <c r="A6" s="97" t="s">
        <v>86</v>
      </c>
      <c r="B6" s="98" t="s">
        <v>92</v>
      </c>
      <c r="C6" s="98" t="s">
        <v>92</v>
      </c>
      <c r="D6" s="99" t="s">
        <v>111</v>
      </c>
      <c r="E6" s="100" t="s">
        <v>94</v>
      </c>
      <c r="F6" s="99" t="str">
        <f t="shared" ref="F6" si="2">CONCATENATE("TF0",MID(B6,LEN(B6)-1,2),".",D6)</f>
        <v>TF001.UC03</v>
      </c>
      <c r="G6" s="101" t="s">
        <v>110</v>
      </c>
      <c r="H6" s="99">
        <v>3</v>
      </c>
      <c r="I6" s="99" t="s">
        <v>25</v>
      </c>
      <c r="J6" s="102"/>
      <c r="K6" s="55"/>
    </row>
    <row r="7" spans="1:11" ht="75" customHeight="1" x14ac:dyDescent="0.25">
      <c r="A7" s="97" t="s">
        <v>86</v>
      </c>
      <c r="B7" s="98" t="s">
        <v>92</v>
      </c>
      <c r="C7" s="98" t="s">
        <v>92</v>
      </c>
      <c r="D7" s="99" t="s">
        <v>119</v>
      </c>
      <c r="E7" s="100" t="s">
        <v>94</v>
      </c>
      <c r="F7" s="99" t="str">
        <f t="shared" ref="F7" si="3">CONCATENATE("TF0",MID(B7,LEN(B7)-1,2),".",D7)</f>
        <v>TF001.UC04</v>
      </c>
      <c r="G7" s="101" t="s">
        <v>120</v>
      </c>
      <c r="H7" s="99">
        <v>3</v>
      </c>
      <c r="I7" s="99" t="s">
        <v>25</v>
      </c>
      <c r="J7" s="102"/>
      <c r="K7" s="55"/>
    </row>
    <row r="8" spans="1:11" ht="75" customHeight="1" x14ac:dyDescent="0.25">
      <c r="A8" s="97" t="s">
        <v>86</v>
      </c>
      <c r="B8" s="98" t="s">
        <v>129</v>
      </c>
      <c r="C8" s="98" t="s">
        <v>129</v>
      </c>
      <c r="D8" s="99" t="s">
        <v>75</v>
      </c>
      <c r="E8" s="100" t="s">
        <v>127</v>
      </c>
      <c r="F8" s="99" t="str">
        <f t="shared" ref="F8" si="4">CONCATENATE("TF0",MID(B8,LEN(B8)-1,2),".",D8)</f>
        <v>TF002.UC01</v>
      </c>
      <c r="G8" s="101" t="s">
        <v>128</v>
      </c>
      <c r="H8" s="99">
        <v>3</v>
      </c>
      <c r="I8" s="99" t="s">
        <v>25</v>
      </c>
      <c r="J8" s="102"/>
      <c r="K8" s="55"/>
    </row>
    <row r="9" spans="1:11" ht="75" customHeight="1" x14ac:dyDescent="0.25">
      <c r="A9" s="97" t="s">
        <v>144</v>
      </c>
      <c r="B9" s="98" t="s">
        <v>145</v>
      </c>
      <c r="C9" s="98" t="s">
        <v>145</v>
      </c>
      <c r="D9" s="99" t="s">
        <v>75</v>
      </c>
      <c r="E9" s="100" t="s">
        <v>146</v>
      </c>
      <c r="F9" s="99" t="str">
        <f t="shared" ref="F9" si="5">CONCATENATE("TF0",MID(B9,LEN(B9)-1,2),".",D9)</f>
        <v>TF003.UC01</v>
      </c>
      <c r="G9" s="101" t="s">
        <v>155</v>
      </c>
      <c r="H9" s="99">
        <v>3</v>
      </c>
      <c r="I9" s="99" t="s">
        <v>25</v>
      </c>
      <c r="J9" s="102"/>
      <c r="K9" s="55"/>
    </row>
    <row r="10" spans="1:11" ht="75" customHeight="1" x14ac:dyDescent="0.25">
      <c r="A10" s="97" t="s">
        <v>144</v>
      </c>
      <c r="B10" s="98" t="s">
        <v>145</v>
      </c>
      <c r="C10" s="98" t="s">
        <v>145</v>
      </c>
      <c r="D10" s="99" t="s">
        <v>103</v>
      </c>
      <c r="E10" s="100" t="s">
        <v>146</v>
      </c>
      <c r="F10" s="99" t="str">
        <f t="shared" ref="F10:F11" si="6">CONCATENATE("TF0",MID(B10,LEN(B10)-1,2),".",D10)</f>
        <v>TF003.UC02</v>
      </c>
      <c r="G10" s="101" t="s">
        <v>156</v>
      </c>
      <c r="H10" s="99">
        <v>3</v>
      </c>
      <c r="I10" s="99" t="s">
        <v>25</v>
      </c>
      <c r="J10" s="102"/>
      <c r="K10" s="55"/>
    </row>
    <row r="11" spans="1:11" ht="75" customHeight="1" thickBot="1" x14ac:dyDescent="0.3">
      <c r="A11" s="103" t="s">
        <v>144</v>
      </c>
      <c r="B11" s="104" t="s">
        <v>159</v>
      </c>
      <c r="C11" s="104" t="s">
        <v>159</v>
      </c>
      <c r="D11" s="105" t="s">
        <v>75</v>
      </c>
      <c r="E11" s="106" t="s">
        <v>160</v>
      </c>
      <c r="F11" s="105" t="str">
        <f t="shared" si="6"/>
        <v>TF004.UC01</v>
      </c>
      <c r="G11" s="106" t="s">
        <v>160</v>
      </c>
      <c r="H11" s="105">
        <v>3</v>
      </c>
      <c r="I11" s="105" t="s">
        <v>25</v>
      </c>
      <c r="J11" s="107"/>
      <c r="K11" s="55"/>
    </row>
  </sheetData>
  <mergeCells count="4">
    <mergeCell ref="C1:J1"/>
    <mergeCell ref="C2:J2"/>
    <mergeCell ref="A1:B1"/>
    <mergeCell ref="A2:B2"/>
  </mergeCells>
  <phoneticPr fontId="20" type="noConversion"/>
  <pageMargins left="0.7" right="0.7" top="0.75" bottom="0.75" header="0.3" footer="0.3"/>
  <pageSetup paperSize="9" scale="76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0"/>
  <sheetViews>
    <sheetView zoomScaleNormal="100" workbookViewId="0">
      <selection sqref="A1:XFD1048576"/>
    </sheetView>
  </sheetViews>
  <sheetFormatPr defaultColWidth="5.7109375" defaultRowHeight="15" x14ac:dyDescent="0.25"/>
  <cols>
    <col min="1" max="1" width="20.7109375" style="56" customWidth="1"/>
    <col min="2" max="2" width="10.7109375" style="56" customWidth="1"/>
    <col min="3" max="3" width="20.7109375" style="56" customWidth="1"/>
    <col min="4" max="4" width="50.7109375" style="56" customWidth="1"/>
    <col min="5" max="5" width="30.7109375" style="56" customWidth="1"/>
    <col min="6" max="6" width="45.7109375" style="56" customWidth="1"/>
    <col min="7" max="7" width="5.7109375" style="56" customWidth="1"/>
    <col min="8" max="16384" width="5.7109375" style="56"/>
  </cols>
  <sheetData>
    <row r="1" spans="1:7" ht="30" customHeight="1" thickBot="1" x14ac:dyDescent="0.35">
      <c r="A1" s="121" t="s">
        <v>4</v>
      </c>
      <c r="B1" s="137"/>
      <c r="C1" s="132"/>
      <c r="D1" s="120" t="str">
        <f>Copertina!B8</f>
        <v>MEV 2026_1 Scheda Intervento Evolutive di SIES v1.0</v>
      </c>
      <c r="E1" s="120"/>
      <c r="F1" s="120"/>
      <c r="G1" s="120"/>
    </row>
    <row r="2" spans="1:7" ht="30" customHeight="1" thickBot="1" x14ac:dyDescent="0.35">
      <c r="A2" s="121" t="s">
        <v>11</v>
      </c>
      <c r="B2" s="138"/>
      <c r="C2" s="139"/>
      <c r="D2" s="120" t="str">
        <f>Copertina!B4</f>
        <v>B6437AAAEB-2026-1_Allegato_al_Piano_dei_Test_Evolutive_di_SIES_v1.0.xlsx</v>
      </c>
      <c r="E2" s="120"/>
      <c r="F2" s="120"/>
      <c r="G2" s="120"/>
    </row>
    <row r="3" spans="1:7" ht="30" customHeight="1" thickBot="1" x14ac:dyDescent="0.35">
      <c r="A3" s="48" t="s">
        <v>12</v>
      </c>
      <c r="B3" s="140" t="s">
        <v>27</v>
      </c>
      <c r="C3" s="140"/>
      <c r="D3" s="140" t="s">
        <v>29</v>
      </c>
      <c r="E3" s="140"/>
      <c r="F3" s="140" t="s">
        <v>28</v>
      </c>
      <c r="G3" s="140"/>
    </row>
    <row r="4" spans="1:7" ht="42.6" customHeight="1" thickBot="1" x14ac:dyDescent="0.3">
      <c r="A4" s="74" t="str">
        <f>TabellaTest!F4</f>
        <v>TF001.UC01</v>
      </c>
      <c r="B4" s="130" t="str">
        <f>TabellaTest!C4</f>
        <v>PAR. 2.1-048-01</v>
      </c>
      <c r="C4" s="131"/>
      <c r="D4" s="131" t="str">
        <f>TabellaTest!E4</f>
        <v>Visualizzazione Data Fine Pena Virtuale su Dettaglio Procedimento</v>
      </c>
      <c r="E4" s="132"/>
      <c r="F4" s="131" t="str">
        <f>TabellaTest!G4</f>
        <v>Verifica: Verificare nel sottosistema SIEP la funzione Storico Calcoli Validati su Calcolo Pena DL 92/2024 in caso di assenza storico</v>
      </c>
      <c r="G4" s="132"/>
    </row>
    <row r="5" spans="1:7" ht="30" customHeight="1" x14ac:dyDescent="0.25">
      <c r="A5" s="133"/>
      <c r="B5" s="58" t="s">
        <v>31</v>
      </c>
      <c r="C5" s="38" t="s">
        <v>32</v>
      </c>
      <c r="D5" s="30" t="s">
        <v>33</v>
      </c>
      <c r="E5" s="30" t="s">
        <v>34</v>
      </c>
      <c r="F5" s="30" t="s">
        <v>35</v>
      </c>
      <c r="G5" s="31" t="s">
        <v>10</v>
      </c>
    </row>
    <row r="6" spans="1:7" s="29" customFormat="1" ht="30" customHeight="1" x14ac:dyDescent="0.25">
      <c r="A6" s="134"/>
      <c r="B6" s="76" t="s">
        <v>36</v>
      </c>
      <c r="C6" s="39" t="s">
        <v>37</v>
      </c>
      <c r="D6" s="40" t="s">
        <v>87</v>
      </c>
      <c r="E6" s="40" t="s">
        <v>88</v>
      </c>
      <c r="F6" s="40"/>
      <c r="G6" s="41"/>
    </row>
    <row r="7" spans="1:7" s="29" customFormat="1" ht="30" x14ac:dyDescent="0.25">
      <c r="A7" s="134"/>
      <c r="B7" s="76" t="s">
        <v>36</v>
      </c>
      <c r="C7" s="39" t="s">
        <v>38</v>
      </c>
      <c r="D7" s="40" t="s">
        <v>96</v>
      </c>
      <c r="E7" s="40"/>
      <c r="F7" s="73" t="s">
        <v>93</v>
      </c>
      <c r="G7" s="41"/>
    </row>
    <row r="8" spans="1:7" s="29" customFormat="1" ht="30" x14ac:dyDescent="0.25">
      <c r="A8" s="134"/>
      <c r="B8" s="77">
        <v>1</v>
      </c>
      <c r="C8" s="42" t="s">
        <v>39</v>
      </c>
      <c r="D8" s="43" t="s">
        <v>97</v>
      </c>
      <c r="E8" s="44"/>
      <c r="F8" s="40" t="s">
        <v>98</v>
      </c>
      <c r="G8" s="41"/>
    </row>
    <row r="9" spans="1:7" s="29" customFormat="1" ht="30" x14ac:dyDescent="0.25">
      <c r="A9" s="134"/>
      <c r="B9" s="78" t="s">
        <v>77</v>
      </c>
      <c r="C9" s="72" t="s">
        <v>78</v>
      </c>
      <c r="D9" s="40" t="s">
        <v>99</v>
      </c>
      <c r="E9" s="73"/>
      <c r="F9" s="40"/>
      <c r="G9" s="41"/>
    </row>
    <row r="10" spans="1:7" s="29" customFormat="1" ht="30" x14ac:dyDescent="0.25">
      <c r="A10" s="134"/>
      <c r="B10" s="79">
        <v>2</v>
      </c>
      <c r="C10" s="45" t="s">
        <v>40</v>
      </c>
      <c r="D10" s="40" t="s">
        <v>100</v>
      </c>
      <c r="E10" s="73"/>
      <c r="F10" s="40" t="s">
        <v>101</v>
      </c>
      <c r="G10" s="41"/>
    </row>
    <row r="11" spans="1:7" s="29" customFormat="1" ht="45.75" thickBot="1" x14ac:dyDescent="0.3">
      <c r="A11" s="134"/>
      <c r="B11" s="80" t="s">
        <v>77</v>
      </c>
      <c r="C11" s="81" t="s">
        <v>78</v>
      </c>
      <c r="D11" s="75" t="s">
        <v>102</v>
      </c>
      <c r="E11" s="47"/>
      <c r="F11" s="75"/>
      <c r="G11" s="46"/>
    </row>
    <row r="12" spans="1:7" ht="42.6" customHeight="1" thickBot="1" x14ac:dyDescent="0.3">
      <c r="A12" s="53" t="str">
        <f>TabellaTest!F5</f>
        <v>TF001.UC02</v>
      </c>
      <c r="B12" s="130" t="str">
        <f>TabellaTest!C5</f>
        <v>PAR. 2.1-048-01</v>
      </c>
      <c r="C12" s="131"/>
      <c r="D12" s="131" t="str">
        <f>TabellaTest!E5</f>
        <v>Visualizzazione Data Fine Pena Virtuale su Dettaglio Procedimento</v>
      </c>
      <c r="E12" s="132"/>
      <c r="F12" s="131" t="str">
        <f>TabellaTest!G5</f>
        <v xml:space="preserve">Verifica: Verificare nel sottosistema SIEP la funzione Valida su Calcolo Pena DL 92/2024 </v>
      </c>
      <c r="G12" s="132"/>
    </row>
    <row r="13" spans="1:7" ht="30" customHeight="1" x14ac:dyDescent="0.25">
      <c r="A13" s="133"/>
      <c r="B13" s="58" t="s">
        <v>31</v>
      </c>
      <c r="C13" s="38" t="s">
        <v>32</v>
      </c>
      <c r="D13" s="30" t="s">
        <v>33</v>
      </c>
      <c r="E13" s="30" t="s">
        <v>34</v>
      </c>
      <c r="F13" s="30" t="s">
        <v>35</v>
      </c>
      <c r="G13" s="31" t="s">
        <v>10</v>
      </c>
    </row>
    <row r="14" spans="1:7" s="29" customFormat="1" ht="30" customHeight="1" x14ac:dyDescent="0.25">
      <c r="A14" s="134"/>
      <c r="B14" s="60" t="s">
        <v>36</v>
      </c>
      <c r="C14" s="39" t="s">
        <v>37</v>
      </c>
      <c r="D14" s="40" t="s">
        <v>87</v>
      </c>
      <c r="E14" s="40" t="s">
        <v>88</v>
      </c>
      <c r="F14" s="40"/>
      <c r="G14" s="41"/>
    </row>
    <row r="15" spans="1:7" s="29" customFormat="1" ht="30" x14ac:dyDescent="0.25">
      <c r="A15" s="134"/>
      <c r="B15" s="60" t="s">
        <v>36</v>
      </c>
      <c r="C15" s="39" t="s">
        <v>38</v>
      </c>
      <c r="D15" s="40" t="s">
        <v>105</v>
      </c>
      <c r="E15" s="40"/>
      <c r="F15" s="73" t="s">
        <v>93</v>
      </c>
      <c r="G15" s="41"/>
    </row>
    <row r="16" spans="1:7" s="29" customFormat="1" ht="30" x14ac:dyDescent="0.25">
      <c r="A16" s="134"/>
      <c r="B16" s="61">
        <v>1</v>
      </c>
      <c r="C16" s="42" t="s">
        <v>39</v>
      </c>
      <c r="D16" s="43" t="s">
        <v>97</v>
      </c>
      <c r="E16" s="44"/>
      <c r="F16" s="40" t="s">
        <v>98</v>
      </c>
      <c r="G16" s="41"/>
    </row>
    <row r="17" spans="1:7" s="29" customFormat="1" ht="45" x14ac:dyDescent="0.25">
      <c r="A17" s="134"/>
      <c r="B17" s="62">
        <v>2</v>
      </c>
      <c r="C17" s="45" t="s">
        <v>40</v>
      </c>
      <c r="D17" s="40" t="s">
        <v>106</v>
      </c>
      <c r="E17" s="73"/>
      <c r="F17" s="40" t="s">
        <v>113</v>
      </c>
      <c r="G17" s="41"/>
    </row>
    <row r="18" spans="1:7" s="29" customFormat="1" ht="45" customHeight="1" x14ac:dyDescent="0.25">
      <c r="A18" s="134"/>
      <c r="B18" s="63">
        <v>3</v>
      </c>
      <c r="C18" s="45" t="s">
        <v>40</v>
      </c>
      <c r="D18" s="40" t="s">
        <v>107</v>
      </c>
      <c r="E18" s="44"/>
      <c r="F18" s="40" t="s">
        <v>108</v>
      </c>
      <c r="G18" s="41"/>
    </row>
    <row r="19" spans="1:7" s="29" customFormat="1" ht="45" customHeight="1" x14ac:dyDescent="0.25">
      <c r="A19" s="134"/>
      <c r="B19" s="63">
        <v>4</v>
      </c>
      <c r="C19" s="45" t="s">
        <v>40</v>
      </c>
      <c r="D19" s="40" t="s">
        <v>109</v>
      </c>
      <c r="E19" s="44"/>
      <c r="F19" s="40" t="s">
        <v>140</v>
      </c>
      <c r="G19" s="41"/>
    </row>
    <row r="20" spans="1:7" s="29" customFormat="1" ht="45.75" thickBot="1" x14ac:dyDescent="0.3">
      <c r="A20" s="134"/>
      <c r="B20" s="64" t="s">
        <v>77</v>
      </c>
      <c r="C20" s="65" t="s">
        <v>78</v>
      </c>
      <c r="D20" s="66" t="s">
        <v>141</v>
      </c>
      <c r="E20" s="67"/>
      <c r="F20" s="66"/>
      <c r="G20" s="68"/>
    </row>
    <row r="21" spans="1:7" ht="42.6" customHeight="1" thickBot="1" x14ac:dyDescent="0.3">
      <c r="A21" s="53" t="str">
        <f>TabellaTest!F6</f>
        <v>TF001.UC03</v>
      </c>
      <c r="B21" s="130" t="str">
        <f>TabellaTest!F6</f>
        <v>TF001.UC03</v>
      </c>
      <c r="C21" s="131"/>
      <c r="D21" s="131" t="str">
        <f>TabellaTest!E6</f>
        <v>Visualizzazione Data Fine Pena Virtuale su Dettaglio Procedimento</v>
      </c>
      <c r="E21" s="132"/>
      <c r="F21" s="131" t="str">
        <f>TabellaTest!G6</f>
        <v xml:space="preserve">Verifica: Verificare nel sottosistema SIEP la funzione Storico Calcoli Validati su Calcolo Pena DL 92/2024 </v>
      </c>
      <c r="G21" s="132"/>
    </row>
    <row r="22" spans="1:7" ht="30" customHeight="1" x14ac:dyDescent="0.25">
      <c r="A22" s="133"/>
      <c r="B22" s="58" t="s">
        <v>31</v>
      </c>
      <c r="C22" s="38" t="s">
        <v>32</v>
      </c>
      <c r="D22" s="30" t="s">
        <v>33</v>
      </c>
      <c r="E22" s="30" t="s">
        <v>34</v>
      </c>
      <c r="F22" s="30" t="s">
        <v>35</v>
      </c>
      <c r="G22" s="31" t="s">
        <v>10</v>
      </c>
    </row>
    <row r="23" spans="1:7" s="29" customFormat="1" ht="45" x14ac:dyDescent="0.25">
      <c r="A23" s="134"/>
      <c r="B23" s="76" t="s">
        <v>36</v>
      </c>
      <c r="C23" s="39" t="s">
        <v>38</v>
      </c>
      <c r="D23" s="40" t="s">
        <v>142</v>
      </c>
      <c r="E23" s="40"/>
      <c r="F23" s="73"/>
      <c r="G23" s="41"/>
    </row>
    <row r="24" spans="1:7" s="29" customFormat="1" ht="30" x14ac:dyDescent="0.25">
      <c r="A24" s="134"/>
      <c r="B24" s="79">
        <v>1</v>
      </c>
      <c r="C24" s="45" t="s">
        <v>40</v>
      </c>
      <c r="D24" s="40" t="s">
        <v>112</v>
      </c>
      <c r="E24" s="73"/>
      <c r="F24" s="40" t="s">
        <v>101</v>
      </c>
      <c r="G24" s="41"/>
    </row>
    <row r="25" spans="1:7" s="29" customFormat="1" ht="30" x14ac:dyDescent="0.25">
      <c r="A25" s="134"/>
      <c r="B25" s="78" t="s">
        <v>77</v>
      </c>
      <c r="C25" s="72" t="s">
        <v>78</v>
      </c>
      <c r="D25" s="40" t="s">
        <v>114</v>
      </c>
      <c r="E25" s="73"/>
      <c r="F25" s="40"/>
      <c r="G25" s="41"/>
    </row>
    <row r="26" spans="1:7" s="29" customFormat="1" ht="45" customHeight="1" x14ac:dyDescent="0.25">
      <c r="A26" s="134"/>
      <c r="B26" s="82">
        <v>3</v>
      </c>
      <c r="C26" s="45" t="s">
        <v>40</v>
      </c>
      <c r="D26" s="40" t="s">
        <v>115</v>
      </c>
      <c r="E26" s="44"/>
      <c r="F26" s="40" t="s">
        <v>116</v>
      </c>
      <c r="G26" s="41"/>
    </row>
    <row r="27" spans="1:7" s="29" customFormat="1" ht="30" x14ac:dyDescent="0.25">
      <c r="A27" s="134"/>
      <c r="B27" s="78" t="s">
        <v>77</v>
      </c>
      <c r="C27" s="72" t="s">
        <v>78</v>
      </c>
      <c r="D27" s="40" t="s">
        <v>117</v>
      </c>
      <c r="E27" s="73"/>
      <c r="F27" s="40"/>
      <c r="G27" s="41"/>
    </row>
    <row r="28" spans="1:7" s="29" customFormat="1" ht="45" customHeight="1" thickBot="1" x14ac:dyDescent="0.3">
      <c r="A28" s="134"/>
      <c r="B28" s="83">
        <v>4</v>
      </c>
      <c r="C28" s="84" t="s">
        <v>40</v>
      </c>
      <c r="D28" s="75" t="s">
        <v>118</v>
      </c>
      <c r="E28" s="85"/>
      <c r="F28" s="75" t="s">
        <v>116</v>
      </c>
      <c r="G28" s="46"/>
    </row>
    <row r="29" spans="1:7" ht="42.6" customHeight="1" thickBot="1" x14ac:dyDescent="0.3">
      <c r="A29" s="53" t="str">
        <f>TabellaTest!F7</f>
        <v>TF001.UC04</v>
      </c>
      <c r="B29" s="130" t="str">
        <f>TabellaTest!F7</f>
        <v>TF001.UC04</v>
      </c>
      <c r="C29" s="131"/>
      <c r="D29" s="131" t="str">
        <f>TabellaTest!E7</f>
        <v>Visualizzazione Data Fine Pena Virtuale su Dettaglio Procedimento</v>
      </c>
      <c r="E29" s="132"/>
      <c r="F29" s="131" t="str">
        <f>TabellaTest!G7</f>
        <v>Verifica: Verificare nel sottosistema SIEP la funzione Dettaglio Procedimento</v>
      </c>
      <c r="G29" s="132"/>
    </row>
    <row r="30" spans="1:7" ht="30" customHeight="1" x14ac:dyDescent="0.25">
      <c r="A30" s="133"/>
      <c r="B30" s="58" t="s">
        <v>31</v>
      </c>
      <c r="C30" s="38" t="s">
        <v>32</v>
      </c>
      <c r="D30" s="30" t="s">
        <v>33</v>
      </c>
      <c r="E30" s="30" t="s">
        <v>34</v>
      </c>
      <c r="F30" s="30" t="s">
        <v>35</v>
      </c>
      <c r="G30" s="31" t="s">
        <v>10</v>
      </c>
    </row>
    <row r="31" spans="1:7" s="29" customFormat="1" ht="30" customHeight="1" x14ac:dyDescent="0.25">
      <c r="A31" s="134"/>
      <c r="B31" s="76" t="s">
        <v>36</v>
      </c>
      <c r="C31" s="39" t="s">
        <v>37</v>
      </c>
      <c r="D31" s="40" t="s">
        <v>87</v>
      </c>
      <c r="E31" s="40" t="s">
        <v>88</v>
      </c>
      <c r="F31" s="40"/>
      <c r="G31" s="41"/>
    </row>
    <row r="32" spans="1:7" s="29" customFormat="1" ht="45" x14ac:dyDescent="0.25">
      <c r="A32" s="134"/>
      <c r="B32" s="76" t="s">
        <v>36</v>
      </c>
      <c r="C32" s="39" t="s">
        <v>38</v>
      </c>
      <c r="D32" s="40" t="s">
        <v>121</v>
      </c>
      <c r="E32" s="40"/>
      <c r="F32" s="40" t="s">
        <v>98</v>
      </c>
      <c r="G32" s="41"/>
    </row>
    <row r="33" spans="1:7" s="29" customFormat="1" ht="30" x14ac:dyDescent="0.25">
      <c r="A33" s="134"/>
      <c r="B33" s="79">
        <v>1</v>
      </c>
      <c r="C33" s="45" t="s">
        <v>40</v>
      </c>
      <c r="D33" s="40" t="s">
        <v>122</v>
      </c>
      <c r="E33" s="73"/>
      <c r="F33" s="73" t="s">
        <v>123</v>
      </c>
      <c r="G33" s="41"/>
    </row>
    <row r="34" spans="1:7" s="29" customFormat="1" ht="30" x14ac:dyDescent="0.25">
      <c r="A34" s="134"/>
      <c r="B34" s="78" t="s">
        <v>77</v>
      </c>
      <c r="C34" s="72" t="s">
        <v>78</v>
      </c>
      <c r="D34" s="40" t="s">
        <v>124</v>
      </c>
      <c r="E34" s="73"/>
      <c r="F34" s="40"/>
      <c r="G34" s="41"/>
    </row>
    <row r="35" spans="1:7" s="29" customFormat="1" ht="45" customHeight="1" x14ac:dyDescent="0.25">
      <c r="A35" s="134"/>
      <c r="B35" s="82">
        <v>2</v>
      </c>
      <c r="C35" s="45" t="s">
        <v>40</v>
      </c>
      <c r="D35" s="40" t="s">
        <v>125</v>
      </c>
      <c r="E35" s="44"/>
      <c r="F35" s="40" t="s">
        <v>116</v>
      </c>
      <c r="G35" s="41"/>
    </row>
    <row r="36" spans="1:7" s="29" customFormat="1" ht="45" x14ac:dyDescent="0.25">
      <c r="A36" s="134"/>
      <c r="B36" s="78" t="s">
        <v>77</v>
      </c>
      <c r="C36" s="72" t="s">
        <v>78</v>
      </c>
      <c r="D36" s="40" t="s">
        <v>126</v>
      </c>
      <c r="E36" s="73"/>
      <c r="F36" s="40"/>
      <c r="G36" s="41"/>
    </row>
    <row r="37" spans="1:7" s="29" customFormat="1" ht="45" customHeight="1" thickBot="1" x14ac:dyDescent="0.3">
      <c r="A37" s="134"/>
      <c r="B37" s="83">
        <v>3</v>
      </c>
      <c r="C37" s="84" t="s">
        <v>40</v>
      </c>
      <c r="D37" s="75" t="s">
        <v>118</v>
      </c>
      <c r="E37" s="85"/>
      <c r="F37" s="47" t="s">
        <v>123</v>
      </c>
      <c r="G37" s="46"/>
    </row>
    <row r="38" spans="1:7" ht="42.6" customHeight="1" thickBot="1" x14ac:dyDescent="0.3">
      <c r="A38" s="53" t="str">
        <f>TabellaTest!F8</f>
        <v>TF002.UC01</v>
      </c>
      <c r="B38" s="130" t="str">
        <f>TabellaTest!F8</f>
        <v>TF002.UC01</v>
      </c>
      <c r="C38" s="131"/>
      <c r="D38" s="131" t="str">
        <f>TabellaTest!E8</f>
        <v>Visualizzazione Scadenzario Fine Pena</v>
      </c>
      <c r="E38" s="132"/>
      <c r="F38" s="131" t="str">
        <f>TabellaTest!G8</f>
        <v>Verifica: Verificare nel sottosistema SIEP la funzione Scadenzario Fine Pena</v>
      </c>
      <c r="G38" s="132"/>
    </row>
    <row r="39" spans="1:7" ht="30" customHeight="1" x14ac:dyDescent="0.25">
      <c r="A39" s="133"/>
      <c r="B39" s="58" t="s">
        <v>31</v>
      </c>
      <c r="C39" s="38" t="s">
        <v>32</v>
      </c>
      <c r="D39" s="30" t="s">
        <v>33</v>
      </c>
      <c r="E39" s="30" t="s">
        <v>34</v>
      </c>
      <c r="F39" s="30" t="s">
        <v>35</v>
      </c>
      <c r="G39" s="31" t="s">
        <v>10</v>
      </c>
    </row>
    <row r="40" spans="1:7" s="29" customFormat="1" ht="30" customHeight="1" x14ac:dyDescent="0.25">
      <c r="A40" s="134"/>
      <c r="B40" s="76" t="s">
        <v>36</v>
      </c>
      <c r="C40" s="39" t="s">
        <v>37</v>
      </c>
      <c r="D40" s="40" t="s">
        <v>87</v>
      </c>
      <c r="E40" s="40" t="s">
        <v>88</v>
      </c>
      <c r="F40" s="40"/>
      <c r="G40" s="41"/>
    </row>
    <row r="41" spans="1:7" s="29" customFormat="1" x14ac:dyDescent="0.25">
      <c r="A41" s="134"/>
      <c r="B41" s="76" t="s">
        <v>36</v>
      </c>
      <c r="C41" s="39" t="s">
        <v>38</v>
      </c>
      <c r="D41" s="40" t="s">
        <v>130</v>
      </c>
      <c r="E41" s="40"/>
      <c r="F41" s="40"/>
      <c r="G41" s="41"/>
    </row>
    <row r="42" spans="1:7" s="29" customFormat="1" ht="30" x14ac:dyDescent="0.25">
      <c r="A42" s="134"/>
      <c r="B42" s="77">
        <v>1</v>
      </c>
      <c r="C42" s="42" t="s">
        <v>39</v>
      </c>
      <c r="D42" s="43" t="s">
        <v>131</v>
      </c>
      <c r="E42" s="44"/>
      <c r="F42" s="40" t="s">
        <v>132</v>
      </c>
      <c r="G42" s="41"/>
    </row>
    <row r="43" spans="1:7" s="29" customFormat="1" ht="30" x14ac:dyDescent="0.25">
      <c r="A43" s="134"/>
      <c r="B43" s="79">
        <v>2</v>
      </c>
      <c r="C43" s="45" t="s">
        <v>40</v>
      </c>
      <c r="D43" s="40" t="s">
        <v>133</v>
      </c>
      <c r="E43" s="73"/>
      <c r="F43" s="73" t="s">
        <v>134</v>
      </c>
      <c r="G43" s="41"/>
    </row>
    <row r="44" spans="1:7" s="29" customFormat="1" ht="30" x14ac:dyDescent="0.25">
      <c r="A44" s="134"/>
      <c r="B44" s="78" t="s">
        <v>77</v>
      </c>
      <c r="C44" s="72" t="s">
        <v>78</v>
      </c>
      <c r="D44" s="40" t="s">
        <v>135</v>
      </c>
      <c r="E44" s="73"/>
      <c r="F44" s="40"/>
      <c r="G44" s="41"/>
    </row>
    <row r="45" spans="1:7" s="29" customFormat="1" ht="45" x14ac:dyDescent="0.25">
      <c r="A45" s="134"/>
      <c r="B45" s="76" t="s">
        <v>36</v>
      </c>
      <c r="C45" s="39" t="s">
        <v>37</v>
      </c>
      <c r="D45" s="40" t="s">
        <v>136</v>
      </c>
      <c r="E45" s="40"/>
      <c r="F45" s="40"/>
      <c r="G45" s="41"/>
    </row>
    <row r="46" spans="1:7" s="29" customFormat="1" ht="30" customHeight="1" x14ac:dyDescent="0.25">
      <c r="A46" s="134"/>
      <c r="B46" s="86" t="s">
        <v>137</v>
      </c>
      <c r="C46" s="69" t="s">
        <v>138</v>
      </c>
      <c r="D46" s="40" t="s">
        <v>139</v>
      </c>
      <c r="E46" s="73"/>
      <c r="F46" s="40"/>
      <c r="G46" s="41"/>
    </row>
    <row r="47" spans="1:7" s="29" customFormat="1" ht="60.75" thickBot="1" x14ac:dyDescent="0.3">
      <c r="A47" s="134"/>
      <c r="B47" s="80" t="s">
        <v>77</v>
      </c>
      <c r="C47" s="81" t="s">
        <v>78</v>
      </c>
      <c r="D47" s="75" t="s">
        <v>143</v>
      </c>
      <c r="E47" s="47"/>
      <c r="F47" s="75"/>
      <c r="G47" s="46"/>
    </row>
    <row r="48" spans="1:7" ht="42.6" customHeight="1" thickBot="1" x14ac:dyDescent="0.3">
      <c r="A48" s="53" t="str">
        <f>TabellaTest!F9</f>
        <v>TF003.UC01</v>
      </c>
      <c r="B48" s="135" t="str">
        <f>TabellaTest!F9</f>
        <v>TF003.UC01</v>
      </c>
      <c r="C48" s="136"/>
      <c r="D48" s="136" t="str">
        <f>TabellaTest!E9</f>
        <v>Ricerca Fine Pena Procedimenti Pendenti</v>
      </c>
      <c r="E48" s="122"/>
      <c r="F48" s="136" t="str">
        <f>TabellaTest!G9</f>
        <v>Verifica: Verificare nel sottosistema SIUS la funzione Ricerca Fine Pena Procedimenti Pendenti per data fine pena reale</v>
      </c>
      <c r="G48" s="122"/>
    </row>
    <row r="49" spans="1:7" ht="30" customHeight="1" thickBot="1" x14ac:dyDescent="0.3">
      <c r="A49" s="122"/>
      <c r="B49" s="93" t="s">
        <v>31</v>
      </c>
      <c r="C49" s="87" t="s">
        <v>32</v>
      </c>
      <c r="D49" s="88" t="s">
        <v>33</v>
      </c>
      <c r="E49" s="88" t="s">
        <v>34</v>
      </c>
      <c r="F49" s="88" t="s">
        <v>35</v>
      </c>
      <c r="G49" s="88" t="s">
        <v>10</v>
      </c>
    </row>
    <row r="50" spans="1:7" s="29" customFormat="1" ht="43.9" customHeight="1" x14ac:dyDescent="0.25">
      <c r="A50" s="123"/>
      <c r="B50" s="94" t="s">
        <v>36</v>
      </c>
      <c r="C50" s="89" t="s">
        <v>37</v>
      </c>
      <c r="D50" s="90" t="s">
        <v>147</v>
      </c>
      <c r="E50" s="90" t="s">
        <v>148</v>
      </c>
      <c r="F50" s="91"/>
      <c r="G50" s="92"/>
    </row>
    <row r="51" spans="1:7" s="29" customFormat="1" ht="43.9" customHeight="1" x14ac:dyDescent="0.25">
      <c r="A51" s="123"/>
      <c r="B51" s="60" t="s">
        <v>36</v>
      </c>
      <c r="C51" s="39" t="s">
        <v>38</v>
      </c>
      <c r="D51" s="40" t="s">
        <v>149</v>
      </c>
      <c r="E51" s="40"/>
      <c r="F51" s="73"/>
      <c r="G51" s="41"/>
    </row>
    <row r="52" spans="1:7" s="29" customFormat="1" ht="43.9" customHeight="1" x14ac:dyDescent="0.25">
      <c r="A52" s="123"/>
      <c r="B52" s="61">
        <v>1</v>
      </c>
      <c r="C52" s="42" t="s">
        <v>39</v>
      </c>
      <c r="D52" s="71" t="s">
        <v>151</v>
      </c>
      <c r="E52" s="44"/>
      <c r="F52" s="40" t="s">
        <v>150</v>
      </c>
      <c r="G52" s="41"/>
    </row>
    <row r="53" spans="1:7" s="29" customFormat="1" ht="90" x14ac:dyDescent="0.25">
      <c r="A53" s="123"/>
      <c r="B53" s="95" t="s">
        <v>77</v>
      </c>
      <c r="C53" s="72" t="s">
        <v>78</v>
      </c>
      <c r="D53" s="40" t="s">
        <v>152</v>
      </c>
      <c r="E53" s="73"/>
      <c r="F53" s="40"/>
      <c r="G53" s="41"/>
    </row>
    <row r="54" spans="1:7" s="29" customFormat="1" ht="43.9" customHeight="1" x14ac:dyDescent="0.25">
      <c r="A54" s="123"/>
      <c r="B54" s="63">
        <v>2</v>
      </c>
      <c r="C54" s="45" t="s">
        <v>40</v>
      </c>
      <c r="D54" s="40" t="s">
        <v>153</v>
      </c>
      <c r="E54" s="44"/>
      <c r="F54" s="40" t="s">
        <v>154</v>
      </c>
      <c r="G54" s="41"/>
    </row>
    <row r="55" spans="1:7" s="29" customFormat="1" ht="135.75" thickBot="1" x14ac:dyDescent="0.3">
      <c r="A55" s="124"/>
      <c r="B55" s="70" t="s">
        <v>77</v>
      </c>
      <c r="C55" s="81" t="s">
        <v>78</v>
      </c>
      <c r="D55" s="75" t="s">
        <v>166</v>
      </c>
      <c r="E55" s="47"/>
      <c r="F55" s="75"/>
      <c r="G55" s="46"/>
    </row>
    <row r="56" spans="1:7" ht="42.6" customHeight="1" thickBot="1" x14ac:dyDescent="0.3">
      <c r="A56" s="53" t="str">
        <f>TabellaTest!F10</f>
        <v>TF003.UC02</v>
      </c>
      <c r="B56" s="128" t="str">
        <f>TabellaTest!F10</f>
        <v>TF003.UC02</v>
      </c>
      <c r="C56" s="129"/>
      <c r="D56" s="129" t="str">
        <f>TabellaTest!E10</f>
        <v>Ricerca Fine Pena Procedimenti Pendenti</v>
      </c>
      <c r="E56" s="124"/>
      <c r="F56" s="129" t="str">
        <f>TabellaTest!G10</f>
        <v>Verifica: Verificare nel sottosistema SIUS la funzione Ricerca Fine Pena Procedimenti Pendenti per fine pena virtuale</v>
      </c>
      <c r="G56" s="124"/>
    </row>
    <row r="57" spans="1:7" ht="30" customHeight="1" x14ac:dyDescent="0.25">
      <c r="A57" s="122"/>
      <c r="B57" s="58" t="s">
        <v>31</v>
      </c>
      <c r="C57" s="38" t="s">
        <v>32</v>
      </c>
      <c r="D57" s="30" t="s">
        <v>33</v>
      </c>
      <c r="E57" s="30" t="s">
        <v>34</v>
      </c>
      <c r="F57" s="30" t="s">
        <v>35</v>
      </c>
      <c r="G57" s="31" t="s">
        <v>10</v>
      </c>
    </row>
    <row r="58" spans="1:7" s="29" customFormat="1" ht="43.9" customHeight="1" x14ac:dyDescent="0.25">
      <c r="A58" s="123"/>
      <c r="B58" s="76" t="s">
        <v>36</v>
      </c>
      <c r="C58" s="39" t="s">
        <v>37</v>
      </c>
      <c r="D58" s="40" t="s">
        <v>147</v>
      </c>
      <c r="E58" s="40" t="s">
        <v>148</v>
      </c>
      <c r="F58" s="44" t="s">
        <v>158</v>
      </c>
      <c r="G58" s="41"/>
    </row>
    <row r="59" spans="1:7" s="29" customFormat="1" ht="43.9" customHeight="1" x14ac:dyDescent="0.25">
      <c r="A59" s="123"/>
      <c r="B59" s="76" t="s">
        <v>36</v>
      </c>
      <c r="C59" s="39" t="s">
        <v>38</v>
      </c>
      <c r="D59" s="40" t="s">
        <v>149</v>
      </c>
      <c r="E59" s="40"/>
      <c r="F59" s="73"/>
      <c r="G59" s="41"/>
    </row>
    <row r="60" spans="1:7" s="29" customFormat="1" ht="43.9" customHeight="1" x14ac:dyDescent="0.25">
      <c r="A60" s="123"/>
      <c r="B60" s="77">
        <v>1</v>
      </c>
      <c r="C60" s="42" t="s">
        <v>39</v>
      </c>
      <c r="D60" s="71" t="s">
        <v>151</v>
      </c>
      <c r="E60" s="44"/>
      <c r="F60" s="40" t="s">
        <v>150</v>
      </c>
      <c r="G60" s="41"/>
    </row>
    <row r="61" spans="1:7" s="29" customFormat="1" ht="90" x14ac:dyDescent="0.25">
      <c r="A61" s="123"/>
      <c r="B61" s="78" t="s">
        <v>77</v>
      </c>
      <c r="C61" s="72" t="s">
        <v>78</v>
      </c>
      <c r="D61" s="40" t="s">
        <v>152</v>
      </c>
      <c r="E61" s="73"/>
      <c r="F61" s="40"/>
      <c r="G61" s="41"/>
    </row>
    <row r="62" spans="1:7" s="29" customFormat="1" ht="43.9" customHeight="1" x14ac:dyDescent="0.25">
      <c r="A62" s="123"/>
      <c r="B62" s="82">
        <v>2</v>
      </c>
      <c r="C62" s="45" t="s">
        <v>40</v>
      </c>
      <c r="D62" s="40" t="s">
        <v>157</v>
      </c>
      <c r="E62" s="44"/>
      <c r="F62" s="40" t="s">
        <v>154</v>
      </c>
      <c r="G62" s="41"/>
    </row>
    <row r="63" spans="1:7" s="29" customFormat="1" ht="135.75" thickBot="1" x14ac:dyDescent="0.3">
      <c r="A63" s="124"/>
      <c r="B63" s="80" t="s">
        <v>77</v>
      </c>
      <c r="C63" s="81" t="s">
        <v>78</v>
      </c>
      <c r="D63" s="75" t="s">
        <v>167</v>
      </c>
      <c r="E63" s="47"/>
      <c r="F63" s="75"/>
      <c r="G63" s="46"/>
    </row>
    <row r="64" spans="1:7" ht="42.6" customHeight="1" thickBot="1" x14ac:dyDescent="0.3">
      <c r="A64" s="74" t="str">
        <f>TabellaTest!F11</f>
        <v>TF004.UC01</v>
      </c>
      <c r="B64" s="130" t="str">
        <f>TabellaTest!C11</f>
        <v>PAR.3.2-048-04</v>
      </c>
      <c r="C64" s="131"/>
      <c r="D64" s="131" t="str">
        <f>TabellaTest!E11</f>
        <v>Condivisione Calcolatrice DL 92/2024 di SIEP lato SIUS</v>
      </c>
      <c r="E64" s="132"/>
      <c r="F64" s="131" t="str">
        <f>TabellaTest!G11</f>
        <v>Condivisione Calcolatrice DL 92/2024 di SIEP lato SIUS</v>
      </c>
      <c r="G64" s="132"/>
    </row>
    <row r="65" spans="1:7" ht="30" customHeight="1" x14ac:dyDescent="0.25">
      <c r="A65" s="125"/>
      <c r="B65" s="58" t="s">
        <v>31</v>
      </c>
      <c r="C65" s="38" t="s">
        <v>32</v>
      </c>
      <c r="D65" s="30" t="s">
        <v>33</v>
      </c>
      <c r="E65" s="30" t="s">
        <v>34</v>
      </c>
      <c r="F65" s="30" t="s">
        <v>35</v>
      </c>
      <c r="G65" s="31" t="s">
        <v>10</v>
      </c>
    </row>
    <row r="66" spans="1:7" s="29" customFormat="1" ht="30" customHeight="1" x14ac:dyDescent="0.25">
      <c r="A66" s="126"/>
      <c r="B66" s="76" t="s">
        <v>36</v>
      </c>
      <c r="C66" s="39" t="s">
        <v>37</v>
      </c>
      <c r="D66" s="40" t="s">
        <v>87</v>
      </c>
      <c r="E66" s="40" t="s">
        <v>148</v>
      </c>
      <c r="F66" s="40"/>
      <c r="G66" s="41"/>
    </row>
    <row r="67" spans="1:7" s="29" customFormat="1" ht="30" x14ac:dyDescent="0.25">
      <c r="A67" s="126"/>
      <c r="B67" s="76" t="s">
        <v>36</v>
      </c>
      <c r="C67" s="39" t="s">
        <v>38</v>
      </c>
      <c r="D67" s="40" t="s">
        <v>161</v>
      </c>
      <c r="E67" s="40"/>
      <c r="F67" s="73" t="s">
        <v>162</v>
      </c>
      <c r="G67" s="41"/>
    </row>
    <row r="68" spans="1:7" s="29" customFormat="1" ht="30" x14ac:dyDescent="0.25">
      <c r="A68" s="126"/>
      <c r="B68" s="77">
        <v>1</v>
      </c>
      <c r="C68" s="42" t="s">
        <v>39</v>
      </c>
      <c r="D68" s="43" t="s">
        <v>163</v>
      </c>
      <c r="E68" s="44"/>
      <c r="F68" s="40" t="s">
        <v>98</v>
      </c>
      <c r="G68" s="41"/>
    </row>
    <row r="69" spans="1:7" s="29" customFormat="1" ht="45" x14ac:dyDescent="0.25">
      <c r="A69" s="126"/>
      <c r="B69" s="79">
        <v>2</v>
      </c>
      <c r="C69" s="45" t="s">
        <v>40</v>
      </c>
      <c r="D69" s="40" t="s">
        <v>106</v>
      </c>
      <c r="E69" s="73"/>
      <c r="F69" s="40" t="s">
        <v>165</v>
      </c>
      <c r="G69" s="41"/>
    </row>
    <row r="70" spans="1:7" s="29" customFormat="1" ht="30.75" thickBot="1" x14ac:dyDescent="0.3">
      <c r="A70" s="127"/>
      <c r="B70" s="80" t="s">
        <v>77</v>
      </c>
      <c r="C70" s="81" t="s">
        <v>78</v>
      </c>
      <c r="D70" s="75" t="s">
        <v>164</v>
      </c>
      <c r="E70" s="47"/>
      <c r="F70" s="75"/>
      <c r="G70" s="46"/>
    </row>
  </sheetData>
  <autoFilter ref="A3:G3">
    <filterColumn colId="1" showButton="0"/>
    <filterColumn colId="3" showButton="0"/>
    <filterColumn colId="5" showButton="0"/>
  </autoFilter>
  <mergeCells count="39">
    <mergeCell ref="A5:A11"/>
    <mergeCell ref="A1:C1"/>
    <mergeCell ref="D1:G1"/>
    <mergeCell ref="A2:C2"/>
    <mergeCell ref="D2:G2"/>
    <mergeCell ref="B3:C3"/>
    <mergeCell ref="D3:E3"/>
    <mergeCell ref="F3:G3"/>
    <mergeCell ref="F4:G4"/>
    <mergeCell ref="B4:C4"/>
    <mergeCell ref="D4:E4"/>
    <mergeCell ref="B12:C12"/>
    <mergeCell ref="D12:E12"/>
    <mergeCell ref="F12:G12"/>
    <mergeCell ref="A13:A20"/>
    <mergeCell ref="B21:C21"/>
    <mergeCell ref="D21:E21"/>
    <mergeCell ref="F21:G21"/>
    <mergeCell ref="A39:A47"/>
    <mergeCell ref="B48:C48"/>
    <mergeCell ref="D48:E48"/>
    <mergeCell ref="F48:G48"/>
    <mergeCell ref="A22:A28"/>
    <mergeCell ref="B29:C29"/>
    <mergeCell ref="D29:E29"/>
    <mergeCell ref="F29:G29"/>
    <mergeCell ref="A30:A37"/>
    <mergeCell ref="F56:G56"/>
    <mergeCell ref="B64:C64"/>
    <mergeCell ref="D64:E64"/>
    <mergeCell ref="F64:G64"/>
    <mergeCell ref="B38:C38"/>
    <mergeCell ref="D38:E38"/>
    <mergeCell ref="F38:G38"/>
    <mergeCell ref="A49:A55"/>
    <mergeCell ref="A57:A63"/>
    <mergeCell ref="A65:A70"/>
    <mergeCell ref="B56:C56"/>
    <mergeCell ref="D56:E56"/>
  </mergeCells>
  <phoneticPr fontId="20" type="noConversion"/>
  <pageMargins left="0.70866141732283472" right="0.70866141732283472" top="0.74803149606299213" bottom="0.74803149606299213" header="0.31496062992125984" footer="0.31496062992125984"/>
  <pageSetup paperSize="9" scale="9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zoomScaleNormal="100" workbookViewId="0">
      <selection sqref="A1:XFD1048576"/>
    </sheetView>
  </sheetViews>
  <sheetFormatPr defaultRowHeight="12.75" x14ac:dyDescent="0.25"/>
  <cols>
    <col min="1" max="1" width="4" style="7" bestFit="1" customWidth="1"/>
    <col min="2" max="2" width="21.28515625" style="7" customWidth="1"/>
    <col min="3" max="3" width="22.7109375" style="7" bestFit="1" customWidth="1"/>
    <col min="4" max="4" width="32.5703125" style="7" customWidth="1"/>
    <col min="5" max="5" width="57.28515625" style="7" customWidth="1"/>
    <col min="6" max="6" width="15.5703125" style="7" customWidth="1"/>
    <col min="7" max="7" width="17.7109375" style="7" customWidth="1"/>
    <col min="8" max="254" width="9.140625" style="7"/>
    <col min="255" max="255" width="4" style="7" bestFit="1" customWidth="1"/>
    <col min="256" max="256" width="26.7109375" style="7" bestFit="1" customWidth="1"/>
    <col min="257" max="257" width="22.7109375" style="7" bestFit="1" customWidth="1"/>
    <col min="258" max="258" width="32.5703125" style="7" customWidth="1"/>
    <col min="259" max="259" width="57.28515625" style="7" customWidth="1"/>
    <col min="260" max="260" width="15.5703125" style="7" customWidth="1"/>
    <col min="261" max="261" width="16.7109375" style="7" customWidth="1"/>
    <col min="262" max="510" width="9.140625" style="7"/>
    <col min="511" max="511" width="4" style="7" bestFit="1" customWidth="1"/>
    <col min="512" max="512" width="26.7109375" style="7" bestFit="1" customWidth="1"/>
    <col min="513" max="513" width="22.7109375" style="7" bestFit="1" customWidth="1"/>
    <col min="514" max="514" width="32.5703125" style="7" customWidth="1"/>
    <col min="515" max="515" width="57.28515625" style="7" customWidth="1"/>
    <col min="516" max="516" width="15.5703125" style="7" customWidth="1"/>
    <col min="517" max="517" width="16.7109375" style="7" customWidth="1"/>
    <col min="518" max="766" width="9.140625" style="7"/>
    <col min="767" max="767" width="4" style="7" bestFit="1" customWidth="1"/>
    <col min="768" max="768" width="26.7109375" style="7" bestFit="1" customWidth="1"/>
    <col min="769" max="769" width="22.7109375" style="7" bestFit="1" customWidth="1"/>
    <col min="770" max="770" width="32.5703125" style="7" customWidth="1"/>
    <col min="771" max="771" width="57.28515625" style="7" customWidth="1"/>
    <col min="772" max="772" width="15.5703125" style="7" customWidth="1"/>
    <col min="773" max="773" width="16.7109375" style="7" customWidth="1"/>
    <col min="774" max="1022" width="9.140625" style="7"/>
    <col min="1023" max="1023" width="4" style="7" bestFit="1" customWidth="1"/>
    <col min="1024" max="1024" width="26.7109375" style="7" bestFit="1" customWidth="1"/>
    <col min="1025" max="1025" width="22.7109375" style="7" bestFit="1" customWidth="1"/>
    <col min="1026" max="1026" width="32.5703125" style="7" customWidth="1"/>
    <col min="1027" max="1027" width="57.28515625" style="7" customWidth="1"/>
    <col min="1028" max="1028" width="15.5703125" style="7" customWidth="1"/>
    <col min="1029" max="1029" width="16.7109375" style="7" customWidth="1"/>
    <col min="1030" max="1278" width="9.140625" style="7"/>
    <col min="1279" max="1279" width="4" style="7" bestFit="1" customWidth="1"/>
    <col min="1280" max="1280" width="26.7109375" style="7" bestFit="1" customWidth="1"/>
    <col min="1281" max="1281" width="22.7109375" style="7" bestFit="1" customWidth="1"/>
    <col min="1282" max="1282" width="32.5703125" style="7" customWidth="1"/>
    <col min="1283" max="1283" width="57.28515625" style="7" customWidth="1"/>
    <col min="1284" max="1284" width="15.5703125" style="7" customWidth="1"/>
    <col min="1285" max="1285" width="16.7109375" style="7" customWidth="1"/>
    <col min="1286" max="1534" width="9.140625" style="7"/>
    <col min="1535" max="1535" width="4" style="7" bestFit="1" customWidth="1"/>
    <col min="1536" max="1536" width="26.7109375" style="7" bestFit="1" customWidth="1"/>
    <col min="1537" max="1537" width="22.7109375" style="7" bestFit="1" customWidth="1"/>
    <col min="1538" max="1538" width="32.5703125" style="7" customWidth="1"/>
    <col min="1539" max="1539" width="57.28515625" style="7" customWidth="1"/>
    <col min="1540" max="1540" width="15.5703125" style="7" customWidth="1"/>
    <col min="1541" max="1541" width="16.7109375" style="7" customWidth="1"/>
    <col min="1542" max="1790" width="9.140625" style="7"/>
    <col min="1791" max="1791" width="4" style="7" bestFit="1" customWidth="1"/>
    <col min="1792" max="1792" width="26.7109375" style="7" bestFit="1" customWidth="1"/>
    <col min="1793" max="1793" width="22.7109375" style="7" bestFit="1" customWidth="1"/>
    <col min="1794" max="1794" width="32.5703125" style="7" customWidth="1"/>
    <col min="1795" max="1795" width="57.28515625" style="7" customWidth="1"/>
    <col min="1796" max="1796" width="15.5703125" style="7" customWidth="1"/>
    <col min="1797" max="1797" width="16.7109375" style="7" customWidth="1"/>
    <col min="1798" max="2046" width="9.140625" style="7"/>
    <col min="2047" max="2047" width="4" style="7" bestFit="1" customWidth="1"/>
    <col min="2048" max="2048" width="26.7109375" style="7" bestFit="1" customWidth="1"/>
    <col min="2049" max="2049" width="22.7109375" style="7" bestFit="1" customWidth="1"/>
    <col min="2050" max="2050" width="32.5703125" style="7" customWidth="1"/>
    <col min="2051" max="2051" width="57.28515625" style="7" customWidth="1"/>
    <col min="2052" max="2052" width="15.5703125" style="7" customWidth="1"/>
    <col min="2053" max="2053" width="16.7109375" style="7" customWidth="1"/>
    <col min="2054" max="2302" width="9.140625" style="7"/>
    <col min="2303" max="2303" width="4" style="7" bestFit="1" customWidth="1"/>
    <col min="2304" max="2304" width="26.7109375" style="7" bestFit="1" customWidth="1"/>
    <col min="2305" max="2305" width="22.7109375" style="7" bestFit="1" customWidth="1"/>
    <col min="2306" max="2306" width="32.5703125" style="7" customWidth="1"/>
    <col min="2307" max="2307" width="57.28515625" style="7" customWidth="1"/>
    <col min="2308" max="2308" width="15.5703125" style="7" customWidth="1"/>
    <col min="2309" max="2309" width="16.7109375" style="7" customWidth="1"/>
    <col min="2310" max="2558" width="9.140625" style="7"/>
    <col min="2559" max="2559" width="4" style="7" bestFit="1" customWidth="1"/>
    <col min="2560" max="2560" width="26.7109375" style="7" bestFit="1" customWidth="1"/>
    <col min="2561" max="2561" width="22.7109375" style="7" bestFit="1" customWidth="1"/>
    <col min="2562" max="2562" width="32.5703125" style="7" customWidth="1"/>
    <col min="2563" max="2563" width="57.28515625" style="7" customWidth="1"/>
    <col min="2564" max="2564" width="15.5703125" style="7" customWidth="1"/>
    <col min="2565" max="2565" width="16.7109375" style="7" customWidth="1"/>
    <col min="2566" max="2814" width="9.140625" style="7"/>
    <col min="2815" max="2815" width="4" style="7" bestFit="1" customWidth="1"/>
    <col min="2816" max="2816" width="26.7109375" style="7" bestFit="1" customWidth="1"/>
    <col min="2817" max="2817" width="22.7109375" style="7" bestFit="1" customWidth="1"/>
    <col min="2818" max="2818" width="32.5703125" style="7" customWidth="1"/>
    <col min="2819" max="2819" width="57.28515625" style="7" customWidth="1"/>
    <col min="2820" max="2820" width="15.5703125" style="7" customWidth="1"/>
    <col min="2821" max="2821" width="16.7109375" style="7" customWidth="1"/>
    <col min="2822" max="3070" width="9.140625" style="7"/>
    <col min="3071" max="3071" width="4" style="7" bestFit="1" customWidth="1"/>
    <col min="3072" max="3072" width="26.7109375" style="7" bestFit="1" customWidth="1"/>
    <col min="3073" max="3073" width="22.7109375" style="7" bestFit="1" customWidth="1"/>
    <col min="3074" max="3074" width="32.5703125" style="7" customWidth="1"/>
    <col min="3075" max="3075" width="57.28515625" style="7" customWidth="1"/>
    <col min="3076" max="3076" width="15.5703125" style="7" customWidth="1"/>
    <col min="3077" max="3077" width="16.7109375" style="7" customWidth="1"/>
    <col min="3078" max="3326" width="9.140625" style="7"/>
    <col min="3327" max="3327" width="4" style="7" bestFit="1" customWidth="1"/>
    <col min="3328" max="3328" width="26.7109375" style="7" bestFit="1" customWidth="1"/>
    <col min="3329" max="3329" width="22.7109375" style="7" bestFit="1" customWidth="1"/>
    <col min="3330" max="3330" width="32.5703125" style="7" customWidth="1"/>
    <col min="3331" max="3331" width="57.28515625" style="7" customWidth="1"/>
    <col min="3332" max="3332" width="15.5703125" style="7" customWidth="1"/>
    <col min="3333" max="3333" width="16.7109375" style="7" customWidth="1"/>
    <col min="3334" max="3582" width="9.140625" style="7"/>
    <col min="3583" max="3583" width="4" style="7" bestFit="1" customWidth="1"/>
    <col min="3584" max="3584" width="26.7109375" style="7" bestFit="1" customWidth="1"/>
    <col min="3585" max="3585" width="22.7109375" style="7" bestFit="1" customWidth="1"/>
    <col min="3586" max="3586" width="32.5703125" style="7" customWidth="1"/>
    <col min="3587" max="3587" width="57.28515625" style="7" customWidth="1"/>
    <col min="3588" max="3588" width="15.5703125" style="7" customWidth="1"/>
    <col min="3589" max="3589" width="16.7109375" style="7" customWidth="1"/>
    <col min="3590" max="3838" width="9.140625" style="7"/>
    <col min="3839" max="3839" width="4" style="7" bestFit="1" customWidth="1"/>
    <col min="3840" max="3840" width="26.7109375" style="7" bestFit="1" customWidth="1"/>
    <col min="3841" max="3841" width="22.7109375" style="7" bestFit="1" customWidth="1"/>
    <col min="3842" max="3842" width="32.5703125" style="7" customWidth="1"/>
    <col min="3843" max="3843" width="57.28515625" style="7" customWidth="1"/>
    <col min="3844" max="3844" width="15.5703125" style="7" customWidth="1"/>
    <col min="3845" max="3845" width="16.7109375" style="7" customWidth="1"/>
    <col min="3846" max="4094" width="9.140625" style="7"/>
    <col min="4095" max="4095" width="4" style="7" bestFit="1" customWidth="1"/>
    <col min="4096" max="4096" width="26.7109375" style="7" bestFit="1" customWidth="1"/>
    <col min="4097" max="4097" width="22.7109375" style="7" bestFit="1" customWidth="1"/>
    <col min="4098" max="4098" width="32.5703125" style="7" customWidth="1"/>
    <col min="4099" max="4099" width="57.28515625" style="7" customWidth="1"/>
    <col min="4100" max="4100" width="15.5703125" style="7" customWidth="1"/>
    <col min="4101" max="4101" width="16.7109375" style="7" customWidth="1"/>
    <col min="4102" max="4350" width="9.140625" style="7"/>
    <col min="4351" max="4351" width="4" style="7" bestFit="1" customWidth="1"/>
    <col min="4352" max="4352" width="26.7109375" style="7" bestFit="1" customWidth="1"/>
    <col min="4353" max="4353" width="22.7109375" style="7" bestFit="1" customWidth="1"/>
    <col min="4354" max="4354" width="32.5703125" style="7" customWidth="1"/>
    <col min="4355" max="4355" width="57.28515625" style="7" customWidth="1"/>
    <col min="4356" max="4356" width="15.5703125" style="7" customWidth="1"/>
    <col min="4357" max="4357" width="16.7109375" style="7" customWidth="1"/>
    <col min="4358" max="4606" width="9.140625" style="7"/>
    <col min="4607" max="4607" width="4" style="7" bestFit="1" customWidth="1"/>
    <col min="4608" max="4608" width="26.7109375" style="7" bestFit="1" customWidth="1"/>
    <col min="4609" max="4609" width="22.7109375" style="7" bestFit="1" customWidth="1"/>
    <col min="4610" max="4610" width="32.5703125" style="7" customWidth="1"/>
    <col min="4611" max="4611" width="57.28515625" style="7" customWidth="1"/>
    <col min="4612" max="4612" width="15.5703125" style="7" customWidth="1"/>
    <col min="4613" max="4613" width="16.7109375" style="7" customWidth="1"/>
    <col min="4614" max="4862" width="9.140625" style="7"/>
    <col min="4863" max="4863" width="4" style="7" bestFit="1" customWidth="1"/>
    <col min="4864" max="4864" width="26.7109375" style="7" bestFit="1" customWidth="1"/>
    <col min="4865" max="4865" width="22.7109375" style="7" bestFit="1" customWidth="1"/>
    <col min="4866" max="4866" width="32.5703125" style="7" customWidth="1"/>
    <col min="4867" max="4867" width="57.28515625" style="7" customWidth="1"/>
    <col min="4868" max="4868" width="15.5703125" style="7" customWidth="1"/>
    <col min="4869" max="4869" width="16.7109375" style="7" customWidth="1"/>
    <col min="4870" max="5118" width="9.140625" style="7"/>
    <col min="5119" max="5119" width="4" style="7" bestFit="1" customWidth="1"/>
    <col min="5120" max="5120" width="26.7109375" style="7" bestFit="1" customWidth="1"/>
    <col min="5121" max="5121" width="22.7109375" style="7" bestFit="1" customWidth="1"/>
    <col min="5122" max="5122" width="32.5703125" style="7" customWidth="1"/>
    <col min="5123" max="5123" width="57.28515625" style="7" customWidth="1"/>
    <col min="5124" max="5124" width="15.5703125" style="7" customWidth="1"/>
    <col min="5125" max="5125" width="16.7109375" style="7" customWidth="1"/>
    <col min="5126" max="5374" width="9.140625" style="7"/>
    <col min="5375" max="5375" width="4" style="7" bestFit="1" customWidth="1"/>
    <col min="5376" max="5376" width="26.7109375" style="7" bestFit="1" customWidth="1"/>
    <col min="5377" max="5377" width="22.7109375" style="7" bestFit="1" customWidth="1"/>
    <col min="5378" max="5378" width="32.5703125" style="7" customWidth="1"/>
    <col min="5379" max="5379" width="57.28515625" style="7" customWidth="1"/>
    <col min="5380" max="5380" width="15.5703125" style="7" customWidth="1"/>
    <col min="5381" max="5381" width="16.7109375" style="7" customWidth="1"/>
    <col min="5382" max="5630" width="9.140625" style="7"/>
    <col min="5631" max="5631" width="4" style="7" bestFit="1" customWidth="1"/>
    <col min="5632" max="5632" width="26.7109375" style="7" bestFit="1" customWidth="1"/>
    <col min="5633" max="5633" width="22.7109375" style="7" bestFit="1" customWidth="1"/>
    <col min="5634" max="5634" width="32.5703125" style="7" customWidth="1"/>
    <col min="5635" max="5635" width="57.28515625" style="7" customWidth="1"/>
    <col min="5636" max="5636" width="15.5703125" style="7" customWidth="1"/>
    <col min="5637" max="5637" width="16.7109375" style="7" customWidth="1"/>
    <col min="5638" max="5886" width="9.140625" style="7"/>
    <col min="5887" max="5887" width="4" style="7" bestFit="1" customWidth="1"/>
    <col min="5888" max="5888" width="26.7109375" style="7" bestFit="1" customWidth="1"/>
    <col min="5889" max="5889" width="22.7109375" style="7" bestFit="1" customWidth="1"/>
    <col min="5890" max="5890" width="32.5703125" style="7" customWidth="1"/>
    <col min="5891" max="5891" width="57.28515625" style="7" customWidth="1"/>
    <col min="5892" max="5892" width="15.5703125" style="7" customWidth="1"/>
    <col min="5893" max="5893" width="16.7109375" style="7" customWidth="1"/>
    <col min="5894" max="6142" width="9.140625" style="7"/>
    <col min="6143" max="6143" width="4" style="7" bestFit="1" customWidth="1"/>
    <col min="6144" max="6144" width="26.7109375" style="7" bestFit="1" customWidth="1"/>
    <col min="6145" max="6145" width="22.7109375" style="7" bestFit="1" customWidth="1"/>
    <col min="6146" max="6146" width="32.5703125" style="7" customWidth="1"/>
    <col min="6147" max="6147" width="57.28515625" style="7" customWidth="1"/>
    <col min="6148" max="6148" width="15.5703125" style="7" customWidth="1"/>
    <col min="6149" max="6149" width="16.7109375" style="7" customWidth="1"/>
    <col min="6150" max="6398" width="9.140625" style="7"/>
    <col min="6399" max="6399" width="4" style="7" bestFit="1" customWidth="1"/>
    <col min="6400" max="6400" width="26.7109375" style="7" bestFit="1" customWidth="1"/>
    <col min="6401" max="6401" width="22.7109375" style="7" bestFit="1" customWidth="1"/>
    <col min="6402" max="6402" width="32.5703125" style="7" customWidth="1"/>
    <col min="6403" max="6403" width="57.28515625" style="7" customWidth="1"/>
    <col min="6404" max="6404" width="15.5703125" style="7" customWidth="1"/>
    <col min="6405" max="6405" width="16.7109375" style="7" customWidth="1"/>
    <col min="6406" max="6654" width="9.140625" style="7"/>
    <col min="6655" max="6655" width="4" style="7" bestFit="1" customWidth="1"/>
    <col min="6656" max="6656" width="26.7109375" style="7" bestFit="1" customWidth="1"/>
    <col min="6657" max="6657" width="22.7109375" style="7" bestFit="1" customWidth="1"/>
    <col min="6658" max="6658" width="32.5703125" style="7" customWidth="1"/>
    <col min="6659" max="6659" width="57.28515625" style="7" customWidth="1"/>
    <col min="6660" max="6660" width="15.5703125" style="7" customWidth="1"/>
    <col min="6661" max="6661" width="16.7109375" style="7" customWidth="1"/>
    <col min="6662" max="6910" width="9.140625" style="7"/>
    <col min="6911" max="6911" width="4" style="7" bestFit="1" customWidth="1"/>
    <col min="6912" max="6912" width="26.7109375" style="7" bestFit="1" customWidth="1"/>
    <col min="6913" max="6913" width="22.7109375" style="7" bestFit="1" customWidth="1"/>
    <col min="6914" max="6914" width="32.5703125" style="7" customWidth="1"/>
    <col min="6915" max="6915" width="57.28515625" style="7" customWidth="1"/>
    <col min="6916" max="6916" width="15.5703125" style="7" customWidth="1"/>
    <col min="6917" max="6917" width="16.7109375" style="7" customWidth="1"/>
    <col min="6918" max="7166" width="9.140625" style="7"/>
    <col min="7167" max="7167" width="4" style="7" bestFit="1" customWidth="1"/>
    <col min="7168" max="7168" width="26.7109375" style="7" bestFit="1" customWidth="1"/>
    <col min="7169" max="7169" width="22.7109375" style="7" bestFit="1" customWidth="1"/>
    <col min="7170" max="7170" width="32.5703125" style="7" customWidth="1"/>
    <col min="7171" max="7171" width="57.28515625" style="7" customWidth="1"/>
    <col min="7172" max="7172" width="15.5703125" style="7" customWidth="1"/>
    <col min="7173" max="7173" width="16.7109375" style="7" customWidth="1"/>
    <col min="7174" max="7422" width="9.140625" style="7"/>
    <col min="7423" max="7423" width="4" style="7" bestFit="1" customWidth="1"/>
    <col min="7424" max="7424" width="26.7109375" style="7" bestFit="1" customWidth="1"/>
    <col min="7425" max="7425" width="22.7109375" style="7" bestFit="1" customWidth="1"/>
    <col min="7426" max="7426" width="32.5703125" style="7" customWidth="1"/>
    <col min="7427" max="7427" width="57.28515625" style="7" customWidth="1"/>
    <col min="7428" max="7428" width="15.5703125" style="7" customWidth="1"/>
    <col min="7429" max="7429" width="16.7109375" style="7" customWidth="1"/>
    <col min="7430" max="7678" width="9.140625" style="7"/>
    <col min="7679" max="7679" width="4" style="7" bestFit="1" customWidth="1"/>
    <col min="7680" max="7680" width="26.7109375" style="7" bestFit="1" customWidth="1"/>
    <col min="7681" max="7681" width="22.7109375" style="7" bestFit="1" customWidth="1"/>
    <col min="7682" max="7682" width="32.5703125" style="7" customWidth="1"/>
    <col min="7683" max="7683" width="57.28515625" style="7" customWidth="1"/>
    <col min="7684" max="7684" width="15.5703125" style="7" customWidth="1"/>
    <col min="7685" max="7685" width="16.7109375" style="7" customWidth="1"/>
    <col min="7686" max="7934" width="9.140625" style="7"/>
    <col min="7935" max="7935" width="4" style="7" bestFit="1" customWidth="1"/>
    <col min="7936" max="7936" width="26.7109375" style="7" bestFit="1" customWidth="1"/>
    <col min="7937" max="7937" width="22.7109375" style="7" bestFit="1" customWidth="1"/>
    <col min="7938" max="7938" width="32.5703125" style="7" customWidth="1"/>
    <col min="7939" max="7939" width="57.28515625" style="7" customWidth="1"/>
    <col min="7940" max="7940" width="15.5703125" style="7" customWidth="1"/>
    <col min="7941" max="7941" width="16.7109375" style="7" customWidth="1"/>
    <col min="7942" max="8190" width="9.140625" style="7"/>
    <col min="8191" max="8191" width="4" style="7" bestFit="1" customWidth="1"/>
    <col min="8192" max="8192" width="26.7109375" style="7" bestFit="1" customWidth="1"/>
    <col min="8193" max="8193" width="22.7109375" style="7" bestFit="1" customWidth="1"/>
    <col min="8194" max="8194" width="32.5703125" style="7" customWidth="1"/>
    <col min="8195" max="8195" width="57.28515625" style="7" customWidth="1"/>
    <col min="8196" max="8196" width="15.5703125" style="7" customWidth="1"/>
    <col min="8197" max="8197" width="16.7109375" style="7" customWidth="1"/>
    <col min="8198" max="8446" width="9.140625" style="7"/>
    <col min="8447" max="8447" width="4" style="7" bestFit="1" customWidth="1"/>
    <col min="8448" max="8448" width="26.7109375" style="7" bestFit="1" customWidth="1"/>
    <col min="8449" max="8449" width="22.7109375" style="7" bestFit="1" customWidth="1"/>
    <col min="8450" max="8450" width="32.5703125" style="7" customWidth="1"/>
    <col min="8451" max="8451" width="57.28515625" style="7" customWidth="1"/>
    <col min="8452" max="8452" width="15.5703125" style="7" customWidth="1"/>
    <col min="8453" max="8453" width="16.7109375" style="7" customWidth="1"/>
    <col min="8454" max="8702" width="9.140625" style="7"/>
    <col min="8703" max="8703" width="4" style="7" bestFit="1" customWidth="1"/>
    <col min="8704" max="8704" width="26.7109375" style="7" bestFit="1" customWidth="1"/>
    <col min="8705" max="8705" width="22.7109375" style="7" bestFit="1" customWidth="1"/>
    <col min="8706" max="8706" width="32.5703125" style="7" customWidth="1"/>
    <col min="8707" max="8707" width="57.28515625" style="7" customWidth="1"/>
    <col min="8708" max="8708" width="15.5703125" style="7" customWidth="1"/>
    <col min="8709" max="8709" width="16.7109375" style="7" customWidth="1"/>
    <col min="8710" max="8958" width="9.140625" style="7"/>
    <col min="8959" max="8959" width="4" style="7" bestFit="1" customWidth="1"/>
    <col min="8960" max="8960" width="26.7109375" style="7" bestFit="1" customWidth="1"/>
    <col min="8961" max="8961" width="22.7109375" style="7" bestFit="1" customWidth="1"/>
    <col min="8962" max="8962" width="32.5703125" style="7" customWidth="1"/>
    <col min="8963" max="8963" width="57.28515625" style="7" customWidth="1"/>
    <col min="8964" max="8964" width="15.5703125" style="7" customWidth="1"/>
    <col min="8965" max="8965" width="16.7109375" style="7" customWidth="1"/>
    <col min="8966" max="9214" width="9.140625" style="7"/>
    <col min="9215" max="9215" width="4" style="7" bestFit="1" customWidth="1"/>
    <col min="9216" max="9216" width="26.7109375" style="7" bestFit="1" customWidth="1"/>
    <col min="9217" max="9217" width="22.7109375" style="7" bestFit="1" customWidth="1"/>
    <col min="9218" max="9218" width="32.5703125" style="7" customWidth="1"/>
    <col min="9219" max="9219" width="57.28515625" style="7" customWidth="1"/>
    <col min="9220" max="9220" width="15.5703125" style="7" customWidth="1"/>
    <col min="9221" max="9221" width="16.7109375" style="7" customWidth="1"/>
    <col min="9222" max="9470" width="9.140625" style="7"/>
    <col min="9471" max="9471" width="4" style="7" bestFit="1" customWidth="1"/>
    <col min="9472" max="9472" width="26.7109375" style="7" bestFit="1" customWidth="1"/>
    <col min="9473" max="9473" width="22.7109375" style="7" bestFit="1" customWidth="1"/>
    <col min="9474" max="9474" width="32.5703125" style="7" customWidth="1"/>
    <col min="9475" max="9475" width="57.28515625" style="7" customWidth="1"/>
    <col min="9476" max="9476" width="15.5703125" style="7" customWidth="1"/>
    <col min="9477" max="9477" width="16.7109375" style="7" customWidth="1"/>
    <col min="9478" max="9726" width="9.140625" style="7"/>
    <col min="9727" max="9727" width="4" style="7" bestFit="1" customWidth="1"/>
    <col min="9728" max="9728" width="26.7109375" style="7" bestFit="1" customWidth="1"/>
    <col min="9729" max="9729" width="22.7109375" style="7" bestFit="1" customWidth="1"/>
    <col min="9730" max="9730" width="32.5703125" style="7" customWidth="1"/>
    <col min="9731" max="9731" width="57.28515625" style="7" customWidth="1"/>
    <col min="9732" max="9732" width="15.5703125" style="7" customWidth="1"/>
    <col min="9733" max="9733" width="16.7109375" style="7" customWidth="1"/>
    <col min="9734" max="9982" width="9.140625" style="7"/>
    <col min="9983" max="9983" width="4" style="7" bestFit="1" customWidth="1"/>
    <col min="9984" max="9984" width="26.7109375" style="7" bestFit="1" customWidth="1"/>
    <col min="9985" max="9985" width="22.7109375" style="7" bestFit="1" customWidth="1"/>
    <col min="9986" max="9986" width="32.5703125" style="7" customWidth="1"/>
    <col min="9987" max="9987" width="57.28515625" style="7" customWidth="1"/>
    <col min="9988" max="9988" width="15.5703125" style="7" customWidth="1"/>
    <col min="9989" max="9989" width="16.7109375" style="7" customWidth="1"/>
    <col min="9990" max="10238" width="9.140625" style="7"/>
    <col min="10239" max="10239" width="4" style="7" bestFit="1" customWidth="1"/>
    <col min="10240" max="10240" width="26.7109375" style="7" bestFit="1" customWidth="1"/>
    <col min="10241" max="10241" width="22.7109375" style="7" bestFit="1" customWidth="1"/>
    <col min="10242" max="10242" width="32.5703125" style="7" customWidth="1"/>
    <col min="10243" max="10243" width="57.28515625" style="7" customWidth="1"/>
    <col min="10244" max="10244" width="15.5703125" style="7" customWidth="1"/>
    <col min="10245" max="10245" width="16.7109375" style="7" customWidth="1"/>
    <col min="10246" max="10494" width="9.140625" style="7"/>
    <col min="10495" max="10495" width="4" style="7" bestFit="1" customWidth="1"/>
    <col min="10496" max="10496" width="26.7109375" style="7" bestFit="1" customWidth="1"/>
    <col min="10497" max="10497" width="22.7109375" style="7" bestFit="1" customWidth="1"/>
    <col min="10498" max="10498" width="32.5703125" style="7" customWidth="1"/>
    <col min="10499" max="10499" width="57.28515625" style="7" customWidth="1"/>
    <col min="10500" max="10500" width="15.5703125" style="7" customWidth="1"/>
    <col min="10501" max="10501" width="16.7109375" style="7" customWidth="1"/>
    <col min="10502" max="10750" width="9.140625" style="7"/>
    <col min="10751" max="10751" width="4" style="7" bestFit="1" customWidth="1"/>
    <col min="10752" max="10752" width="26.7109375" style="7" bestFit="1" customWidth="1"/>
    <col min="10753" max="10753" width="22.7109375" style="7" bestFit="1" customWidth="1"/>
    <col min="10754" max="10754" width="32.5703125" style="7" customWidth="1"/>
    <col min="10755" max="10755" width="57.28515625" style="7" customWidth="1"/>
    <col min="10756" max="10756" width="15.5703125" style="7" customWidth="1"/>
    <col min="10757" max="10757" width="16.7109375" style="7" customWidth="1"/>
    <col min="10758" max="11006" width="9.140625" style="7"/>
    <col min="11007" max="11007" width="4" style="7" bestFit="1" customWidth="1"/>
    <col min="11008" max="11008" width="26.7109375" style="7" bestFit="1" customWidth="1"/>
    <col min="11009" max="11009" width="22.7109375" style="7" bestFit="1" customWidth="1"/>
    <col min="11010" max="11010" width="32.5703125" style="7" customWidth="1"/>
    <col min="11011" max="11011" width="57.28515625" style="7" customWidth="1"/>
    <col min="11012" max="11012" width="15.5703125" style="7" customWidth="1"/>
    <col min="11013" max="11013" width="16.7109375" style="7" customWidth="1"/>
    <col min="11014" max="11262" width="9.140625" style="7"/>
    <col min="11263" max="11263" width="4" style="7" bestFit="1" customWidth="1"/>
    <col min="11264" max="11264" width="26.7109375" style="7" bestFit="1" customWidth="1"/>
    <col min="11265" max="11265" width="22.7109375" style="7" bestFit="1" customWidth="1"/>
    <col min="11266" max="11266" width="32.5703125" style="7" customWidth="1"/>
    <col min="11267" max="11267" width="57.28515625" style="7" customWidth="1"/>
    <col min="11268" max="11268" width="15.5703125" style="7" customWidth="1"/>
    <col min="11269" max="11269" width="16.7109375" style="7" customWidth="1"/>
    <col min="11270" max="11518" width="9.140625" style="7"/>
    <col min="11519" max="11519" width="4" style="7" bestFit="1" customWidth="1"/>
    <col min="11520" max="11520" width="26.7109375" style="7" bestFit="1" customWidth="1"/>
    <col min="11521" max="11521" width="22.7109375" style="7" bestFit="1" customWidth="1"/>
    <col min="11522" max="11522" width="32.5703125" style="7" customWidth="1"/>
    <col min="11523" max="11523" width="57.28515625" style="7" customWidth="1"/>
    <col min="11524" max="11524" width="15.5703125" style="7" customWidth="1"/>
    <col min="11525" max="11525" width="16.7109375" style="7" customWidth="1"/>
    <col min="11526" max="11774" width="9.140625" style="7"/>
    <col min="11775" max="11775" width="4" style="7" bestFit="1" customWidth="1"/>
    <col min="11776" max="11776" width="26.7109375" style="7" bestFit="1" customWidth="1"/>
    <col min="11777" max="11777" width="22.7109375" style="7" bestFit="1" customWidth="1"/>
    <col min="11778" max="11778" width="32.5703125" style="7" customWidth="1"/>
    <col min="11779" max="11779" width="57.28515625" style="7" customWidth="1"/>
    <col min="11780" max="11780" width="15.5703125" style="7" customWidth="1"/>
    <col min="11781" max="11781" width="16.7109375" style="7" customWidth="1"/>
    <col min="11782" max="12030" width="9.140625" style="7"/>
    <col min="12031" max="12031" width="4" style="7" bestFit="1" customWidth="1"/>
    <col min="12032" max="12032" width="26.7109375" style="7" bestFit="1" customWidth="1"/>
    <col min="12033" max="12033" width="22.7109375" style="7" bestFit="1" customWidth="1"/>
    <col min="12034" max="12034" width="32.5703125" style="7" customWidth="1"/>
    <col min="12035" max="12035" width="57.28515625" style="7" customWidth="1"/>
    <col min="12036" max="12036" width="15.5703125" style="7" customWidth="1"/>
    <col min="12037" max="12037" width="16.7109375" style="7" customWidth="1"/>
    <col min="12038" max="12286" width="9.140625" style="7"/>
    <col min="12287" max="12287" width="4" style="7" bestFit="1" customWidth="1"/>
    <col min="12288" max="12288" width="26.7109375" style="7" bestFit="1" customWidth="1"/>
    <col min="12289" max="12289" width="22.7109375" style="7" bestFit="1" customWidth="1"/>
    <col min="12290" max="12290" width="32.5703125" style="7" customWidth="1"/>
    <col min="12291" max="12291" width="57.28515625" style="7" customWidth="1"/>
    <col min="12292" max="12292" width="15.5703125" style="7" customWidth="1"/>
    <col min="12293" max="12293" width="16.7109375" style="7" customWidth="1"/>
    <col min="12294" max="12542" width="9.140625" style="7"/>
    <col min="12543" max="12543" width="4" style="7" bestFit="1" customWidth="1"/>
    <col min="12544" max="12544" width="26.7109375" style="7" bestFit="1" customWidth="1"/>
    <col min="12545" max="12545" width="22.7109375" style="7" bestFit="1" customWidth="1"/>
    <col min="12546" max="12546" width="32.5703125" style="7" customWidth="1"/>
    <col min="12547" max="12547" width="57.28515625" style="7" customWidth="1"/>
    <col min="12548" max="12548" width="15.5703125" style="7" customWidth="1"/>
    <col min="12549" max="12549" width="16.7109375" style="7" customWidth="1"/>
    <col min="12550" max="12798" width="9.140625" style="7"/>
    <col min="12799" max="12799" width="4" style="7" bestFit="1" customWidth="1"/>
    <col min="12800" max="12800" width="26.7109375" style="7" bestFit="1" customWidth="1"/>
    <col min="12801" max="12801" width="22.7109375" style="7" bestFit="1" customWidth="1"/>
    <col min="12802" max="12802" width="32.5703125" style="7" customWidth="1"/>
    <col min="12803" max="12803" width="57.28515625" style="7" customWidth="1"/>
    <col min="12804" max="12804" width="15.5703125" style="7" customWidth="1"/>
    <col min="12805" max="12805" width="16.7109375" style="7" customWidth="1"/>
    <col min="12806" max="13054" width="9.140625" style="7"/>
    <col min="13055" max="13055" width="4" style="7" bestFit="1" customWidth="1"/>
    <col min="13056" max="13056" width="26.7109375" style="7" bestFit="1" customWidth="1"/>
    <col min="13057" max="13057" width="22.7109375" style="7" bestFit="1" customWidth="1"/>
    <col min="13058" max="13058" width="32.5703125" style="7" customWidth="1"/>
    <col min="13059" max="13059" width="57.28515625" style="7" customWidth="1"/>
    <col min="13060" max="13060" width="15.5703125" style="7" customWidth="1"/>
    <col min="13061" max="13061" width="16.7109375" style="7" customWidth="1"/>
    <col min="13062" max="13310" width="9.140625" style="7"/>
    <col min="13311" max="13311" width="4" style="7" bestFit="1" customWidth="1"/>
    <col min="13312" max="13312" width="26.7109375" style="7" bestFit="1" customWidth="1"/>
    <col min="13313" max="13313" width="22.7109375" style="7" bestFit="1" customWidth="1"/>
    <col min="13314" max="13314" width="32.5703125" style="7" customWidth="1"/>
    <col min="13315" max="13315" width="57.28515625" style="7" customWidth="1"/>
    <col min="13316" max="13316" width="15.5703125" style="7" customWidth="1"/>
    <col min="13317" max="13317" width="16.7109375" style="7" customWidth="1"/>
    <col min="13318" max="13566" width="9.140625" style="7"/>
    <col min="13567" max="13567" width="4" style="7" bestFit="1" customWidth="1"/>
    <col min="13568" max="13568" width="26.7109375" style="7" bestFit="1" customWidth="1"/>
    <col min="13569" max="13569" width="22.7109375" style="7" bestFit="1" customWidth="1"/>
    <col min="13570" max="13570" width="32.5703125" style="7" customWidth="1"/>
    <col min="13571" max="13571" width="57.28515625" style="7" customWidth="1"/>
    <col min="13572" max="13572" width="15.5703125" style="7" customWidth="1"/>
    <col min="13573" max="13573" width="16.7109375" style="7" customWidth="1"/>
    <col min="13574" max="13822" width="9.140625" style="7"/>
    <col min="13823" max="13823" width="4" style="7" bestFit="1" customWidth="1"/>
    <col min="13824" max="13824" width="26.7109375" style="7" bestFit="1" customWidth="1"/>
    <col min="13825" max="13825" width="22.7109375" style="7" bestFit="1" customWidth="1"/>
    <col min="13826" max="13826" width="32.5703125" style="7" customWidth="1"/>
    <col min="13827" max="13827" width="57.28515625" style="7" customWidth="1"/>
    <col min="13828" max="13828" width="15.5703125" style="7" customWidth="1"/>
    <col min="13829" max="13829" width="16.7109375" style="7" customWidth="1"/>
    <col min="13830" max="14078" width="9.140625" style="7"/>
    <col min="14079" max="14079" width="4" style="7" bestFit="1" customWidth="1"/>
    <col min="14080" max="14080" width="26.7109375" style="7" bestFit="1" customWidth="1"/>
    <col min="14081" max="14081" width="22.7109375" style="7" bestFit="1" customWidth="1"/>
    <col min="14082" max="14082" width="32.5703125" style="7" customWidth="1"/>
    <col min="14083" max="14083" width="57.28515625" style="7" customWidth="1"/>
    <col min="14084" max="14084" width="15.5703125" style="7" customWidth="1"/>
    <col min="14085" max="14085" width="16.7109375" style="7" customWidth="1"/>
    <col min="14086" max="14334" width="9.140625" style="7"/>
    <col min="14335" max="14335" width="4" style="7" bestFit="1" customWidth="1"/>
    <col min="14336" max="14336" width="26.7109375" style="7" bestFit="1" customWidth="1"/>
    <col min="14337" max="14337" width="22.7109375" style="7" bestFit="1" customWidth="1"/>
    <col min="14338" max="14338" width="32.5703125" style="7" customWidth="1"/>
    <col min="14339" max="14339" width="57.28515625" style="7" customWidth="1"/>
    <col min="14340" max="14340" width="15.5703125" style="7" customWidth="1"/>
    <col min="14341" max="14341" width="16.7109375" style="7" customWidth="1"/>
    <col min="14342" max="14590" width="9.140625" style="7"/>
    <col min="14591" max="14591" width="4" style="7" bestFit="1" customWidth="1"/>
    <col min="14592" max="14592" width="26.7109375" style="7" bestFit="1" customWidth="1"/>
    <col min="14593" max="14593" width="22.7109375" style="7" bestFit="1" customWidth="1"/>
    <col min="14594" max="14594" width="32.5703125" style="7" customWidth="1"/>
    <col min="14595" max="14595" width="57.28515625" style="7" customWidth="1"/>
    <col min="14596" max="14596" width="15.5703125" style="7" customWidth="1"/>
    <col min="14597" max="14597" width="16.7109375" style="7" customWidth="1"/>
    <col min="14598" max="14846" width="9.140625" style="7"/>
    <col min="14847" max="14847" width="4" style="7" bestFit="1" customWidth="1"/>
    <col min="14848" max="14848" width="26.7109375" style="7" bestFit="1" customWidth="1"/>
    <col min="14849" max="14849" width="22.7109375" style="7" bestFit="1" customWidth="1"/>
    <col min="14850" max="14850" width="32.5703125" style="7" customWidth="1"/>
    <col min="14851" max="14851" width="57.28515625" style="7" customWidth="1"/>
    <col min="14852" max="14852" width="15.5703125" style="7" customWidth="1"/>
    <col min="14853" max="14853" width="16.7109375" style="7" customWidth="1"/>
    <col min="14854" max="15102" width="9.140625" style="7"/>
    <col min="15103" max="15103" width="4" style="7" bestFit="1" customWidth="1"/>
    <col min="15104" max="15104" width="26.7109375" style="7" bestFit="1" customWidth="1"/>
    <col min="15105" max="15105" width="22.7109375" style="7" bestFit="1" customWidth="1"/>
    <col min="15106" max="15106" width="32.5703125" style="7" customWidth="1"/>
    <col min="15107" max="15107" width="57.28515625" style="7" customWidth="1"/>
    <col min="15108" max="15108" width="15.5703125" style="7" customWidth="1"/>
    <col min="15109" max="15109" width="16.7109375" style="7" customWidth="1"/>
    <col min="15110" max="15358" width="9.140625" style="7"/>
    <col min="15359" max="15359" width="4" style="7" bestFit="1" customWidth="1"/>
    <col min="15360" max="15360" width="26.7109375" style="7" bestFit="1" customWidth="1"/>
    <col min="15361" max="15361" width="22.7109375" style="7" bestFit="1" customWidth="1"/>
    <col min="15362" max="15362" width="32.5703125" style="7" customWidth="1"/>
    <col min="15363" max="15363" width="57.28515625" style="7" customWidth="1"/>
    <col min="15364" max="15364" width="15.5703125" style="7" customWidth="1"/>
    <col min="15365" max="15365" width="16.7109375" style="7" customWidth="1"/>
    <col min="15366" max="15614" width="9.140625" style="7"/>
    <col min="15615" max="15615" width="4" style="7" bestFit="1" customWidth="1"/>
    <col min="15616" max="15616" width="26.7109375" style="7" bestFit="1" customWidth="1"/>
    <col min="15617" max="15617" width="22.7109375" style="7" bestFit="1" customWidth="1"/>
    <col min="15618" max="15618" width="32.5703125" style="7" customWidth="1"/>
    <col min="15619" max="15619" width="57.28515625" style="7" customWidth="1"/>
    <col min="15620" max="15620" width="15.5703125" style="7" customWidth="1"/>
    <col min="15621" max="15621" width="16.7109375" style="7" customWidth="1"/>
    <col min="15622" max="15870" width="9.140625" style="7"/>
    <col min="15871" max="15871" width="4" style="7" bestFit="1" customWidth="1"/>
    <col min="15872" max="15872" width="26.7109375" style="7" bestFit="1" customWidth="1"/>
    <col min="15873" max="15873" width="22.7109375" style="7" bestFit="1" customWidth="1"/>
    <col min="15874" max="15874" width="32.5703125" style="7" customWidth="1"/>
    <col min="15875" max="15875" width="57.28515625" style="7" customWidth="1"/>
    <col min="15876" max="15876" width="15.5703125" style="7" customWidth="1"/>
    <col min="15877" max="15877" width="16.7109375" style="7" customWidth="1"/>
    <col min="15878" max="16126" width="9.140625" style="7"/>
    <col min="16127" max="16127" width="4" style="7" bestFit="1" customWidth="1"/>
    <col min="16128" max="16128" width="26.7109375" style="7" bestFit="1" customWidth="1"/>
    <col min="16129" max="16129" width="22.7109375" style="7" bestFit="1" customWidth="1"/>
    <col min="16130" max="16130" width="32.5703125" style="7" customWidth="1"/>
    <col min="16131" max="16131" width="57.28515625" style="7" customWidth="1"/>
    <col min="16132" max="16132" width="15.5703125" style="7" customWidth="1"/>
    <col min="16133" max="16133" width="16.7109375" style="7" customWidth="1"/>
    <col min="16134" max="16384" width="9.140625" style="7"/>
  </cols>
  <sheetData>
    <row r="1" spans="1:8" s="32" customFormat="1" ht="21" customHeight="1" x14ac:dyDescent="0.3">
      <c r="A1" s="141" t="s">
        <v>4</v>
      </c>
      <c r="B1" s="142"/>
      <c r="C1" s="143"/>
      <c r="D1" s="147" t="str">
        <f>Copertina!B8</f>
        <v>MEV 2026_1 Scheda Intervento Evolutive di SIES v1.0</v>
      </c>
      <c r="E1" s="148"/>
      <c r="F1" s="148"/>
      <c r="G1" s="149"/>
      <c r="H1" s="7"/>
    </row>
    <row r="2" spans="1:8" s="32" customFormat="1" ht="20.25" customHeight="1" thickBot="1" x14ac:dyDescent="0.35">
      <c r="A2" s="144" t="s">
        <v>11</v>
      </c>
      <c r="B2" s="145"/>
      <c r="C2" s="146"/>
      <c r="D2" s="150" t="str">
        <f>Copertina!B4</f>
        <v>B6437AAAEB-2026-1_Allegato_al_Piano_dei_Test_Evolutive_di_SIES_v1.0.xlsx</v>
      </c>
      <c r="E2" s="151"/>
      <c r="F2" s="151"/>
      <c r="G2" s="152"/>
      <c r="H2" s="33"/>
    </row>
    <row r="3" spans="1:8" ht="42" customHeight="1" thickBot="1" x14ac:dyDescent="0.35">
      <c r="A3" s="4" t="s">
        <v>8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17</v>
      </c>
      <c r="G3" s="6" t="s">
        <v>18</v>
      </c>
    </row>
    <row r="4" spans="1:8" ht="45" x14ac:dyDescent="0.25">
      <c r="A4" s="34" t="s">
        <v>41</v>
      </c>
      <c r="B4" s="28" t="s">
        <v>42</v>
      </c>
      <c r="C4" s="28" t="s">
        <v>43</v>
      </c>
      <c r="D4" s="28" t="s">
        <v>44</v>
      </c>
      <c r="E4" s="27" t="s">
        <v>45</v>
      </c>
      <c r="F4" s="27" t="s">
        <v>46</v>
      </c>
      <c r="G4" s="27"/>
    </row>
    <row r="5" spans="1:8" ht="30" x14ac:dyDescent="0.25">
      <c r="A5" s="34" t="s">
        <v>47</v>
      </c>
      <c r="B5" s="28" t="s">
        <v>42</v>
      </c>
      <c r="C5" s="28" t="s">
        <v>48</v>
      </c>
      <c r="D5" s="28" t="s">
        <v>49</v>
      </c>
      <c r="E5" s="28" t="s">
        <v>50</v>
      </c>
      <c r="F5" s="28" t="s">
        <v>46</v>
      </c>
      <c r="G5" s="28"/>
    </row>
    <row r="6" spans="1:8" ht="30" x14ac:dyDescent="0.25">
      <c r="A6" s="34" t="s">
        <v>51</v>
      </c>
      <c r="B6" s="28" t="s">
        <v>42</v>
      </c>
      <c r="C6" s="28" t="s">
        <v>52</v>
      </c>
      <c r="D6" s="28" t="s">
        <v>53</v>
      </c>
      <c r="E6" s="28" t="s">
        <v>54</v>
      </c>
      <c r="F6" s="28" t="s">
        <v>46</v>
      </c>
      <c r="G6" s="28"/>
    </row>
    <row r="7" spans="1:8" ht="30" x14ac:dyDescent="0.25">
      <c r="A7" s="34" t="s">
        <v>55</v>
      </c>
      <c r="B7" s="28" t="s">
        <v>56</v>
      </c>
      <c r="C7" s="28" t="s">
        <v>57</v>
      </c>
      <c r="D7" s="28" t="s">
        <v>58</v>
      </c>
      <c r="E7" s="28" t="s">
        <v>59</v>
      </c>
      <c r="F7" s="28" t="s">
        <v>46</v>
      </c>
      <c r="G7" s="28"/>
    </row>
    <row r="8" spans="1:8" ht="60" x14ac:dyDescent="0.25">
      <c r="A8" s="34" t="s">
        <v>60</v>
      </c>
      <c r="B8" s="28" t="s">
        <v>61</v>
      </c>
      <c r="C8" s="28" t="s">
        <v>62</v>
      </c>
      <c r="D8" s="28" t="s">
        <v>63</v>
      </c>
      <c r="E8" s="28" t="s">
        <v>64</v>
      </c>
      <c r="F8" s="28" t="s">
        <v>46</v>
      </c>
      <c r="G8" s="28"/>
    </row>
    <row r="9" spans="1:8" ht="30" x14ac:dyDescent="0.25">
      <c r="A9" s="34" t="s">
        <v>65</v>
      </c>
      <c r="B9" s="28" t="s">
        <v>61</v>
      </c>
      <c r="C9" s="28" t="s">
        <v>62</v>
      </c>
      <c r="D9" s="28" t="s">
        <v>66</v>
      </c>
      <c r="E9" s="28" t="s">
        <v>67</v>
      </c>
      <c r="F9" s="28" t="s">
        <v>46</v>
      </c>
      <c r="G9" s="28"/>
    </row>
    <row r="10" spans="1:8" ht="30" x14ac:dyDescent="0.25">
      <c r="A10" s="34" t="s">
        <v>68</v>
      </c>
      <c r="B10" s="28" t="s">
        <v>61</v>
      </c>
      <c r="C10" s="28" t="s">
        <v>62</v>
      </c>
      <c r="D10" s="28" t="s">
        <v>69</v>
      </c>
      <c r="E10" s="28" t="s">
        <v>70</v>
      </c>
      <c r="F10" s="28" t="s">
        <v>46</v>
      </c>
      <c r="G10" s="28"/>
    </row>
    <row r="11" spans="1:8" ht="60" x14ac:dyDescent="0.25">
      <c r="A11" s="34" t="s">
        <v>71</v>
      </c>
      <c r="B11" s="28" t="s">
        <v>61</v>
      </c>
      <c r="C11" s="28" t="s">
        <v>72</v>
      </c>
      <c r="D11" s="28" t="s">
        <v>73</v>
      </c>
      <c r="E11" s="28" t="s">
        <v>74</v>
      </c>
      <c r="F11" s="28" t="s">
        <v>46</v>
      </c>
      <c r="G11" s="28"/>
    </row>
  </sheetData>
  <mergeCells count="4">
    <mergeCell ref="A1:C1"/>
    <mergeCell ref="A2:C2"/>
    <mergeCell ref="D1:G1"/>
    <mergeCell ref="D2:G2"/>
  </mergeCells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sqref="A1:B1"/>
    </sheetView>
  </sheetViews>
  <sheetFormatPr defaultRowHeight="12.75" x14ac:dyDescent="0.2"/>
  <cols>
    <col min="1" max="1" width="24.140625" style="13" customWidth="1"/>
    <col min="2" max="2" width="29.85546875" style="13" customWidth="1"/>
    <col min="3" max="3" width="28.140625" style="13" customWidth="1"/>
    <col min="4" max="4" width="27" style="13" customWidth="1"/>
    <col min="5" max="5" width="30.5703125" style="13" customWidth="1"/>
    <col min="6" max="6" width="1.7109375" style="13" customWidth="1"/>
    <col min="7" max="256" width="9.140625" style="13"/>
    <col min="257" max="257" width="24.140625" style="13" customWidth="1"/>
    <col min="258" max="258" width="29.85546875" style="13" customWidth="1"/>
    <col min="259" max="259" width="28.140625" style="13" customWidth="1"/>
    <col min="260" max="260" width="27" style="13" customWidth="1"/>
    <col min="261" max="261" width="30.5703125" style="13" customWidth="1"/>
    <col min="262" max="262" width="1.7109375" style="13" customWidth="1"/>
    <col min="263" max="512" width="9.140625" style="13"/>
    <col min="513" max="513" width="24.140625" style="13" customWidth="1"/>
    <col min="514" max="514" width="29.85546875" style="13" customWidth="1"/>
    <col min="515" max="515" width="28.140625" style="13" customWidth="1"/>
    <col min="516" max="516" width="27" style="13" customWidth="1"/>
    <col min="517" max="517" width="30.5703125" style="13" customWidth="1"/>
    <col min="518" max="518" width="1.7109375" style="13" customWidth="1"/>
    <col min="519" max="768" width="9.140625" style="13"/>
    <col min="769" max="769" width="24.140625" style="13" customWidth="1"/>
    <col min="770" max="770" width="29.85546875" style="13" customWidth="1"/>
    <col min="771" max="771" width="28.140625" style="13" customWidth="1"/>
    <col min="772" max="772" width="27" style="13" customWidth="1"/>
    <col min="773" max="773" width="30.5703125" style="13" customWidth="1"/>
    <col min="774" max="774" width="1.7109375" style="13" customWidth="1"/>
    <col min="775" max="1024" width="9.140625" style="13"/>
    <col min="1025" max="1025" width="24.140625" style="13" customWidth="1"/>
    <col min="1026" max="1026" width="29.85546875" style="13" customWidth="1"/>
    <col min="1027" max="1027" width="28.140625" style="13" customWidth="1"/>
    <col min="1028" max="1028" width="27" style="13" customWidth="1"/>
    <col min="1029" max="1029" width="30.5703125" style="13" customWidth="1"/>
    <col min="1030" max="1030" width="1.7109375" style="13" customWidth="1"/>
    <col min="1031" max="1280" width="9.140625" style="13"/>
    <col min="1281" max="1281" width="24.140625" style="13" customWidth="1"/>
    <col min="1282" max="1282" width="29.85546875" style="13" customWidth="1"/>
    <col min="1283" max="1283" width="28.140625" style="13" customWidth="1"/>
    <col min="1284" max="1284" width="27" style="13" customWidth="1"/>
    <col min="1285" max="1285" width="30.5703125" style="13" customWidth="1"/>
    <col min="1286" max="1286" width="1.7109375" style="13" customWidth="1"/>
    <col min="1287" max="1536" width="9.140625" style="13"/>
    <col min="1537" max="1537" width="24.140625" style="13" customWidth="1"/>
    <col min="1538" max="1538" width="29.85546875" style="13" customWidth="1"/>
    <col min="1539" max="1539" width="28.140625" style="13" customWidth="1"/>
    <col min="1540" max="1540" width="27" style="13" customWidth="1"/>
    <col min="1541" max="1541" width="30.5703125" style="13" customWidth="1"/>
    <col min="1542" max="1542" width="1.7109375" style="13" customWidth="1"/>
    <col min="1543" max="1792" width="9.140625" style="13"/>
    <col min="1793" max="1793" width="24.140625" style="13" customWidth="1"/>
    <col min="1794" max="1794" width="29.85546875" style="13" customWidth="1"/>
    <col min="1795" max="1795" width="28.140625" style="13" customWidth="1"/>
    <col min="1796" max="1796" width="27" style="13" customWidth="1"/>
    <col min="1797" max="1797" width="30.5703125" style="13" customWidth="1"/>
    <col min="1798" max="1798" width="1.7109375" style="13" customWidth="1"/>
    <col min="1799" max="2048" width="9.140625" style="13"/>
    <col min="2049" max="2049" width="24.140625" style="13" customWidth="1"/>
    <col min="2050" max="2050" width="29.85546875" style="13" customWidth="1"/>
    <col min="2051" max="2051" width="28.140625" style="13" customWidth="1"/>
    <col min="2052" max="2052" width="27" style="13" customWidth="1"/>
    <col min="2053" max="2053" width="30.5703125" style="13" customWidth="1"/>
    <col min="2054" max="2054" width="1.7109375" style="13" customWidth="1"/>
    <col min="2055" max="2304" width="9.140625" style="13"/>
    <col min="2305" max="2305" width="24.140625" style="13" customWidth="1"/>
    <col min="2306" max="2306" width="29.85546875" style="13" customWidth="1"/>
    <col min="2307" max="2307" width="28.140625" style="13" customWidth="1"/>
    <col min="2308" max="2308" width="27" style="13" customWidth="1"/>
    <col min="2309" max="2309" width="30.5703125" style="13" customWidth="1"/>
    <col min="2310" max="2310" width="1.7109375" style="13" customWidth="1"/>
    <col min="2311" max="2560" width="9.140625" style="13"/>
    <col min="2561" max="2561" width="24.140625" style="13" customWidth="1"/>
    <col min="2562" max="2562" width="29.85546875" style="13" customWidth="1"/>
    <col min="2563" max="2563" width="28.140625" style="13" customWidth="1"/>
    <col min="2564" max="2564" width="27" style="13" customWidth="1"/>
    <col min="2565" max="2565" width="30.5703125" style="13" customWidth="1"/>
    <col min="2566" max="2566" width="1.7109375" style="13" customWidth="1"/>
    <col min="2567" max="2816" width="9.140625" style="13"/>
    <col min="2817" max="2817" width="24.140625" style="13" customWidth="1"/>
    <col min="2818" max="2818" width="29.85546875" style="13" customWidth="1"/>
    <col min="2819" max="2819" width="28.140625" style="13" customWidth="1"/>
    <col min="2820" max="2820" width="27" style="13" customWidth="1"/>
    <col min="2821" max="2821" width="30.5703125" style="13" customWidth="1"/>
    <col min="2822" max="2822" width="1.7109375" style="13" customWidth="1"/>
    <col min="2823" max="3072" width="9.140625" style="13"/>
    <col min="3073" max="3073" width="24.140625" style="13" customWidth="1"/>
    <col min="3074" max="3074" width="29.85546875" style="13" customWidth="1"/>
    <col min="3075" max="3075" width="28.140625" style="13" customWidth="1"/>
    <col min="3076" max="3076" width="27" style="13" customWidth="1"/>
    <col min="3077" max="3077" width="30.5703125" style="13" customWidth="1"/>
    <col min="3078" max="3078" width="1.7109375" style="13" customWidth="1"/>
    <col min="3079" max="3328" width="9.140625" style="13"/>
    <col min="3329" max="3329" width="24.140625" style="13" customWidth="1"/>
    <col min="3330" max="3330" width="29.85546875" style="13" customWidth="1"/>
    <col min="3331" max="3331" width="28.140625" style="13" customWidth="1"/>
    <col min="3332" max="3332" width="27" style="13" customWidth="1"/>
    <col min="3333" max="3333" width="30.5703125" style="13" customWidth="1"/>
    <col min="3334" max="3334" width="1.7109375" style="13" customWidth="1"/>
    <col min="3335" max="3584" width="9.140625" style="13"/>
    <col min="3585" max="3585" width="24.140625" style="13" customWidth="1"/>
    <col min="3586" max="3586" width="29.85546875" style="13" customWidth="1"/>
    <col min="3587" max="3587" width="28.140625" style="13" customWidth="1"/>
    <col min="3588" max="3588" width="27" style="13" customWidth="1"/>
    <col min="3589" max="3589" width="30.5703125" style="13" customWidth="1"/>
    <col min="3590" max="3590" width="1.7109375" style="13" customWidth="1"/>
    <col min="3591" max="3840" width="9.140625" style="13"/>
    <col min="3841" max="3841" width="24.140625" style="13" customWidth="1"/>
    <col min="3842" max="3842" width="29.85546875" style="13" customWidth="1"/>
    <col min="3843" max="3843" width="28.140625" style="13" customWidth="1"/>
    <col min="3844" max="3844" width="27" style="13" customWidth="1"/>
    <col min="3845" max="3845" width="30.5703125" style="13" customWidth="1"/>
    <col min="3846" max="3846" width="1.7109375" style="13" customWidth="1"/>
    <col min="3847" max="4096" width="9.140625" style="13"/>
    <col min="4097" max="4097" width="24.140625" style="13" customWidth="1"/>
    <col min="4098" max="4098" width="29.85546875" style="13" customWidth="1"/>
    <col min="4099" max="4099" width="28.140625" style="13" customWidth="1"/>
    <col min="4100" max="4100" width="27" style="13" customWidth="1"/>
    <col min="4101" max="4101" width="30.5703125" style="13" customWidth="1"/>
    <col min="4102" max="4102" width="1.7109375" style="13" customWidth="1"/>
    <col min="4103" max="4352" width="9.140625" style="13"/>
    <col min="4353" max="4353" width="24.140625" style="13" customWidth="1"/>
    <col min="4354" max="4354" width="29.85546875" style="13" customWidth="1"/>
    <col min="4355" max="4355" width="28.140625" style="13" customWidth="1"/>
    <col min="4356" max="4356" width="27" style="13" customWidth="1"/>
    <col min="4357" max="4357" width="30.5703125" style="13" customWidth="1"/>
    <col min="4358" max="4358" width="1.7109375" style="13" customWidth="1"/>
    <col min="4359" max="4608" width="9.140625" style="13"/>
    <col min="4609" max="4609" width="24.140625" style="13" customWidth="1"/>
    <col min="4610" max="4610" width="29.85546875" style="13" customWidth="1"/>
    <col min="4611" max="4611" width="28.140625" style="13" customWidth="1"/>
    <col min="4612" max="4612" width="27" style="13" customWidth="1"/>
    <col min="4613" max="4613" width="30.5703125" style="13" customWidth="1"/>
    <col min="4614" max="4614" width="1.7109375" style="13" customWidth="1"/>
    <col min="4615" max="4864" width="9.140625" style="13"/>
    <col min="4865" max="4865" width="24.140625" style="13" customWidth="1"/>
    <col min="4866" max="4866" width="29.85546875" style="13" customWidth="1"/>
    <col min="4867" max="4867" width="28.140625" style="13" customWidth="1"/>
    <col min="4868" max="4868" width="27" style="13" customWidth="1"/>
    <col min="4869" max="4869" width="30.5703125" style="13" customWidth="1"/>
    <col min="4870" max="4870" width="1.7109375" style="13" customWidth="1"/>
    <col min="4871" max="5120" width="9.140625" style="13"/>
    <col min="5121" max="5121" width="24.140625" style="13" customWidth="1"/>
    <col min="5122" max="5122" width="29.85546875" style="13" customWidth="1"/>
    <col min="5123" max="5123" width="28.140625" style="13" customWidth="1"/>
    <col min="5124" max="5124" width="27" style="13" customWidth="1"/>
    <col min="5125" max="5125" width="30.5703125" style="13" customWidth="1"/>
    <col min="5126" max="5126" width="1.7109375" style="13" customWidth="1"/>
    <col min="5127" max="5376" width="9.140625" style="13"/>
    <col min="5377" max="5377" width="24.140625" style="13" customWidth="1"/>
    <col min="5378" max="5378" width="29.85546875" style="13" customWidth="1"/>
    <col min="5379" max="5379" width="28.140625" style="13" customWidth="1"/>
    <col min="5380" max="5380" width="27" style="13" customWidth="1"/>
    <col min="5381" max="5381" width="30.5703125" style="13" customWidth="1"/>
    <col min="5382" max="5382" width="1.7109375" style="13" customWidth="1"/>
    <col min="5383" max="5632" width="9.140625" style="13"/>
    <col min="5633" max="5633" width="24.140625" style="13" customWidth="1"/>
    <col min="5634" max="5634" width="29.85546875" style="13" customWidth="1"/>
    <col min="5635" max="5635" width="28.140625" style="13" customWidth="1"/>
    <col min="5636" max="5636" width="27" style="13" customWidth="1"/>
    <col min="5637" max="5637" width="30.5703125" style="13" customWidth="1"/>
    <col min="5638" max="5638" width="1.7109375" style="13" customWidth="1"/>
    <col min="5639" max="5888" width="9.140625" style="13"/>
    <col min="5889" max="5889" width="24.140625" style="13" customWidth="1"/>
    <col min="5890" max="5890" width="29.85546875" style="13" customWidth="1"/>
    <col min="5891" max="5891" width="28.140625" style="13" customWidth="1"/>
    <col min="5892" max="5892" width="27" style="13" customWidth="1"/>
    <col min="5893" max="5893" width="30.5703125" style="13" customWidth="1"/>
    <col min="5894" max="5894" width="1.7109375" style="13" customWidth="1"/>
    <col min="5895" max="6144" width="9.140625" style="13"/>
    <col min="6145" max="6145" width="24.140625" style="13" customWidth="1"/>
    <col min="6146" max="6146" width="29.85546875" style="13" customWidth="1"/>
    <col min="6147" max="6147" width="28.140625" style="13" customWidth="1"/>
    <col min="6148" max="6148" width="27" style="13" customWidth="1"/>
    <col min="6149" max="6149" width="30.5703125" style="13" customWidth="1"/>
    <col min="6150" max="6150" width="1.7109375" style="13" customWidth="1"/>
    <col min="6151" max="6400" width="9.140625" style="13"/>
    <col min="6401" max="6401" width="24.140625" style="13" customWidth="1"/>
    <col min="6402" max="6402" width="29.85546875" style="13" customWidth="1"/>
    <col min="6403" max="6403" width="28.140625" style="13" customWidth="1"/>
    <col min="6404" max="6404" width="27" style="13" customWidth="1"/>
    <col min="6405" max="6405" width="30.5703125" style="13" customWidth="1"/>
    <col min="6406" max="6406" width="1.7109375" style="13" customWidth="1"/>
    <col min="6407" max="6656" width="9.140625" style="13"/>
    <col min="6657" max="6657" width="24.140625" style="13" customWidth="1"/>
    <col min="6658" max="6658" width="29.85546875" style="13" customWidth="1"/>
    <col min="6659" max="6659" width="28.140625" style="13" customWidth="1"/>
    <col min="6660" max="6660" width="27" style="13" customWidth="1"/>
    <col min="6661" max="6661" width="30.5703125" style="13" customWidth="1"/>
    <col min="6662" max="6662" width="1.7109375" style="13" customWidth="1"/>
    <col min="6663" max="6912" width="9.140625" style="13"/>
    <col min="6913" max="6913" width="24.140625" style="13" customWidth="1"/>
    <col min="6914" max="6914" width="29.85546875" style="13" customWidth="1"/>
    <col min="6915" max="6915" width="28.140625" style="13" customWidth="1"/>
    <col min="6916" max="6916" width="27" style="13" customWidth="1"/>
    <col min="6917" max="6917" width="30.5703125" style="13" customWidth="1"/>
    <col min="6918" max="6918" width="1.7109375" style="13" customWidth="1"/>
    <col min="6919" max="7168" width="9.140625" style="13"/>
    <col min="7169" max="7169" width="24.140625" style="13" customWidth="1"/>
    <col min="7170" max="7170" width="29.85546875" style="13" customWidth="1"/>
    <col min="7171" max="7171" width="28.140625" style="13" customWidth="1"/>
    <col min="7172" max="7172" width="27" style="13" customWidth="1"/>
    <col min="7173" max="7173" width="30.5703125" style="13" customWidth="1"/>
    <col min="7174" max="7174" width="1.7109375" style="13" customWidth="1"/>
    <col min="7175" max="7424" width="9.140625" style="13"/>
    <col min="7425" max="7425" width="24.140625" style="13" customWidth="1"/>
    <col min="7426" max="7426" width="29.85546875" style="13" customWidth="1"/>
    <col min="7427" max="7427" width="28.140625" style="13" customWidth="1"/>
    <col min="7428" max="7428" width="27" style="13" customWidth="1"/>
    <col min="7429" max="7429" width="30.5703125" style="13" customWidth="1"/>
    <col min="7430" max="7430" width="1.7109375" style="13" customWidth="1"/>
    <col min="7431" max="7680" width="9.140625" style="13"/>
    <col min="7681" max="7681" width="24.140625" style="13" customWidth="1"/>
    <col min="7682" max="7682" width="29.85546875" style="13" customWidth="1"/>
    <col min="7683" max="7683" width="28.140625" style="13" customWidth="1"/>
    <col min="7684" max="7684" width="27" style="13" customWidth="1"/>
    <col min="7685" max="7685" width="30.5703125" style="13" customWidth="1"/>
    <col min="7686" max="7686" width="1.7109375" style="13" customWidth="1"/>
    <col min="7687" max="7936" width="9.140625" style="13"/>
    <col min="7937" max="7937" width="24.140625" style="13" customWidth="1"/>
    <col min="7938" max="7938" width="29.85546875" style="13" customWidth="1"/>
    <col min="7939" max="7939" width="28.140625" style="13" customWidth="1"/>
    <col min="7940" max="7940" width="27" style="13" customWidth="1"/>
    <col min="7941" max="7941" width="30.5703125" style="13" customWidth="1"/>
    <col min="7942" max="7942" width="1.7109375" style="13" customWidth="1"/>
    <col min="7943" max="8192" width="9.140625" style="13"/>
    <col min="8193" max="8193" width="24.140625" style="13" customWidth="1"/>
    <col min="8194" max="8194" width="29.85546875" style="13" customWidth="1"/>
    <col min="8195" max="8195" width="28.140625" style="13" customWidth="1"/>
    <col min="8196" max="8196" width="27" style="13" customWidth="1"/>
    <col min="8197" max="8197" width="30.5703125" style="13" customWidth="1"/>
    <col min="8198" max="8198" width="1.7109375" style="13" customWidth="1"/>
    <col min="8199" max="8448" width="9.140625" style="13"/>
    <col min="8449" max="8449" width="24.140625" style="13" customWidth="1"/>
    <col min="8450" max="8450" width="29.85546875" style="13" customWidth="1"/>
    <col min="8451" max="8451" width="28.140625" style="13" customWidth="1"/>
    <col min="8452" max="8452" width="27" style="13" customWidth="1"/>
    <col min="8453" max="8453" width="30.5703125" style="13" customWidth="1"/>
    <col min="8454" max="8454" width="1.7109375" style="13" customWidth="1"/>
    <col min="8455" max="8704" width="9.140625" style="13"/>
    <col min="8705" max="8705" width="24.140625" style="13" customWidth="1"/>
    <col min="8706" max="8706" width="29.85546875" style="13" customWidth="1"/>
    <col min="8707" max="8707" width="28.140625" style="13" customWidth="1"/>
    <col min="8708" max="8708" width="27" style="13" customWidth="1"/>
    <col min="8709" max="8709" width="30.5703125" style="13" customWidth="1"/>
    <col min="8710" max="8710" width="1.7109375" style="13" customWidth="1"/>
    <col min="8711" max="8960" width="9.140625" style="13"/>
    <col min="8961" max="8961" width="24.140625" style="13" customWidth="1"/>
    <col min="8962" max="8962" width="29.85546875" style="13" customWidth="1"/>
    <col min="8963" max="8963" width="28.140625" style="13" customWidth="1"/>
    <col min="8964" max="8964" width="27" style="13" customWidth="1"/>
    <col min="8965" max="8965" width="30.5703125" style="13" customWidth="1"/>
    <col min="8966" max="8966" width="1.7109375" style="13" customWidth="1"/>
    <col min="8967" max="9216" width="9.140625" style="13"/>
    <col min="9217" max="9217" width="24.140625" style="13" customWidth="1"/>
    <col min="9218" max="9218" width="29.85546875" style="13" customWidth="1"/>
    <col min="9219" max="9219" width="28.140625" style="13" customWidth="1"/>
    <col min="9220" max="9220" width="27" style="13" customWidth="1"/>
    <col min="9221" max="9221" width="30.5703125" style="13" customWidth="1"/>
    <col min="9222" max="9222" width="1.7109375" style="13" customWidth="1"/>
    <col min="9223" max="9472" width="9.140625" style="13"/>
    <col min="9473" max="9473" width="24.140625" style="13" customWidth="1"/>
    <col min="9474" max="9474" width="29.85546875" style="13" customWidth="1"/>
    <col min="9475" max="9475" width="28.140625" style="13" customWidth="1"/>
    <col min="9476" max="9476" width="27" style="13" customWidth="1"/>
    <col min="9477" max="9477" width="30.5703125" style="13" customWidth="1"/>
    <col min="9478" max="9478" width="1.7109375" style="13" customWidth="1"/>
    <col min="9479" max="9728" width="9.140625" style="13"/>
    <col min="9729" max="9729" width="24.140625" style="13" customWidth="1"/>
    <col min="9730" max="9730" width="29.85546875" style="13" customWidth="1"/>
    <col min="9731" max="9731" width="28.140625" style="13" customWidth="1"/>
    <col min="9732" max="9732" width="27" style="13" customWidth="1"/>
    <col min="9733" max="9733" width="30.5703125" style="13" customWidth="1"/>
    <col min="9734" max="9734" width="1.7109375" style="13" customWidth="1"/>
    <col min="9735" max="9984" width="9.140625" style="13"/>
    <col min="9985" max="9985" width="24.140625" style="13" customWidth="1"/>
    <col min="9986" max="9986" width="29.85546875" style="13" customWidth="1"/>
    <col min="9987" max="9987" width="28.140625" style="13" customWidth="1"/>
    <col min="9988" max="9988" width="27" style="13" customWidth="1"/>
    <col min="9989" max="9989" width="30.5703125" style="13" customWidth="1"/>
    <col min="9990" max="9990" width="1.7109375" style="13" customWidth="1"/>
    <col min="9991" max="10240" width="9.140625" style="13"/>
    <col min="10241" max="10241" width="24.140625" style="13" customWidth="1"/>
    <col min="10242" max="10242" width="29.85546875" style="13" customWidth="1"/>
    <col min="10243" max="10243" width="28.140625" style="13" customWidth="1"/>
    <col min="10244" max="10244" width="27" style="13" customWidth="1"/>
    <col min="10245" max="10245" width="30.5703125" style="13" customWidth="1"/>
    <col min="10246" max="10246" width="1.7109375" style="13" customWidth="1"/>
    <col min="10247" max="10496" width="9.140625" style="13"/>
    <col min="10497" max="10497" width="24.140625" style="13" customWidth="1"/>
    <col min="10498" max="10498" width="29.85546875" style="13" customWidth="1"/>
    <col min="10499" max="10499" width="28.140625" style="13" customWidth="1"/>
    <col min="10500" max="10500" width="27" style="13" customWidth="1"/>
    <col min="10501" max="10501" width="30.5703125" style="13" customWidth="1"/>
    <col min="10502" max="10502" width="1.7109375" style="13" customWidth="1"/>
    <col min="10503" max="10752" width="9.140625" style="13"/>
    <col min="10753" max="10753" width="24.140625" style="13" customWidth="1"/>
    <col min="10754" max="10754" width="29.85546875" style="13" customWidth="1"/>
    <col min="10755" max="10755" width="28.140625" style="13" customWidth="1"/>
    <col min="10756" max="10756" width="27" style="13" customWidth="1"/>
    <col min="10757" max="10757" width="30.5703125" style="13" customWidth="1"/>
    <col min="10758" max="10758" width="1.7109375" style="13" customWidth="1"/>
    <col min="10759" max="11008" width="9.140625" style="13"/>
    <col min="11009" max="11009" width="24.140625" style="13" customWidth="1"/>
    <col min="11010" max="11010" width="29.85546875" style="13" customWidth="1"/>
    <col min="11011" max="11011" width="28.140625" style="13" customWidth="1"/>
    <col min="11012" max="11012" width="27" style="13" customWidth="1"/>
    <col min="11013" max="11013" width="30.5703125" style="13" customWidth="1"/>
    <col min="11014" max="11014" width="1.7109375" style="13" customWidth="1"/>
    <col min="11015" max="11264" width="9.140625" style="13"/>
    <col min="11265" max="11265" width="24.140625" style="13" customWidth="1"/>
    <col min="11266" max="11266" width="29.85546875" style="13" customWidth="1"/>
    <col min="11267" max="11267" width="28.140625" style="13" customWidth="1"/>
    <col min="11268" max="11268" width="27" style="13" customWidth="1"/>
    <col min="11269" max="11269" width="30.5703125" style="13" customWidth="1"/>
    <col min="11270" max="11270" width="1.7109375" style="13" customWidth="1"/>
    <col min="11271" max="11520" width="9.140625" style="13"/>
    <col min="11521" max="11521" width="24.140625" style="13" customWidth="1"/>
    <col min="11522" max="11522" width="29.85546875" style="13" customWidth="1"/>
    <col min="11523" max="11523" width="28.140625" style="13" customWidth="1"/>
    <col min="11524" max="11524" width="27" style="13" customWidth="1"/>
    <col min="11525" max="11525" width="30.5703125" style="13" customWidth="1"/>
    <col min="11526" max="11526" width="1.7109375" style="13" customWidth="1"/>
    <col min="11527" max="11776" width="9.140625" style="13"/>
    <col min="11777" max="11777" width="24.140625" style="13" customWidth="1"/>
    <col min="11778" max="11778" width="29.85546875" style="13" customWidth="1"/>
    <col min="11779" max="11779" width="28.140625" style="13" customWidth="1"/>
    <col min="11780" max="11780" width="27" style="13" customWidth="1"/>
    <col min="11781" max="11781" width="30.5703125" style="13" customWidth="1"/>
    <col min="11782" max="11782" width="1.7109375" style="13" customWidth="1"/>
    <col min="11783" max="12032" width="9.140625" style="13"/>
    <col min="12033" max="12033" width="24.140625" style="13" customWidth="1"/>
    <col min="12034" max="12034" width="29.85546875" style="13" customWidth="1"/>
    <col min="12035" max="12035" width="28.140625" style="13" customWidth="1"/>
    <col min="12036" max="12036" width="27" style="13" customWidth="1"/>
    <col min="12037" max="12037" width="30.5703125" style="13" customWidth="1"/>
    <col min="12038" max="12038" width="1.7109375" style="13" customWidth="1"/>
    <col min="12039" max="12288" width="9.140625" style="13"/>
    <col min="12289" max="12289" width="24.140625" style="13" customWidth="1"/>
    <col min="12290" max="12290" width="29.85546875" style="13" customWidth="1"/>
    <col min="12291" max="12291" width="28.140625" style="13" customWidth="1"/>
    <col min="12292" max="12292" width="27" style="13" customWidth="1"/>
    <col min="12293" max="12293" width="30.5703125" style="13" customWidth="1"/>
    <col min="12294" max="12294" width="1.7109375" style="13" customWidth="1"/>
    <col min="12295" max="12544" width="9.140625" style="13"/>
    <col min="12545" max="12545" width="24.140625" style="13" customWidth="1"/>
    <col min="12546" max="12546" width="29.85546875" style="13" customWidth="1"/>
    <col min="12547" max="12547" width="28.140625" style="13" customWidth="1"/>
    <col min="12548" max="12548" width="27" style="13" customWidth="1"/>
    <col min="12549" max="12549" width="30.5703125" style="13" customWidth="1"/>
    <col min="12550" max="12550" width="1.7109375" style="13" customWidth="1"/>
    <col min="12551" max="12800" width="9.140625" style="13"/>
    <col min="12801" max="12801" width="24.140625" style="13" customWidth="1"/>
    <col min="12802" max="12802" width="29.85546875" style="13" customWidth="1"/>
    <col min="12803" max="12803" width="28.140625" style="13" customWidth="1"/>
    <col min="12804" max="12804" width="27" style="13" customWidth="1"/>
    <col min="12805" max="12805" width="30.5703125" style="13" customWidth="1"/>
    <col min="12806" max="12806" width="1.7109375" style="13" customWidth="1"/>
    <col min="12807" max="13056" width="9.140625" style="13"/>
    <col min="13057" max="13057" width="24.140625" style="13" customWidth="1"/>
    <col min="13058" max="13058" width="29.85546875" style="13" customWidth="1"/>
    <col min="13059" max="13059" width="28.140625" style="13" customWidth="1"/>
    <col min="13060" max="13060" width="27" style="13" customWidth="1"/>
    <col min="13061" max="13061" width="30.5703125" style="13" customWidth="1"/>
    <col min="13062" max="13062" width="1.7109375" style="13" customWidth="1"/>
    <col min="13063" max="13312" width="9.140625" style="13"/>
    <col min="13313" max="13313" width="24.140625" style="13" customWidth="1"/>
    <col min="13314" max="13314" width="29.85546875" style="13" customWidth="1"/>
    <col min="13315" max="13315" width="28.140625" style="13" customWidth="1"/>
    <col min="13316" max="13316" width="27" style="13" customWidth="1"/>
    <col min="13317" max="13317" width="30.5703125" style="13" customWidth="1"/>
    <col min="13318" max="13318" width="1.7109375" style="13" customWidth="1"/>
    <col min="13319" max="13568" width="9.140625" style="13"/>
    <col min="13569" max="13569" width="24.140625" style="13" customWidth="1"/>
    <col min="13570" max="13570" width="29.85546875" style="13" customWidth="1"/>
    <col min="13571" max="13571" width="28.140625" style="13" customWidth="1"/>
    <col min="13572" max="13572" width="27" style="13" customWidth="1"/>
    <col min="13573" max="13573" width="30.5703125" style="13" customWidth="1"/>
    <col min="13574" max="13574" width="1.7109375" style="13" customWidth="1"/>
    <col min="13575" max="13824" width="9.140625" style="13"/>
    <col min="13825" max="13825" width="24.140625" style="13" customWidth="1"/>
    <col min="13826" max="13826" width="29.85546875" style="13" customWidth="1"/>
    <col min="13827" max="13827" width="28.140625" style="13" customWidth="1"/>
    <col min="13828" max="13828" width="27" style="13" customWidth="1"/>
    <col min="13829" max="13829" width="30.5703125" style="13" customWidth="1"/>
    <col min="13830" max="13830" width="1.7109375" style="13" customWidth="1"/>
    <col min="13831" max="14080" width="9.140625" style="13"/>
    <col min="14081" max="14081" width="24.140625" style="13" customWidth="1"/>
    <col min="14082" max="14082" width="29.85546875" style="13" customWidth="1"/>
    <col min="14083" max="14083" width="28.140625" style="13" customWidth="1"/>
    <col min="14084" max="14084" width="27" style="13" customWidth="1"/>
    <col min="14085" max="14085" width="30.5703125" style="13" customWidth="1"/>
    <col min="14086" max="14086" width="1.7109375" style="13" customWidth="1"/>
    <col min="14087" max="14336" width="9.140625" style="13"/>
    <col min="14337" max="14337" width="24.140625" style="13" customWidth="1"/>
    <col min="14338" max="14338" width="29.85546875" style="13" customWidth="1"/>
    <col min="14339" max="14339" width="28.140625" style="13" customWidth="1"/>
    <col min="14340" max="14340" width="27" style="13" customWidth="1"/>
    <col min="14341" max="14341" width="30.5703125" style="13" customWidth="1"/>
    <col min="14342" max="14342" width="1.7109375" style="13" customWidth="1"/>
    <col min="14343" max="14592" width="9.140625" style="13"/>
    <col min="14593" max="14593" width="24.140625" style="13" customWidth="1"/>
    <col min="14594" max="14594" width="29.85546875" style="13" customWidth="1"/>
    <col min="14595" max="14595" width="28.140625" style="13" customWidth="1"/>
    <col min="14596" max="14596" width="27" style="13" customWidth="1"/>
    <col min="14597" max="14597" width="30.5703125" style="13" customWidth="1"/>
    <col min="14598" max="14598" width="1.7109375" style="13" customWidth="1"/>
    <col min="14599" max="14848" width="9.140625" style="13"/>
    <col min="14849" max="14849" width="24.140625" style="13" customWidth="1"/>
    <col min="14850" max="14850" width="29.85546875" style="13" customWidth="1"/>
    <col min="14851" max="14851" width="28.140625" style="13" customWidth="1"/>
    <col min="14852" max="14852" width="27" style="13" customWidth="1"/>
    <col min="14853" max="14853" width="30.5703125" style="13" customWidth="1"/>
    <col min="14854" max="14854" width="1.7109375" style="13" customWidth="1"/>
    <col min="14855" max="15104" width="9.140625" style="13"/>
    <col min="15105" max="15105" width="24.140625" style="13" customWidth="1"/>
    <col min="15106" max="15106" width="29.85546875" style="13" customWidth="1"/>
    <col min="15107" max="15107" width="28.140625" style="13" customWidth="1"/>
    <col min="15108" max="15108" width="27" style="13" customWidth="1"/>
    <col min="15109" max="15109" width="30.5703125" style="13" customWidth="1"/>
    <col min="15110" max="15110" width="1.7109375" style="13" customWidth="1"/>
    <col min="15111" max="15360" width="9.140625" style="13"/>
    <col min="15361" max="15361" width="24.140625" style="13" customWidth="1"/>
    <col min="15362" max="15362" width="29.85546875" style="13" customWidth="1"/>
    <col min="15363" max="15363" width="28.140625" style="13" customWidth="1"/>
    <col min="15364" max="15364" width="27" style="13" customWidth="1"/>
    <col min="15365" max="15365" width="30.5703125" style="13" customWidth="1"/>
    <col min="15366" max="15366" width="1.7109375" style="13" customWidth="1"/>
    <col min="15367" max="15616" width="9.140625" style="13"/>
    <col min="15617" max="15617" width="24.140625" style="13" customWidth="1"/>
    <col min="15618" max="15618" width="29.85546875" style="13" customWidth="1"/>
    <col min="15619" max="15619" width="28.140625" style="13" customWidth="1"/>
    <col min="15620" max="15620" width="27" style="13" customWidth="1"/>
    <col min="15621" max="15621" width="30.5703125" style="13" customWidth="1"/>
    <col min="15622" max="15622" width="1.7109375" style="13" customWidth="1"/>
    <col min="15623" max="15872" width="9.140625" style="13"/>
    <col min="15873" max="15873" width="24.140625" style="13" customWidth="1"/>
    <col min="15874" max="15874" width="29.85546875" style="13" customWidth="1"/>
    <col min="15875" max="15875" width="28.140625" style="13" customWidth="1"/>
    <col min="15876" max="15876" width="27" style="13" customWidth="1"/>
    <col min="15877" max="15877" width="30.5703125" style="13" customWidth="1"/>
    <col min="15878" max="15878" width="1.7109375" style="13" customWidth="1"/>
    <col min="15879" max="16128" width="9.140625" style="13"/>
    <col min="16129" max="16129" width="24.140625" style="13" customWidth="1"/>
    <col min="16130" max="16130" width="29.85546875" style="13" customWidth="1"/>
    <col min="16131" max="16131" width="28.140625" style="13" customWidth="1"/>
    <col min="16132" max="16132" width="27" style="13" customWidth="1"/>
    <col min="16133" max="16133" width="30.5703125" style="13" customWidth="1"/>
    <col min="16134" max="16134" width="1.7109375" style="13" customWidth="1"/>
    <col min="16135" max="16384" width="9.140625" style="13"/>
  </cols>
  <sheetData>
    <row r="1" spans="1:9" s="2" customFormat="1" ht="21" customHeight="1" x14ac:dyDescent="0.3">
      <c r="A1" s="174" t="s">
        <v>4</v>
      </c>
      <c r="B1" s="174"/>
      <c r="C1" s="176" t="str">
        <f>Copertina!B8</f>
        <v>MEV 2026_1 Scheda Intervento Evolutive di SIES v1.0</v>
      </c>
      <c r="D1" s="176"/>
      <c r="E1" s="176"/>
      <c r="F1" s="8"/>
      <c r="G1" s="9"/>
      <c r="H1" s="1"/>
    </row>
    <row r="2" spans="1:9" s="2" customFormat="1" ht="20.25" customHeight="1" thickBot="1" x14ac:dyDescent="0.35">
      <c r="A2" s="175" t="s">
        <v>11</v>
      </c>
      <c r="B2" s="175"/>
      <c r="C2" s="177" t="str">
        <f>Copertina!B4</f>
        <v>B6437AAAEB-2026-1_Allegato_al_Piano_dei_Test_Evolutive_di_SIES_v1.0.xlsx</v>
      </c>
      <c r="D2" s="177"/>
      <c r="E2" s="177"/>
      <c r="F2" s="10"/>
      <c r="G2" s="11"/>
      <c r="H2" s="3"/>
    </row>
    <row r="3" spans="1:9" s="12" customFormat="1" ht="27" customHeight="1" thickBot="1" x14ac:dyDescent="0.3">
      <c r="A3" s="158" t="s">
        <v>19</v>
      </c>
      <c r="B3" s="159"/>
      <c r="C3" s="159"/>
      <c r="D3" s="159"/>
      <c r="E3" s="160"/>
      <c r="G3" s="161" t="s">
        <v>20</v>
      </c>
      <c r="H3" s="162"/>
      <c r="I3" s="163"/>
    </row>
    <row r="4" spans="1:9" ht="23.25" customHeight="1" thickBot="1" x14ac:dyDescent="0.25">
      <c r="A4" s="170" t="s">
        <v>21</v>
      </c>
      <c r="B4" s="171" t="s">
        <v>22</v>
      </c>
      <c r="C4" s="172"/>
      <c r="D4" s="172"/>
      <c r="E4" s="173"/>
      <c r="G4" s="164"/>
      <c r="H4" s="165"/>
      <c r="I4" s="166"/>
    </row>
    <row r="5" spans="1:9" ht="26.25" customHeight="1" thickBot="1" x14ac:dyDescent="0.25">
      <c r="A5" s="154"/>
      <c r="B5" s="14">
        <v>1</v>
      </c>
      <c r="C5" s="14">
        <v>2</v>
      </c>
      <c r="D5" s="14">
        <v>3</v>
      </c>
      <c r="E5" s="15">
        <v>4</v>
      </c>
      <c r="G5" s="164"/>
      <c r="H5" s="165"/>
      <c r="I5" s="166"/>
    </row>
    <row r="6" spans="1:9" ht="15.75" thickBot="1" x14ac:dyDescent="0.25">
      <c r="A6" s="16" t="s">
        <v>23</v>
      </c>
      <c r="B6" s="17">
        <f>COUNTIFS(TabellaTest!$H$6:$H$306,1,TabellaTest!$I$6:$I$306,"A",TabellaTest!$J$6:$J$306,"KO")</f>
        <v>0</v>
      </c>
      <c r="C6" s="17">
        <f>COUNTIFS(TabellaTest!$H$6:$H$306,2,TabellaTest!$I$6:$I$306,"A",TabellaTest!$J$6:$J$306,"KO")</f>
        <v>0</v>
      </c>
      <c r="D6" s="17">
        <f>COUNTIFS(TabellaTest!$H$6:$H$306,3,TabellaTest!$I$6:$I$306,"A",TabellaTest!$J$6:$J$306,"KO")</f>
        <v>0</v>
      </c>
      <c r="E6" s="17">
        <f>COUNTIFS(TabellaTest!$H$6:$H$306,4,TabellaTest!$I$6:$I$306,"A",TabellaTest!$J$6:$J$306,"KO")</f>
        <v>0</v>
      </c>
      <c r="G6" s="164"/>
      <c r="H6" s="165"/>
      <c r="I6" s="166"/>
    </row>
    <row r="7" spans="1:9" ht="15.75" thickBot="1" x14ac:dyDescent="0.25">
      <c r="A7" s="18" t="s">
        <v>24</v>
      </c>
      <c r="B7" s="17">
        <f>COUNTIFS(TabellaTest!$H$6:$H$306,1,TabellaTest!$I$6:$I$306,"B",TabellaTest!$J$6:$J$306,"KO")</f>
        <v>0</v>
      </c>
      <c r="C7" s="17">
        <f>COUNTIFS(TabellaTest!$H$6:$H$306,2,TabellaTest!$I$6:$I$306,"B",TabellaTest!$J$6:$J$306,"KO")</f>
        <v>0</v>
      </c>
      <c r="D7" s="17">
        <f>COUNTIFS(TabellaTest!$H$6:$H$306,3,TabellaTest!$I$6:$I$306,"B",TabellaTest!$J$6:$J$306,"KO")</f>
        <v>0</v>
      </c>
      <c r="E7" s="17">
        <f>COUNTIFS(TabellaTest!$H$6:$H$306,4,TabellaTest!$I$6:$I$306,"B",TabellaTest!$J$6:$J$306,"KO")</f>
        <v>0</v>
      </c>
      <c r="G7" s="164"/>
      <c r="H7" s="165"/>
      <c r="I7" s="166"/>
    </row>
    <row r="8" spans="1:9" ht="15.75" thickBot="1" x14ac:dyDescent="0.25">
      <c r="A8" s="19" t="s">
        <v>25</v>
      </c>
      <c r="B8" s="17">
        <f>COUNTIFS(TabellaTest!$H$6:$H$306,1,TabellaTest!$I$6:$I$306,"C",TabellaTest!$J$6:$J$306,"KO")</f>
        <v>0</v>
      </c>
      <c r="C8" s="17">
        <f>COUNTIFS(TabellaTest!$H$6:$H$306,2,TabellaTest!$I$6:$I$306,"C",TabellaTest!$J$6:$J$306,"KO")</f>
        <v>0</v>
      </c>
      <c r="D8" s="17">
        <f>COUNTIFS(TabellaTest!$H$6:$H$306,3,TabellaTest!$I$6:$I$306,"C",TabellaTest!$J$6:$J$306,"KO")</f>
        <v>0</v>
      </c>
      <c r="E8" s="17">
        <f>COUNTIFS(TabellaTest!$H$6:$H$306,4,TabellaTest!$I$6:$I$306,"C",TabellaTest!$J$6:$J$306,"KO")</f>
        <v>0</v>
      </c>
      <c r="G8" s="167"/>
      <c r="H8" s="168"/>
      <c r="I8" s="169"/>
    </row>
    <row r="9" spans="1:9" ht="13.9" x14ac:dyDescent="0.3">
      <c r="G9" s="20"/>
      <c r="H9" s="20"/>
      <c r="I9" s="20"/>
    </row>
    <row r="12" spans="1:9" ht="10.5" customHeight="1" thickBot="1" x14ac:dyDescent="0.35"/>
    <row r="13" spans="1:9" ht="14.45" hidden="1" thickBot="1" x14ac:dyDescent="0.35"/>
    <row r="14" spans="1:9" s="12" customFormat="1" ht="28.5" customHeight="1" x14ac:dyDescent="0.25">
      <c r="A14" s="178" t="s">
        <v>26</v>
      </c>
      <c r="B14" s="179"/>
      <c r="C14" s="179"/>
      <c r="D14" s="179"/>
      <c r="E14" s="180"/>
    </row>
    <row r="15" spans="1:9" ht="15.75" thickBot="1" x14ac:dyDescent="0.25">
      <c r="A15" s="153" t="s">
        <v>21</v>
      </c>
      <c r="B15" s="155" t="s">
        <v>22</v>
      </c>
      <c r="C15" s="156"/>
      <c r="D15" s="156"/>
      <c r="E15" s="157"/>
    </row>
    <row r="16" spans="1:9" ht="15.75" thickBot="1" x14ac:dyDescent="0.25">
      <c r="A16" s="154"/>
      <c r="B16" s="21">
        <v>1</v>
      </c>
      <c r="C16" s="21">
        <v>2</v>
      </c>
      <c r="D16" s="21">
        <v>3</v>
      </c>
      <c r="E16" s="22">
        <v>4</v>
      </c>
    </row>
    <row r="17" spans="1:5" ht="15" thickBot="1" x14ac:dyDescent="0.35">
      <c r="A17" s="23" t="s">
        <v>23</v>
      </c>
      <c r="B17" s="24">
        <f>COUNTIFS(TabellaTest!$H$6:$H$306,1,TabellaTest!$I$6:$I$306,"A")</f>
        <v>0</v>
      </c>
      <c r="C17" s="24">
        <f>COUNTIFS(TabellaTest!$H$6:$H$306,2,TabellaTest!$I$6:$I$306,"A")</f>
        <v>0</v>
      </c>
      <c r="D17" s="24">
        <f>COUNTIFS(TabellaTest!$H$6:$H$306,3,TabellaTest!$I$6:$I$306,"A")</f>
        <v>0</v>
      </c>
      <c r="E17" s="24">
        <f>COUNTIFS(TabellaTest!$H$6:$H$306,4,TabellaTest!$I$6:$I$306,"A")</f>
        <v>0</v>
      </c>
    </row>
    <row r="18" spans="1:5" ht="15" thickBot="1" x14ac:dyDescent="0.35">
      <c r="A18" s="25" t="s">
        <v>24</v>
      </c>
      <c r="B18" s="24">
        <f>COUNTIFS(TabellaTest!$H$6:$H$306,1,TabellaTest!$I$6:$I$306,"B")</f>
        <v>0</v>
      </c>
      <c r="C18" s="24">
        <f>COUNTIFS(TabellaTest!$H$6:$H$306,2,TabellaTest!$I$6:$I$306,"B")</f>
        <v>0</v>
      </c>
      <c r="D18" s="24">
        <f>COUNTIFS(TabellaTest!$H$6:$H$306,3,TabellaTest!$I$6:$I$306,"B")</f>
        <v>0</v>
      </c>
      <c r="E18" s="24">
        <f>COUNTIFS(TabellaTest!$H$6:$H$306,4,TabellaTest!$I$6:$I$306,"B")</f>
        <v>0</v>
      </c>
    </row>
    <row r="19" spans="1:5" ht="15" thickBot="1" x14ac:dyDescent="0.35">
      <c r="A19" s="26" t="s">
        <v>25</v>
      </c>
      <c r="B19" s="24">
        <f>COUNTIFS(TabellaTest!$H$6:$H$306,1,TabellaTest!$I$6:$I$306,"C")</f>
        <v>0</v>
      </c>
      <c r="C19" s="24">
        <f>COUNTIFS(TabellaTest!$H$6:$H$306,2,TabellaTest!$I$6:$I$306,"C")</f>
        <v>0</v>
      </c>
      <c r="D19" s="24">
        <f>COUNTIFS(TabellaTest!$H$6:$H$306,3,TabellaTest!$I$6:$I$306,"C")</f>
        <v>6</v>
      </c>
      <c r="E19" s="24">
        <f>COUNTIFS(TabellaTest!$H$6:$H$306,4,TabellaTest!$I$6:$I$306,"C")</f>
        <v>0</v>
      </c>
    </row>
  </sheetData>
  <sheetProtection algorithmName="SHA-512" hashValue="yK4t762dsqdaSNJbIJdXYOJ9V6yhJPk90M8BFw4lbAyBYOqkLwUcsAp6Hzt1n+PAyjFA1QcVZEWzBN39IMR6Og==" saltValue="SATjaK3ZpVyROTc4J1W+8Q==" spinCount="100000" sheet="1" selectLockedCells="1" selectUnlockedCells="1"/>
  <mergeCells count="11">
    <mergeCell ref="A1:B1"/>
    <mergeCell ref="A2:B2"/>
    <mergeCell ref="C1:E1"/>
    <mergeCell ref="C2:E2"/>
    <mergeCell ref="A14:E14"/>
    <mergeCell ref="A15:A16"/>
    <mergeCell ref="B15:E15"/>
    <mergeCell ref="A3:E3"/>
    <mergeCell ref="G3:I8"/>
    <mergeCell ref="A4:A5"/>
    <mergeCell ref="B4:E4"/>
  </mergeCells>
  <conditionalFormatting sqref="B6:E8">
    <cfRule type="expression" dxfId="3" priority="1" stopIfTrue="1">
      <formula>$E$6&gt;$E$17</formula>
    </cfRule>
    <cfRule type="expression" dxfId="2" priority="2" stopIfTrue="1">
      <formula>$D$6&gt;$D$17</formula>
    </cfRule>
    <cfRule type="expression" dxfId="1" priority="3" stopIfTrue="1">
      <formula>$C$6&gt;$C$17</formula>
    </cfRule>
    <cfRule type="expression" dxfId="0" priority="4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8661A27DDB5564DB260D886781D2EAA" ma:contentTypeVersion="11" ma:contentTypeDescription="Creare un nuovo documento." ma:contentTypeScope="" ma:versionID="18792330a02ec04c91ad73c241055c66">
  <xsd:schema xmlns:xsd="http://www.w3.org/2001/XMLSchema" xmlns:xs="http://www.w3.org/2001/XMLSchema" xmlns:p="http://schemas.microsoft.com/office/2006/metadata/properties" xmlns:ns2="75e085f0-8718-4866-8354-8788ce640d21" xmlns:ns3="f725a5e7-e092-40ab-9dcc-515fa0d4e97d" targetNamespace="http://schemas.microsoft.com/office/2006/metadata/properties" ma:root="true" ma:fieldsID="d7bf31fac48d061536d5445345bac2c5" ns2:_="" ns3:_="">
    <xsd:import namespace="75e085f0-8718-4866-8354-8788ce640d21"/>
    <xsd:import namespace="f725a5e7-e092-40ab-9dcc-515fa0d4e9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085f0-8718-4866-8354-8788ce640d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Tag immagine" ma:readOnly="false" ma:fieldId="{5cf76f15-5ced-4ddc-b409-7134ff3c332f}" ma:taxonomyMulti="true" ma:sspId="b722dba8-3084-4906-8dc6-75cf808513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25a5e7-e092-40ab-9dcc-515fa0d4e97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943caba-b22c-4483-8ea5-f3a8d07f480f}" ma:internalName="TaxCatchAll" ma:showField="CatchAllData" ma:web="f725a5e7-e092-40ab-9dcc-515fa0d4e9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5e085f0-8718-4866-8354-8788ce640d21">
      <Terms xmlns="http://schemas.microsoft.com/office/infopath/2007/PartnerControls"/>
    </lcf76f155ced4ddcb4097134ff3c332f>
    <TaxCatchAll xmlns="f725a5e7-e092-40ab-9dcc-515fa0d4e97d"/>
  </documentManagement>
</p:properties>
</file>

<file path=customXml/itemProps1.xml><?xml version="1.0" encoding="utf-8"?>
<ds:datastoreItem xmlns:ds="http://schemas.openxmlformats.org/officeDocument/2006/customXml" ds:itemID="{69C65E7D-62B2-458A-867B-AE3870757B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55A0B3-A4AD-4E08-9E6A-60A20509E2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e085f0-8718-4866-8354-8788ce640d21"/>
    <ds:schemaRef ds:uri="f725a5e7-e092-40ab-9dcc-515fa0d4e9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4AF41E-29B3-43BC-B98B-31320DADB270}">
  <ds:schemaRefs>
    <ds:schemaRef ds:uri="http://schemas.microsoft.com/office/2006/metadata/properties"/>
    <ds:schemaRef ds:uri="http://schemas.microsoft.com/office/infopath/2007/PartnerControls"/>
    <ds:schemaRef ds:uri="75e085f0-8718-4866-8354-8788ce640d21"/>
    <ds:schemaRef ds:uri="f725a5e7-e092-40ab-9dcc-515fa0d4e9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Copertina</vt:lpstr>
      <vt:lpstr>TabellaTest</vt:lpstr>
      <vt:lpstr>SpecificaTest</vt:lpstr>
      <vt:lpstr>VerificheConformità</vt:lpstr>
      <vt:lpstr>SogliaAccettazione</vt:lpstr>
      <vt:lpstr>TabellaTest!_Toc217052696</vt:lpstr>
      <vt:lpstr>VerificheConformità!Area_stampa</vt:lpstr>
    </vt:vector>
  </TitlesOfParts>
  <Manager>Vito NIcola Bufi</Manager>
  <Company>Engineering Ingegneria Informatica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di Test</dc:title>
  <dc:subject>Piano dei test</dc:subject>
  <dc:creator>Umberto Mignogna</dc:creator>
  <cp:keywords>PT</cp:keywords>
  <dc:description>Piano dei Test per MEV_2026-1</dc:description>
  <cp:lastModifiedBy>Simone Gioggi</cp:lastModifiedBy>
  <cp:revision>1</cp:revision>
  <cp:lastPrinted>2019-11-08T14:17:06Z</cp:lastPrinted>
  <dcterms:created xsi:type="dcterms:W3CDTF">2019-11-07T09:38:15Z</dcterms:created>
  <dcterms:modified xsi:type="dcterms:W3CDTF">2026-02-05T10:22:45Z</dcterms:modified>
  <cp:category>Documentazione</cp:category>
  <cp:version>1.0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0x010100E8661A27DDB5564DB260D886781D2EAA</vt:lpwstr>
  </property>
</Properties>
</file>