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1760"/>
  </bookViews>
  <sheets>
    <sheet name="Copertina" sheetId="1" r:id="rId1"/>
    <sheet name="TabellaTest" sheetId="2" r:id="rId2"/>
    <sheet name="SpecificaTest" sheetId="3" r:id="rId3"/>
    <sheet name="VerificheConformità" sheetId="4" r:id="rId4"/>
    <sheet name="SogliaAccettazione" sheetId="5" r:id="rId5"/>
  </sheets>
  <externalReferences>
    <externalReference r:id="rId6"/>
    <externalReference r:id="rId7"/>
  </externalReferences>
  <definedNames>
    <definedName name="_xlnm._FilterDatabase" localSheetId="2" hidden="1">SpecificaTest!$A$3:$G$3</definedName>
    <definedName name="AllUserNames" localSheetId="4">#REF!</definedName>
    <definedName name="AllUserNames" localSheetId="3">#REF!</definedName>
    <definedName name="AllUserNames">#REF!</definedName>
    <definedName name="_xlnm.Print_Area" localSheetId="3">VerificheConformità!$A$1:$G$19</definedName>
    <definedName name="DecisionLastCategory">'[1]Test Decision'!$P$3409</definedName>
    <definedName name="DecisionLastSize">'[1]Test Decision'!$Q$3409</definedName>
    <definedName name="QACP_Project_Setup" localSheetId="4">#REF!</definedName>
    <definedName name="QACP_Project_Setup" localSheetId="3">#REF!</definedName>
    <definedName name="QACP_Project_Setup">#REF!</definedName>
    <definedName name="QACPRiskFactorWeights" localSheetId="4">#REF!</definedName>
    <definedName name="QACPRiskFactorWeights" localSheetId="3">#REF!</definedName>
    <definedName name="QACPRiskFactorWeights">#REF!</definedName>
    <definedName name="Raw_Data_In" localSheetId="4">#REF!</definedName>
    <definedName name="Raw_Data_In" localSheetId="3">#REF!</definedName>
    <definedName name="Raw_Data_In">#REF!</definedName>
    <definedName name="sfsfd">[2]Users!$A$2:$A$5</definedName>
    <definedName name="TempUsers" localSheetId="4">#REF!</definedName>
    <definedName name="TempUsers" localSheetId="3">#REF!</definedName>
    <definedName name="TempUsers">#REF!</definedName>
    <definedName name="UserIDs" localSheetId="4">#REF!</definedName>
    <definedName name="UserIDs" localSheetId="3">#REF!</definedName>
    <definedName name="UserIDs">#REF!</definedName>
    <definedName name="UserList" localSheetId="4">#REF!</definedName>
    <definedName name="UserList" localSheetId="3">#REF!</definedName>
    <definedName name="UserList">#REF!</definedName>
    <definedName name="UserNames" localSheetId="4">#REF!</definedName>
    <definedName name="UserNames" localSheetId="3">#REF!</definedName>
    <definedName name="UserNames">#REF!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/>
  <c r="F12" i="3"/>
  <c r="D12" i="3"/>
  <c r="B12" i="3"/>
  <c r="A12" i="3"/>
  <c r="A4" i="3" l="1"/>
  <c r="D1" i="3" l="1"/>
  <c r="D4" i="3"/>
  <c r="B17" i="5" l="1"/>
  <c r="F4" i="3" l="1"/>
  <c r="B4" i="3"/>
  <c r="E19" i="5" l="1"/>
  <c r="E18" i="5"/>
  <c r="E17" i="5"/>
  <c r="D19" i="5"/>
  <c r="D18" i="5"/>
  <c r="D17" i="5"/>
  <c r="C19" i="5"/>
  <c r="C18" i="5"/>
  <c r="C17" i="5"/>
  <c r="B18" i="5"/>
  <c r="B19" i="5"/>
  <c r="E8" i="5"/>
  <c r="E7" i="5"/>
  <c r="D8" i="5"/>
  <c r="D7" i="5"/>
  <c r="C8" i="5"/>
  <c r="C7" i="5"/>
  <c r="B8" i="5"/>
  <c r="B7" i="5"/>
  <c r="E6" i="5"/>
  <c r="D6" i="5"/>
  <c r="C6" i="5"/>
  <c r="B6" i="5"/>
  <c r="C2" i="5" l="1"/>
  <c r="C1" i="5"/>
  <c r="C2" i="2"/>
  <c r="D2" i="4" l="1"/>
  <c r="D1" i="4"/>
  <c r="D2" i="3"/>
</calcChain>
</file>

<file path=xl/comments1.xml><?xml version="1.0" encoding="utf-8"?>
<comments xmlns="http://schemas.openxmlformats.org/spreadsheetml/2006/main">
  <authors>
    <author>Andrea Salvaggio</author>
  </authors>
  <commentList>
    <comment ref="H3" authorId="0">
      <text>
        <r>
          <rPr>
            <b/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Tahoma"/>
            <family val="2"/>
          </rPr>
          <t xml:space="preserve">: impedisce l'uso dell'applicazione
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: impedisce l'uso di una funzione
</t>
        </r>
        <r>
          <rPr>
            <b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: non impedisce l'uso di funzioni
</t>
        </r>
        <r>
          <rPr>
            <b/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Tahoma"/>
            <family val="2"/>
          </rPr>
          <t xml:space="preserve">: malfunzionamento marginale
</t>
        </r>
      </text>
    </comment>
    <comment ref="I3" authorId="0">
      <text>
        <r>
          <rPr>
            <b/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Tahoma"/>
            <family val="2"/>
          </rPr>
          <t>: Funzionalità indispensabile</t>
        </r>
        <r>
          <rPr>
            <b/>
            <sz val="9"/>
            <color indexed="81"/>
            <rFont val="Tahoma"/>
            <family val="2"/>
          </rPr>
          <t xml:space="preserve">
B</t>
        </r>
        <r>
          <rPr>
            <sz val="9"/>
            <color indexed="81"/>
            <rFont val="Tahoma"/>
            <family val="2"/>
          </rPr>
          <t>: Funzionalità non centrale</t>
        </r>
        <r>
          <rPr>
            <b/>
            <sz val="9"/>
            <color indexed="81"/>
            <rFont val="Tahoma"/>
            <family val="2"/>
          </rPr>
          <t xml:space="preserve">
C</t>
        </r>
        <r>
          <rPr>
            <sz val="9"/>
            <color indexed="81"/>
            <rFont val="Tahoma"/>
            <family val="2"/>
          </rPr>
          <t>: Funzionalità marginale</t>
        </r>
      </text>
    </comment>
  </commentList>
</comments>
</file>

<file path=xl/sharedStrings.xml><?xml version="1.0" encoding="utf-8"?>
<sst xmlns="http://schemas.openxmlformats.org/spreadsheetml/2006/main" count="181" uniqueCount="117">
  <si>
    <t>Il presente documento è stato redatto con la collaborazione del RTI Engineering Ingegneria Informatica S.p.A. &amp; Sirfin-PA S.r.l. nell’ambito del contratto CIG 73479643B7 per lo “Sviluppo del Sistema Informativo Unitario Telematico, la manutenzione degli attuali sistemi dell’area Penale del Ministero della Giustizia e servizi correlati. Lotto 1”.</t>
  </si>
  <si>
    <t>Nome del file</t>
  </si>
  <si>
    <t xml:space="preserve">Piano di test </t>
  </si>
  <si>
    <t>Versione</t>
  </si>
  <si>
    <t>1.0</t>
  </si>
  <si>
    <t>Data</t>
  </si>
  <si>
    <t>Intervento</t>
  </si>
  <si>
    <t>Area Applicativa</t>
  </si>
  <si>
    <t>Penale</t>
  </si>
  <si>
    <t>Allegato al Piano dei Test</t>
  </si>
  <si>
    <t xml:space="preserve">Codifica Piano di test </t>
  </si>
  <si>
    <t>Codice Appl.</t>
  </si>
  <si>
    <t>ID. Requisito Padre</t>
  </si>
  <si>
    <t>Lista Requisiti</t>
  </si>
  <si>
    <t>ID Caso d'uso</t>
  </si>
  <si>
    <t>Caso d'uso</t>
  </si>
  <si>
    <t>ID</t>
  </si>
  <si>
    <t>Scenario di test</t>
  </si>
  <si>
    <t>Classe di Gravità (1-4)</t>
  </si>
  <si>
    <t>Classe di rilevanza (A, B, C)</t>
  </si>
  <si>
    <t>Esito</t>
  </si>
  <si>
    <t>SIES</t>
  </si>
  <si>
    <t>UC01</t>
  </si>
  <si>
    <t>TF001.UC01</t>
  </si>
  <si>
    <t>C</t>
  </si>
  <si>
    <t>B</t>
  </si>
  <si>
    <t xml:space="preserve"> ID caso di test</t>
  </si>
  <si>
    <t>Requisito</t>
  </si>
  <si>
    <t>Step</t>
  </si>
  <si>
    <t>Tipo</t>
  </si>
  <si>
    <t>Istruzioni
(test)</t>
  </si>
  <si>
    <t>Dati di input
(Associated Data)</t>
  </si>
  <si>
    <t>Risultati attesi
(Expected Result)</t>
  </si>
  <si>
    <t>P</t>
  </si>
  <si>
    <t>Attività Preliminari e/o Precondizioni</t>
  </si>
  <si>
    <t>Stato Base</t>
  </si>
  <si>
    <t>Navigazione</t>
  </si>
  <si>
    <t>V</t>
  </si>
  <si>
    <t>Verifica</t>
  </si>
  <si>
    <t>OK</t>
  </si>
  <si>
    <t>Azione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</si>
  <si>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</si>
  <si>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</si>
  <si>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</si>
  <si>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</si>
  <si>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</si>
  <si>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</si>
  <si>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001</t>
  </si>
  <si>
    <t>Adeguatezza delle funzionalità</t>
  </si>
  <si>
    <t xml:space="preserve">Completezza funzionale </t>
  </si>
  <si>
    <t xml:space="preserve">Copertura dei requisiti </t>
  </si>
  <si>
    <t xml:space="preserve">Verifica del grado di copertura funzionale offerta sulla base dell’analisi dei requisiti, delle funzionalità e degli obiettivi richiesti </t>
  </si>
  <si>
    <t>002</t>
  </si>
  <si>
    <t xml:space="preserve">Correttezza funzionale </t>
  </si>
  <si>
    <t xml:space="preserve">Aderenza ai requisiti </t>
  </si>
  <si>
    <t xml:space="preserve">Verifica del grado con cui le funzionalità implementate rispettano i requisiti richiesti </t>
  </si>
  <si>
    <t>003</t>
  </si>
  <si>
    <t xml:space="preserve">Appropriatezza funzionale </t>
  </si>
  <si>
    <t xml:space="preserve">Conformità alle normative </t>
  </si>
  <si>
    <t xml:space="preserve">Verifica l’aderenza delle funzionalità implementate rispetto alle normative pertinenti </t>
  </si>
  <si>
    <t>004</t>
  </si>
  <si>
    <t>Affidabilità</t>
  </si>
  <si>
    <t xml:space="preserve">Robustezza </t>
  </si>
  <si>
    <t xml:space="preserve">Robustezza del software </t>
  </si>
  <si>
    <t xml:space="preserve">Verifica della capacità del sistema di gestire condizioni non previste dalle specifiche </t>
  </si>
  <si>
    <t>005</t>
  </si>
  <si>
    <t>Manutenibilità</t>
  </si>
  <si>
    <t>Analizzabilità</t>
  </si>
  <si>
    <t xml:space="preserve">Leggibilità del codice </t>
  </si>
  <si>
    <t xml:space="preserve">Verifica della facilità di comprensione del codice, per esempio con riferimento ai nomi utilizzati per i moduli, le funzioni e le variabili, ai commenti e alla dimensione dei moduli e delle funzioni  </t>
  </si>
  <si>
    <t>006</t>
  </si>
  <si>
    <t>Copertura documentazione tecnica</t>
  </si>
  <si>
    <t xml:space="preserve">Verifica del livello di completezza della documentazione tecnica di moduli e funzioni </t>
  </si>
  <si>
    <t>007</t>
  </si>
  <si>
    <t>Adeguatezza documentazione tecnica</t>
  </si>
  <si>
    <t xml:space="preserve">Verifica della qualità descrittiva della documentazione tecnica di moduli e funzioni </t>
  </si>
  <si>
    <t>008</t>
  </si>
  <si>
    <t>Verificabilità</t>
  </si>
  <si>
    <t>Completezza dei test</t>
  </si>
  <si>
    <t xml:space="preserve">Verifica del grado di copertura del codice sviluppato da parte di test (di varia natura, come test unitari, test di integrazione, test end-to-end, test di accettazione, test di regressione, test di qualità)  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</si>
  <si>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</si>
  <si>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</si>
  <si>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</si>
  <si>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</si>
  <si>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A</t>
  </si>
  <si>
    <t>Numero massimo di difformità ammesse</t>
  </si>
  <si>
    <t>SIUT-SIES-CT-1.0-20240802-Allegato_al_piano_test_2024-DNA.xlsx</t>
  </si>
  <si>
    <t>SIUT-SIES-PT-1.0-20240802-Piano_dei_Test_2024-DNA.docx</t>
  </si>
  <si>
    <t>MEV 2024_DNA</t>
  </si>
  <si>
    <t>TF001</t>
  </si>
  <si>
    <t>L'utente si trova nella Home Page</t>
  </si>
  <si>
    <r>
      <t>L'utente riempie i campi obbligatori e preme il tasto "</t>
    </r>
    <r>
      <rPr>
        <b/>
        <sz val="11"/>
        <rFont val="Calibri"/>
        <family val="2"/>
        <scheme val="minor"/>
      </rPr>
      <t>Ricerca</t>
    </r>
    <r>
      <rPr>
        <sz val="11"/>
        <rFont val="Calibri"/>
        <family val="2"/>
        <scheme val="minor"/>
      </rPr>
      <t>"</t>
    </r>
  </si>
  <si>
    <r>
      <t>Visualizzazione pagina "</t>
    </r>
    <r>
      <rPr>
        <b/>
        <sz val="11"/>
        <rFont val="Calibri"/>
        <family val="2"/>
        <scheme val="minor"/>
      </rPr>
      <t>Ricerca Procedimento</t>
    </r>
    <r>
      <rPr>
        <sz val="11"/>
        <rFont val="Calibri"/>
        <family val="2"/>
        <scheme val="minor"/>
      </rPr>
      <t>"</t>
    </r>
  </si>
  <si>
    <r>
      <rPr>
        <b/>
        <sz val="11"/>
        <rFont val="Calibri"/>
        <family val="2"/>
        <scheme val="minor"/>
      </rPr>
      <t>J</t>
    </r>
    <r>
      <rPr>
        <sz val="11"/>
        <rFont val="Calibri"/>
        <family val="2"/>
        <scheme val="minor"/>
      </rPr>
      <t>xxxxx (</t>
    </r>
    <r>
      <rPr>
        <b/>
        <sz val="11"/>
        <rFont val="Calibri"/>
        <family val="2"/>
        <scheme val="minor"/>
      </rPr>
      <t>DIREZIONE NAZIONALE ANTIMAFIA</t>
    </r>
    <r>
      <rPr>
        <sz val="11"/>
        <rFont val="Calibri"/>
        <family val="2"/>
        <scheme val="minor"/>
      </rPr>
      <t>)</t>
    </r>
  </si>
  <si>
    <t>Ricerche Altre BDI » Ricerca Fascicolo SIEP altre BDI</t>
  </si>
  <si>
    <t>Richiesta di ricerca Procedimento sottomessa al Sistema!</t>
  </si>
  <si>
    <r>
      <t>Visualizzazione pagina "</t>
    </r>
    <r>
      <rPr>
        <b/>
        <sz val="11"/>
        <rFont val="Calibri"/>
        <family val="2"/>
        <scheme val="minor"/>
      </rPr>
      <t>Dettaglio Procedimento da Trasferire</t>
    </r>
    <r>
      <rPr>
        <sz val="11"/>
        <rFont val="Calibri"/>
        <family val="2"/>
        <scheme val="minor"/>
      </rPr>
      <t>"</t>
    </r>
  </si>
  <si>
    <t>Verifica: Verificare nel sottosistema SIUS per utente DNA che dopo l'esecuzione del batch non vi sia traccia della ricerca procedimento effettuata</t>
  </si>
  <si>
    <t>Verifica: Verificare nel sottosistema SIUS per utente DNA che dopo l'esecuzione del batch non vi sia traccia della ricerca soggetto effettuata</t>
  </si>
  <si>
    <t>Ricerca Fascicolo SIEP altre BDI per utente DNA</t>
  </si>
  <si>
    <t>Ricerca procedimenti SIEP per Soggetto per utente DNA</t>
  </si>
  <si>
    <t>ID_MESSAGGIO = identificativo</t>
  </si>
  <si>
    <r>
      <t>Verificare che, dopo l'esecuzione del batch, non sia più presente nella tabella "</t>
    </r>
    <r>
      <rPr>
        <b/>
        <sz val="11"/>
        <rFont val="Calibri"/>
        <family val="2"/>
        <scheme val="minor"/>
      </rPr>
      <t>MESSAGGIO</t>
    </r>
    <r>
      <rPr>
        <sz val="11"/>
        <rFont val="Calibri"/>
        <family val="2"/>
        <scheme val="minor"/>
      </rPr>
      <t>" la riga corrispondente a "</t>
    </r>
    <r>
      <rPr>
        <b/>
        <sz val="11"/>
        <rFont val="Calibri"/>
        <family val="2"/>
        <scheme val="minor"/>
      </rPr>
      <t>ID_MESSAGGIO = identificativo</t>
    </r>
    <r>
      <rPr>
        <sz val="11"/>
        <rFont val="Calibri"/>
        <family val="2"/>
        <scheme val="minor"/>
      </rPr>
      <t>"</t>
    </r>
  </si>
  <si>
    <t>Select count(*) from MESSAGGIO where ID_MESSAGGIO = identificativo</t>
  </si>
  <si>
    <r>
      <t>L'utente si collega al Database e verifica che nella tabella "</t>
    </r>
    <r>
      <rPr>
        <b/>
        <sz val="11"/>
        <rFont val="Calibri"/>
        <family val="2"/>
        <scheme val="minor"/>
      </rPr>
      <t>MESSAGGIO</t>
    </r>
    <r>
      <rPr>
        <sz val="11"/>
        <rFont val="Calibri"/>
        <family val="2"/>
        <scheme val="minor"/>
      </rPr>
      <t>" sia presente un record con campo "</t>
    </r>
    <r>
      <rPr>
        <b/>
        <sz val="11"/>
        <rFont val="Calibri"/>
        <family val="2"/>
        <scheme val="minor"/>
      </rPr>
      <t>CODICE_UTENTE_MITTENTE</t>
    </r>
    <r>
      <rPr>
        <sz val="11"/>
        <rFont val="Calibri"/>
        <family val="2"/>
        <scheme val="minor"/>
      </rPr>
      <t xml:space="preserve">" pari a </t>
    </r>
    <r>
      <rPr>
        <b/>
        <sz val="11"/>
        <rFont val="Calibri"/>
        <family val="2"/>
        <scheme val="minor"/>
      </rPr>
      <t>Jxxxxx</t>
    </r>
    <r>
      <rPr>
        <sz val="11"/>
        <rFont val="Calibri"/>
        <family val="2"/>
        <scheme val="minor"/>
      </rPr>
      <t xml:space="preserve"> ovvero l'utente che ha effettuato la ricerca</t>
    </r>
  </si>
  <si>
    <t>Ricerche Altre BDI » Ricerca procedimenti SIEP per Soggetto</t>
  </si>
  <si>
    <t>Ufficio e Sede di altro distretto</t>
  </si>
  <si>
    <t>In altri distretti</t>
  </si>
  <si>
    <t xml:space="preserve">Richiesta di ricerca Soggetto sottomessa al Sistema! </t>
  </si>
  <si>
    <r>
      <t>Visualizzazione pagina "</t>
    </r>
    <r>
      <rPr>
        <b/>
        <sz val="11"/>
        <rFont val="Calibri"/>
        <family val="2"/>
        <scheme val="minor"/>
      </rPr>
      <t xml:space="preserve"> Esiti Ricerca Soggetto su altre BDI</t>
    </r>
    <r>
      <rPr>
        <sz val="11"/>
        <rFont val="Calibri"/>
        <family val="2"/>
        <scheme val="minor"/>
      </rPr>
      <t>"</t>
    </r>
  </si>
  <si>
    <r>
      <t>Visualizzazione pagina "</t>
    </r>
    <r>
      <rPr>
        <b/>
        <sz val="11"/>
        <rFont val="Calibri"/>
        <family val="2"/>
        <scheme val="minor"/>
      </rPr>
      <t>Ricerca Procedimento per Soggetto</t>
    </r>
    <r>
      <rPr>
        <sz val="11"/>
        <rFont val="Calibri"/>
        <family val="2"/>
        <scheme val="minor"/>
      </rPr>
      <t>"</t>
    </r>
  </si>
  <si>
    <t>TF002</t>
  </si>
  <si>
    <t>TF002.UC01</t>
  </si>
  <si>
    <r>
      <t xml:space="preserve">L'utente effettua l'accesso al sistema </t>
    </r>
    <r>
      <rPr>
        <b/>
        <sz val="11"/>
        <rFont val="Calibri"/>
        <family val="2"/>
        <scheme val="minor"/>
      </rPr>
      <t>SIUS</t>
    </r>
    <r>
      <rPr>
        <sz val="11"/>
        <rFont val="Calibri"/>
        <family val="2"/>
        <scheme val="minor"/>
      </rPr>
      <t xml:space="preserve"> come utente </t>
    </r>
    <r>
      <rPr>
        <b/>
        <sz val="11"/>
        <rFont val="Calibri"/>
        <family val="2"/>
        <scheme val="minor"/>
      </rPr>
      <t>DIREZIONE NAZIONALE ANTIMAFIA</t>
    </r>
  </si>
  <si>
    <r>
      <t xml:space="preserve">L'utente effettua l'accesso al sistema </t>
    </r>
    <r>
      <rPr>
        <b/>
        <sz val="11"/>
        <rFont val="Calibri"/>
        <family val="2"/>
        <scheme val="minor"/>
      </rPr>
      <t>SIUS</t>
    </r>
    <r>
      <rPr>
        <sz val="11"/>
        <rFont val="Calibri"/>
        <family val="2"/>
        <scheme val="minor"/>
      </rPr>
      <t xml:space="preserve"> come utente </t>
    </r>
    <r>
      <rPr>
        <b/>
        <sz val="11"/>
        <rFont val="Calibri"/>
        <family val="2"/>
        <scheme val="minor"/>
      </rPr>
      <t>DIREZIONE NAZIONALE  ANTIMAFIA</t>
    </r>
  </si>
  <si>
    <t>1 record</t>
  </si>
  <si>
    <t>0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</si>
</sst>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rgb="FF1F497D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indexed="64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 style="medium">
        <color indexed="64"/>
      </left>
      <right/>
      <top/>
      <bottom style="medium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9" fillId="0" borderId="0"/>
  </cellStyleXfs>
  <cellXfs count="131">
    <xf numFmtId="0" fontId="0" fillId="0" borderId="0" xfId="0"/>
    <xf numFmtId="49" fontId="3" fillId="3" borderId="7" xfId="0" applyNumberFormat="1" applyFont="1" applyFill="1" applyBorder="1" applyAlignment="1">
      <alignment horizontal="center" vertical="center" wrapText="1"/>
    </xf>
    <xf numFmtId="49" fontId="3" fillId="4" borderId="7" xfId="0" applyNumberFormat="1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5" borderId="7" xfId="0" applyNumberFormat="1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9" fillId="0" borderId="0" xfId="1" applyFont="1" applyAlignment="1">
      <alignment wrapText="1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49" fontId="6" fillId="6" borderId="13" xfId="1" applyNumberFormat="1" applyFont="1" applyFill="1" applyBorder="1" applyAlignment="1">
      <alignment horizontal="center" vertical="center" wrapText="1"/>
    </xf>
    <xf numFmtId="49" fontId="3" fillId="6" borderId="14" xfId="1" applyNumberFormat="1" applyFont="1" applyFill="1" applyBorder="1" applyAlignment="1">
      <alignment horizontal="center" vertical="center" wrapText="1"/>
    </xf>
    <xf numFmtId="49" fontId="3" fillId="6" borderId="15" xfId="1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2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0" borderId="0" xfId="2" applyFont="1" applyAlignment="1">
      <alignment vertical="center"/>
    </xf>
    <xf numFmtId="0" fontId="9" fillId="0" borderId="0" xfId="2" applyFont="1"/>
    <xf numFmtId="0" fontId="13" fillId="9" borderId="29" xfId="2" applyFont="1" applyFill="1" applyBorder="1" applyAlignment="1">
      <alignment horizontal="center" vertical="center" wrapText="1"/>
    </xf>
    <xf numFmtId="0" fontId="13" fillId="9" borderId="23" xfId="2" applyFont="1" applyFill="1" applyBorder="1" applyAlignment="1">
      <alignment horizontal="center" vertical="center" wrapText="1"/>
    </xf>
    <xf numFmtId="0" fontId="14" fillId="0" borderId="28" xfId="2" applyFont="1" applyBorder="1" applyAlignment="1">
      <alignment horizontal="center" vertical="center" wrapText="1"/>
    </xf>
    <xf numFmtId="0" fontId="15" fillId="0" borderId="29" xfId="2" applyFont="1" applyBorder="1" applyAlignment="1">
      <alignment horizontal="center" vertical="center" wrapText="1"/>
    </xf>
    <xf numFmtId="0" fontId="13" fillId="9" borderId="28" xfId="2" applyFont="1" applyFill="1" applyBorder="1" applyAlignment="1">
      <alignment horizontal="center" vertical="center" wrapText="1"/>
    </xf>
    <xf numFmtId="0" fontId="14" fillId="0" borderId="30" xfId="2" applyFont="1" applyBorder="1" applyAlignment="1">
      <alignment horizontal="center" vertical="center" wrapText="1"/>
    </xf>
    <xf numFmtId="0" fontId="9" fillId="0" borderId="0" xfId="2" applyFont="1" applyAlignment="1">
      <alignment vertical="center" wrapText="1"/>
    </xf>
    <xf numFmtId="0" fontId="13" fillId="11" borderId="29" xfId="2" applyFont="1" applyFill="1" applyBorder="1" applyAlignment="1">
      <alignment horizontal="center" vertical="center" wrapText="1"/>
    </xf>
    <xf numFmtId="0" fontId="13" fillId="11" borderId="23" xfId="2" applyFont="1" applyFill="1" applyBorder="1" applyAlignment="1">
      <alignment horizontal="center" vertical="center" wrapText="1"/>
    </xf>
    <xf numFmtId="0" fontId="14" fillId="11" borderId="28" xfId="2" applyFont="1" applyFill="1" applyBorder="1" applyAlignment="1">
      <alignment horizontal="center" vertical="center" wrapText="1"/>
    </xf>
    <xf numFmtId="1" fontId="0" fillId="0" borderId="29" xfId="2" applyNumberFormat="1" applyFont="1" applyBorder="1" applyAlignment="1" applyProtection="1">
      <alignment horizontal="center" vertical="center" wrapText="1"/>
      <protection hidden="1"/>
    </xf>
    <xf numFmtId="0" fontId="13" fillId="11" borderId="28" xfId="2" applyFont="1" applyFill="1" applyBorder="1" applyAlignment="1">
      <alignment horizontal="center" vertical="center" wrapText="1"/>
    </xf>
    <xf numFmtId="0" fontId="14" fillId="11" borderId="30" xfId="2" applyFont="1" applyFill="1" applyBorder="1" applyAlignment="1">
      <alignment horizontal="center" vertical="center" wrapText="1"/>
    </xf>
    <xf numFmtId="49" fontId="0" fillId="0" borderId="39" xfId="0" applyNumberFormat="1" applyBorder="1" applyAlignment="1">
      <alignment horizontal="center" vertical="center" wrapText="1"/>
    </xf>
    <xf numFmtId="49" fontId="0" fillId="0" borderId="38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49" fontId="9" fillId="0" borderId="3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/>
    </xf>
    <xf numFmtId="0" fontId="7" fillId="0" borderId="40" xfId="0" applyFont="1" applyBorder="1" applyAlignment="1">
      <alignment horizontal="center" vertical="center" wrapText="1"/>
    </xf>
    <xf numFmtId="0" fontId="0" fillId="12" borderId="37" xfId="0" applyFill="1" applyBorder="1" applyAlignment="1">
      <alignment horizontal="center" vertical="center" wrapText="1"/>
    </xf>
    <xf numFmtId="49" fontId="3" fillId="15" borderId="43" xfId="0" applyNumberFormat="1" applyFont="1" applyFill="1" applyBorder="1" applyAlignment="1">
      <alignment horizontal="center" vertical="center" wrapText="1"/>
    </xf>
    <xf numFmtId="0" fontId="3" fillId="15" borderId="43" xfId="0" applyFont="1" applyFill="1" applyBorder="1" applyAlignment="1">
      <alignment horizontal="center" vertical="center" wrapText="1"/>
    </xf>
    <xf numFmtId="0" fontId="18" fillId="14" borderId="43" xfId="0" applyFont="1" applyFill="1" applyBorder="1" applyAlignment="1">
      <alignment horizontal="center" vertical="center" wrapText="1"/>
    </xf>
    <xf numFmtId="0" fontId="3" fillId="6" borderId="43" xfId="0" applyFont="1" applyFill="1" applyBorder="1" applyAlignment="1">
      <alignment horizontal="center" vertical="center" wrapText="1"/>
    </xf>
    <xf numFmtId="0" fontId="0" fillId="13" borderId="43" xfId="0" applyFill="1" applyBorder="1" applyAlignment="1">
      <alignment horizontal="center" vertical="center" wrapText="1"/>
    </xf>
    <xf numFmtId="0" fontId="0" fillId="13" borderId="43" xfId="0" applyFill="1" applyBorder="1" applyAlignment="1">
      <alignment horizontal="center" vertical="center" wrapText="1"/>
    </xf>
    <xf numFmtId="49" fontId="3" fillId="16" borderId="46" xfId="0" applyNumberFormat="1" applyFont="1" applyFill="1" applyBorder="1" applyAlignment="1">
      <alignment horizontal="center" vertical="center" wrapText="1"/>
    </xf>
    <xf numFmtId="0" fontId="3" fillId="16" borderId="46" xfId="0" applyFont="1" applyFill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18" fillId="12" borderId="46" xfId="0" applyFont="1" applyFill="1" applyBorder="1" applyAlignment="1">
      <alignment horizontal="center" vertical="center" wrapText="1"/>
    </xf>
    <xf numFmtId="49" fontId="3" fillId="16" borderId="47" xfId="0" applyNumberFormat="1" applyFont="1" applyFill="1" applyBorder="1" applyAlignment="1">
      <alignment horizontal="center" vertical="center" wrapText="1"/>
    </xf>
    <xf numFmtId="0" fontId="3" fillId="16" borderId="47" xfId="0" applyFont="1" applyFill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18" fillId="12" borderId="47" xfId="0" applyFont="1" applyFill="1" applyBorder="1" applyAlignment="1">
      <alignment horizontal="center" vertical="center" wrapText="1"/>
    </xf>
    <xf numFmtId="1" fontId="3" fillId="4" borderId="47" xfId="0" applyNumberFormat="1" applyFont="1" applyFill="1" applyBorder="1" applyAlignment="1">
      <alignment horizontal="center" vertical="center" wrapText="1"/>
    </xf>
    <xf numFmtId="0" fontId="3" fillId="4" borderId="47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17" borderId="47" xfId="0" applyNumberFormat="1" applyFont="1" applyFill="1" applyBorder="1" applyAlignment="1">
      <alignment horizontal="center" vertical="center" wrapText="1"/>
    </xf>
    <xf numFmtId="0" fontId="3" fillId="17" borderId="47" xfId="0" applyFont="1" applyFill="1" applyBorder="1" applyAlignment="1">
      <alignment horizontal="center" vertical="center" wrapText="1"/>
    </xf>
    <xf numFmtId="0" fontId="3" fillId="18" borderId="45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18" fillId="12" borderId="45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0" borderId="0" xfId="3" applyFont="1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3" fillId="2" borderId="35" xfId="0" applyFont="1" applyFill="1" applyBorder="1" applyAlignment="1" applyProtection="1">
      <alignment horizontal="center" vertical="center" wrapText="1"/>
      <protection locked="0"/>
    </xf>
    <xf numFmtId="0" fontId="3" fillId="2" borderId="36" xfId="0" applyFont="1" applyFill="1" applyBorder="1" applyAlignment="1" applyProtection="1">
      <alignment horizontal="center" vertical="center" wrapText="1"/>
      <protection locked="0"/>
    </xf>
    <xf numFmtId="0" fontId="18" fillId="12" borderId="41" xfId="0" applyFont="1" applyFill="1" applyBorder="1" applyAlignment="1">
      <alignment horizontal="center" vertical="center" wrapText="1"/>
    </xf>
    <xf numFmtId="0" fontId="18" fillId="12" borderId="42" xfId="0" applyFont="1" applyFill="1" applyBorder="1" applyAlignment="1">
      <alignment horizontal="center" vertical="center" wrapText="1"/>
    </xf>
    <xf numFmtId="0" fontId="18" fillId="12" borderId="44" xfId="0" applyFont="1" applyFill="1" applyBorder="1" applyAlignment="1">
      <alignment horizontal="center" vertical="center" wrapText="1"/>
    </xf>
    <xf numFmtId="1" fontId="0" fillId="13" borderId="43" xfId="0" applyNumberFormat="1" applyFill="1" applyBorder="1" applyAlignment="1">
      <alignment horizontal="center" vertical="center" wrapText="1"/>
    </xf>
    <xf numFmtId="0" fontId="0" fillId="13" borderId="43" xfId="0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3" fillId="2" borderId="43" xfId="0" applyFont="1" applyFill="1" applyBorder="1" applyAlignment="1" applyProtection="1">
      <alignment horizontal="center" vertical="center" wrapText="1"/>
      <protection locked="0"/>
    </xf>
    <xf numFmtId="49" fontId="0" fillId="0" borderId="43" xfId="0" applyNumberForma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49" fontId="7" fillId="0" borderId="43" xfId="0" applyNumberFormat="1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3" fillId="15" borderId="4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 applyProtection="1">
      <alignment horizontal="center" vertical="center" wrapText="1"/>
      <protection locked="0"/>
    </xf>
    <xf numFmtId="49" fontId="0" fillId="0" borderId="1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49" fontId="7" fillId="0" borderId="14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3" fillId="8" borderId="32" xfId="2" applyFont="1" applyFill="1" applyBorder="1" applyAlignment="1">
      <alignment horizontal="left" vertical="center" wrapText="1"/>
    </xf>
    <xf numFmtId="0" fontId="3" fillId="8" borderId="28" xfId="2" applyFont="1" applyFill="1" applyBorder="1" applyAlignment="1">
      <alignment horizontal="left" vertical="center" wrapText="1"/>
    </xf>
    <xf numFmtId="0" fontId="12" fillId="8" borderId="33" xfId="2" applyFont="1" applyFill="1" applyBorder="1" applyAlignment="1">
      <alignment horizontal="center" vertical="center" wrapText="1"/>
    </xf>
    <xf numFmtId="0" fontId="12" fillId="8" borderId="22" xfId="2" applyFont="1" applyFill="1" applyBorder="1" applyAlignment="1">
      <alignment horizontal="center" vertical="center" wrapText="1"/>
    </xf>
    <xf numFmtId="0" fontId="12" fillId="8" borderId="23" xfId="2" applyFont="1" applyFill="1" applyBorder="1" applyAlignment="1">
      <alignment horizontal="center" vertical="center" wrapText="1"/>
    </xf>
    <xf numFmtId="0" fontId="8" fillId="7" borderId="34" xfId="2" applyFont="1" applyFill="1" applyBorder="1" applyAlignment="1">
      <alignment horizontal="center" vertical="center"/>
    </xf>
    <xf numFmtId="0" fontId="8" fillId="7" borderId="22" xfId="2" applyFont="1" applyFill="1" applyBorder="1" applyAlignment="1">
      <alignment horizontal="center" vertical="center"/>
    </xf>
    <xf numFmtId="0" fontId="8" fillId="7" borderId="23" xfId="2" applyFont="1" applyFill="1" applyBorder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11" fillId="0" borderId="10" xfId="2" applyFont="1" applyBorder="1" applyAlignment="1">
      <alignment horizontal="center" vertical="center" wrapText="1"/>
    </xf>
    <xf numFmtId="0" fontId="3" fillId="8" borderId="24" xfId="2" applyFont="1" applyFill="1" applyBorder="1" applyAlignment="1">
      <alignment horizontal="left" vertical="center" wrapText="1"/>
    </xf>
    <xf numFmtId="0" fontId="12" fillId="8" borderId="25" xfId="2" applyFont="1" applyFill="1" applyBorder="1" applyAlignment="1">
      <alignment horizontal="center" vertical="center" wrapText="1"/>
    </xf>
    <xf numFmtId="0" fontId="12" fillId="8" borderId="26" xfId="2" applyFont="1" applyFill="1" applyBorder="1" applyAlignment="1">
      <alignment horizontal="center" vertical="center" wrapText="1"/>
    </xf>
    <xf numFmtId="0" fontId="12" fillId="8" borderId="27" xfId="2" applyFont="1" applyFill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>
      <alignment horizontal="center" wrapText="1"/>
    </xf>
    <xf numFmtId="0" fontId="8" fillId="10" borderId="31" xfId="2" applyFont="1" applyFill="1" applyBorder="1" applyAlignment="1">
      <alignment horizontal="center" vertical="center"/>
    </xf>
    <xf numFmtId="0" fontId="8" fillId="10" borderId="17" xfId="2" applyFont="1" applyFill="1" applyBorder="1" applyAlignment="1">
      <alignment horizontal="center" vertical="center"/>
    </xf>
    <xf numFmtId="0" fontId="8" fillId="10" borderId="18" xfId="2" applyFont="1" applyFill="1" applyBorder="1" applyAlignment="1">
      <alignment horizontal="center" vertical="center"/>
    </xf>
  </cellXfs>
  <cellStyles count="4">
    <cellStyle name="Normale" xfId="0" builtinId="0"/>
    <cellStyle name="Normale 2" xfId="1"/>
    <cellStyle name="Normale 3" xfId="2"/>
    <cellStyle name="Normale 4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2" name="Picture 5">
          <a:extLst>
            <a:ext uri="{FF2B5EF4-FFF2-40B4-BE49-F238E27FC236}">
              <a16:creationId xmlns="" xmlns:a16="http://schemas.microsoft.com/office/drawing/2014/main" id="{BE6E059E-EBBA-4582-A85D-A320D8B73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3" name="Picture 6">
          <a:extLst>
            <a:ext uri="{FF2B5EF4-FFF2-40B4-BE49-F238E27FC236}">
              <a16:creationId xmlns="" xmlns:a16="http://schemas.microsoft.com/office/drawing/2014/main" id="{A433206B-F0DA-431B-8027-14A3EAB8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4" name="Picture 7">
          <a:extLst>
            <a:ext uri="{FF2B5EF4-FFF2-40B4-BE49-F238E27FC236}">
              <a16:creationId xmlns="" xmlns:a16="http://schemas.microsoft.com/office/drawing/2014/main" id="{5A98800D-9369-472C-98BF-839009E35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1362076</xdr:colOff>
      <xdr:row>0</xdr:row>
      <xdr:rowOff>19050</xdr:rowOff>
    </xdr:from>
    <xdr:to>
      <xdr:col>1</xdr:col>
      <xdr:colOff>5105400</xdr:colOff>
      <xdr:row>1</xdr:row>
      <xdr:rowOff>1193</xdr:rowOff>
    </xdr:to>
    <xdr:pic>
      <xdr:nvPicPr>
        <xdr:cNvPr id="5" name="Immagine 6" descr="Logo DGSIA">
          <a:extLst>
            <a:ext uri="{FF2B5EF4-FFF2-40B4-BE49-F238E27FC236}">
              <a16:creationId xmlns="" xmlns:a16="http://schemas.microsoft.com/office/drawing/2014/main" id="{620FBF59-E5D2-4CC4-8F69-B632909F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6" y="19050"/>
          <a:ext cx="5829299" cy="1649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tabSelected="1" workbookViewId="0">
      <selection sqref="A1:XFD1048576"/>
    </sheetView>
  </sheetViews>
  <sheetFormatPr defaultRowHeight="120.75" customHeight="1" x14ac:dyDescent="0.25"/>
  <cols>
    <col min="1" max="1" width="31.28515625" style="35" customWidth="1"/>
    <col min="2" max="2" width="94.7109375" style="35" customWidth="1"/>
    <col min="3" max="3" width="51.7109375" style="35" customWidth="1"/>
    <col min="4" max="255" width="9.140625" style="35"/>
    <col min="256" max="256" width="1.42578125" style="35" customWidth="1"/>
    <col min="257" max="257" width="31.28515625" style="35" customWidth="1"/>
    <col min="258" max="258" width="83.5703125" style="35" bestFit="1" customWidth="1"/>
    <col min="259" max="259" width="51.7109375" style="35" customWidth="1"/>
    <col min="260" max="511" width="9.140625" style="35"/>
    <col min="512" max="512" width="1.42578125" style="35" customWidth="1"/>
    <col min="513" max="513" width="31.28515625" style="35" customWidth="1"/>
    <col min="514" max="514" width="83.5703125" style="35" bestFit="1" customWidth="1"/>
    <col min="515" max="515" width="51.7109375" style="35" customWidth="1"/>
    <col min="516" max="767" width="9.140625" style="35"/>
    <col min="768" max="768" width="1.42578125" style="35" customWidth="1"/>
    <col min="769" max="769" width="31.28515625" style="35" customWidth="1"/>
    <col min="770" max="770" width="83.5703125" style="35" bestFit="1" customWidth="1"/>
    <col min="771" max="771" width="51.7109375" style="35" customWidth="1"/>
    <col min="772" max="1023" width="9.140625" style="35"/>
    <col min="1024" max="1024" width="1.42578125" style="35" customWidth="1"/>
    <col min="1025" max="1025" width="31.28515625" style="35" customWidth="1"/>
    <col min="1026" max="1026" width="83.5703125" style="35" bestFit="1" customWidth="1"/>
    <col min="1027" max="1027" width="51.7109375" style="35" customWidth="1"/>
    <col min="1028" max="1279" width="9.140625" style="35"/>
    <col min="1280" max="1280" width="1.42578125" style="35" customWidth="1"/>
    <col min="1281" max="1281" width="31.28515625" style="35" customWidth="1"/>
    <col min="1282" max="1282" width="83.5703125" style="35" bestFit="1" customWidth="1"/>
    <col min="1283" max="1283" width="51.7109375" style="35" customWidth="1"/>
    <col min="1284" max="1535" width="9.140625" style="35"/>
    <col min="1536" max="1536" width="1.42578125" style="35" customWidth="1"/>
    <col min="1537" max="1537" width="31.28515625" style="35" customWidth="1"/>
    <col min="1538" max="1538" width="83.5703125" style="35" bestFit="1" customWidth="1"/>
    <col min="1539" max="1539" width="51.7109375" style="35" customWidth="1"/>
    <col min="1540" max="1791" width="9.140625" style="35"/>
    <col min="1792" max="1792" width="1.42578125" style="35" customWidth="1"/>
    <col min="1793" max="1793" width="31.28515625" style="35" customWidth="1"/>
    <col min="1794" max="1794" width="83.5703125" style="35" bestFit="1" customWidth="1"/>
    <col min="1795" max="1795" width="51.7109375" style="35" customWidth="1"/>
    <col min="1796" max="2047" width="9.140625" style="35"/>
    <col min="2048" max="2048" width="1.42578125" style="35" customWidth="1"/>
    <col min="2049" max="2049" width="31.28515625" style="35" customWidth="1"/>
    <col min="2050" max="2050" width="83.5703125" style="35" bestFit="1" customWidth="1"/>
    <col min="2051" max="2051" width="51.7109375" style="35" customWidth="1"/>
    <col min="2052" max="2303" width="9.140625" style="35"/>
    <col min="2304" max="2304" width="1.42578125" style="35" customWidth="1"/>
    <col min="2305" max="2305" width="31.28515625" style="35" customWidth="1"/>
    <col min="2306" max="2306" width="83.5703125" style="35" bestFit="1" customWidth="1"/>
    <col min="2307" max="2307" width="51.7109375" style="35" customWidth="1"/>
    <col min="2308" max="2559" width="9.140625" style="35"/>
    <col min="2560" max="2560" width="1.42578125" style="35" customWidth="1"/>
    <col min="2561" max="2561" width="31.28515625" style="35" customWidth="1"/>
    <col min="2562" max="2562" width="83.5703125" style="35" bestFit="1" customWidth="1"/>
    <col min="2563" max="2563" width="51.7109375" style="35" customWidth="1"/>
    <col min="2564" max="2815" width="9.140625" style="35"/>
    <col min="2816" max="2816" width="1.42578125" style="35" customWidth="1"/>
    <col min="2817" max="2817" width="31.28515625" style="35" customWidth="1"/>
    <col min="2818" max="2818" width="83.5703125" style="35" bestFit="1" customWidth="1"/>
    <col min="2819" max="2819" width="51.7109375" style="35" customWidth="1"/>
    <col min="2820" max="3071" width="9.140625" style="35"/>
    <col min="3072" max="3072" width="1.42578125" style="35" customWidth="1"/>
    <col min="3073" max="3073" width="31.28515625" style="35" customWidth="1"/>
    <col min="3074" max="3074" width="83.5703125" style="35" bestFit="1" customWidth="1"/>
    <col min="3075" max="3075" width="51.7109375" style="35" customWidth="1"/>
    <col min="3076" max="3327" width="9.140625" style="35"/>
    <col min="3328" max="3328" width="1.42578125" style="35" customWidth="1"/>
    <col min="3329" max="3329" width="31.28515625" style="35" customWidth="1"/>
    <col min="3330" max="3330" width="83.5703125" style="35" bestFit="1" customWidth="1"/>
    <col min="3331" max="3331" width="51.7109375" style="35" customWidth="1"/>
    <col min="3332" max="3583" width="9.140625" style="35"/>
    <col min="3584" max="3584" width="1.42578125" style="35" customWidth="1"/>
    <col min="3585" max="3585" width="31.28515625" style="35" customWidth="1"/>
    <col min="3586" max="3586" width="83.5703125" style="35" bestFit="1" customWidth="1"/>
    <col min="3587" max="3587" width="51.7109375" style="35" customWidth="1"/>
    <col min="3588" max="3839" width="9.140625" style="35"/>
    <col min="3840" max="3840" width="1.42578125" style="35" customWidth="1"/>
    <col min="3841" max="3841" width="31.28515625" style="35" customWidth="1"/>
    <col min="3842" max="3842" width="83.5703125" style="35" bestFit="1" customWidth="1"/>
    <col min="3843" max="3843" width="51.7109375" style="35" customWidth="1"/>
    <col min="3844" max="4095" width="9.140625" style="35"/>
    <col min="4096" max="4096" width="1.42578125" style="35" customWidth="1"/>
    <col min="4097" max="4097" width="31.28515625" style="35" customWidth="1"/>
    <col min="4098" max="4098" width="83.5703125" style="35" bestFit="1" customWidth="1"/>
    <col min="4099" max="4099" width="51.7109375" style="35" customWidth="1"/>
    <col min="4100" max="4351" width="9.140625" style="35"/>
    <col min="4352" max="4352" width="1.42578125" style="35" customWidth="1"/>
    <col min="4353" max="4353" width="31.28515625" style="35" customWidth="1"/>
    <col min="4354" max="4354" width="83.5703125" style="35" bestFit="1" customWidth="1"/>
    <col min="4355" max="4355" width="51.7109375" style="35" customWidth="1"/>
    <col min="4356" max="4607" width="9.140625" style="35"/>
    <col min="4608" max="4608" width="1.42578125" style="35" customWidth="1"/>
    <col min="4609" max="4609" width="31.28515625" style="35" customWidth="1"/>
    <col min="4610" max="4610" width="83.5703125" style="35" bestFit="1" customWidth="1"/>
    <col min="4611" max="4611" width="51.7109375" style="35" customWidth="1"/>
    <col min="4612" max="4863" width="9.140625" style="35"/>
    <col min="4864" max="4864" width="1.42578125" style="35" customWidth="1"/>
    <col min="4865" max="4865" width="31.28515625" style="35" customWidth="1"/>
    <col min="4866" max="4866" width="83.5703125" style="35" bestFit="1" customWidth="1"/>
    <col min="4867" max="4867" width="51.7109375" style="35" customWidth="1"/>
    <col min="4868" max="5119" width="9.140625" style="35"/>
    <col min="5120" max="5120" width="1.42578125" style="35" customWidth="1"/>
    <col min="5121" max="5121" width="31.28515625" style="35" customWidth="1"/>
    <col min="5122" max="5122" width="83.5703125" style="35" bestFit="1" customWidth="1"/>
    <col min="5123" max="5123" width="51.7109375" style="35" customWidth="1"/>
    <col min="5124" max="5375" width="9.140625" style="35"/>
    <col min="5376" max="5376" width="1.42578125" style="35" customWidth="1"/>
    <col min="5377" max="5377" width="31.28515625" style="35" customWidth="1"/>
    <col min="5378" max="5378" width="83.5703125" style="35" bestFit="1" customWidth="1"/>
    <col min="5379" max="5379" width="51.7109375" style="35" customWidth="1"/>
    <col min="5380" max="5631" width="9.140625" style="35"/>
    <col min="5632" max="5632" width="1.42578125" style="35" customWidth="1"/>
    <col min="5633" max="5633" width="31.28515625" style="35" customWidth="1"/>
    <col min="5634" max="5634" width="83.5703125" style="35" bestFit="1" customWidth="1"/>
    <col min="5635" max="5635" width="51.7109375" style="35" customWidth="1"/>
    <col min="5636" max="5887" width="9.140625" style="35"/>
    <col min="5888" max="5888" width="1.42578125" style="35" customWidth="1"/>
    <col min="5889" max="5889" width="31.28515625" style="35" customWidth="1"/>
    <col min="5890" max="5890" width="83.5703125" style="35" bestFit="1" customWidth="1"/>
    <col min="5891" max="5891" width="51.7109375" style="35" customWidth="1"/>
    <col min="5892" max="6143" width="9.140625" style="35"/>
    <col min="6144" max="6144" width="1.42578125" style="35" customWidth="1"/>
    <col min="6145" max="6145" width="31.28515625" style="35" customWidth="1"/>
    <col min="6146" max="6146" width="83.5703125" style="35" bestFit="1" customWidth="1"/>
    <col min="6147" max="6147" width="51.7109375" style="35" customWidth="1"/>
    <col min="6148" max="6399" width="9.140625" style="35"/>
    <col min="6400" max="6400" width="1.42578125" style="35" customWidth="1"/>
    <col min="6401" max="6401" width="31.28515625" style="35" customWidth="1"/>
    <col min="6402" max="6402" width="83.5703125" style="35" bestFit="1" customWidth="1"/>
    <col min="6403" max="6403" width="51.7109375" style="35" customWidth="1"/>
    <col min="6404" max="6655" width="9.140625" style="35"/>
    <col min="6656" max="6656" width="1.42578125" style="35" customWidth="1"/>
    <col min="6657" max="6657" width="31.28515625" style="35" customWidth="1"/>
    <col min="6658" max="6658" width="83.5703125" style="35" bestFit="1" customWidth="1"/>
    <col min="6659" max="6659" width="51.7109375" style="35" customWidth="1"/>
    <col min="6660" max="6911" width="9.140625" style="35"/>
    <col min="6912" max="6912" width="1.42578125" style="35" customWidth="1"/>
    <col min="6913" max="6913" width="31.28515625" style="35" customWidth="1"/>
    <col min="6914" max="6914" width="83.5703125" style="35" bestFit="1" customWidth="1"/>
    <col min="6915" max="6915" width="51.7109375" style="35" customWidth="1"/>
    <col min="6916" max="7167" width="9.140625" style="35"/>
    <col min="7168" max="7168" width="1.42578125" style="35" customWidth="1"/>
    <col min="7169" max="7169" width="31.28515625" style="35" customWidth="1"/>
    <col min="7170" max="7170" width="83.5703125" style="35" bestFit="1" customWidth="1"/>
    <col min="7171" max="7171" width="51.7109375" style="35" customWidth="1"/>
    <col min="7172" max="7423" width="9.140625" style="35"/>
    <col min="7424" max="7424" width="1.42578125" style="35" customWidth="1"/>
    <col min="7425" max="7425" width="31.28515625" style="35" customWidth="1"/>
    <col min="7426" max="7426" width="83.5703125" style="35" bestFit="1" customWidth="1"/>
    <col min="7427" max="7427" width="51.7109375" style="35" customWidth="1"/>
    <col min="7428" max="7679" width="9.140625" style="35"/>
    <col min="7680" max="7680" width="1.42578125" style="35" customWidth="1"/>
    <col min="7681" max="7681" width="31.28515625" style="35" customWidth="1"/>
    <col min="7682" max="7682" width="83.5703125" style="35" bestFit="1" customWidth="1"/>
    <col min="7683" max="7683" width="51.7109375" style="35" customWidth="1"/>
    <col min="7684" max="7935" width="9.140625" style="35"/>
    <col min="7936" max="7936" width="1.42578125" style="35" customWidth="1"/>
    <col min="7937" max="7937" width="31.28515625" style="35" customWidth="1"/>
    <col min="7938" max="7938" width="83.5703125" style="35" bestFit="1" customWidth="1"/>
    <col min="7939" max="7939" width="51.7109375" style="35" customWidth="1"/>
    <col min="7940" max="8191" width="9.140625" style="35"/>
    <col min="8192" max="8192" width="1.42578125" style="35" customWidth="1"/>
    <col min="8193" max="8193" width="31.28515625" style="35" customWidth="1"/>
    <col min="8194" max="8194" width="83.5703125" style="35" bestFit="1" customWidth="1"/>
    <col min="8195" max="8195" width="51.7109375" style="35" customWidth="1"/>
    <col min="8196" max="8447" width="9.140625" style="35"/>
    <col min="8448" max="8448" width="1.42578125" style="35" customWidth="1"/>
    <col min="8449" max="8449" width="31.28515625" style="35" customWidth="1"/>
    <col min="8450" max="8450" width="83.5703125" style="35" bestFit="1" customWidth="1"/>
    <col min="8451" max="8451" width="51.7109375" style="35" customWidth="1"/>
    <col min="8452" max="8703" width="9.140625" style="35"/>
    <col min="8704" max="8704" width="1.42578125" style="35" customWidth="1"/>
    <col min="8705" max="8705" width="31.28515625" style="35" customWidth="1"/>
    <col min="8706" max="8706" width="83.5703125" style="35" bestFit="1" customWidth="1"/>
    <col min="8707" max="8707" width="51.7109375" style="35" customWidth="1"/>
    <col min="8708" max="8959" width="9.140625" style="35"/>
    <col min="8960" max="8960" width="1.42578125" style="35" customWidth="1"/>
    <col min="8961" max="8961" width="31.28515625" style="35" customWidth="1"/>
    <col min="8962" max="8962" width="83.5703125" style="35" bestFit="1" customWidth="1"/>
    <col min="8963" max="8963" width="51.7109375" style="35" customWidth="1"/>
    <col min="8964" max="9215" width="9.140625" style="35"/>
    <col min="9216" max="9216" width="1.42578125" style="35" customWidth="1"/>
    <col min="9217" max="9217" width="31.28515625" style="35" customWidth="1"/>
    <col min="9218" max="9218" width="83.5703125" style="35" bestFit="1" customWidth="1"/>
    <col min="9219" max="9219" width="51.7109375" style="35" customWidth="1"/>
    <col min="9220" max="9471" width="9.140625" style="35"/>
    <col min="9472" max="9472" width="1.42578125" style="35" customWidth="1"/>
    <col min="9473" max="9473" width="31.28515625" style="35" customWidth="1"/>
    <col min="9474" max="9474" width="83.5703125" style="35" bestFit="1" customWidth="1"/>
    <col min="9475" max="9475" width="51.7109375" style="35" customWidth="1"/>
    <col min="9476" max="9727" width="9.140625" style="35"/>
    <col min="9728" max="9728" width="1.42578125" style="35" customWidth="1"/>
    <col min="9729" max="9729" width="31.28515625" style="35" customWidth="1"/>
    <col min="9730" max="9730" width="83.5703125" style="35" bestFit="1" customWidth="1"/>
    <col min="9731" max="9731" width="51.7109375" style="35" customWidth="1"/>
    <col min="9732" max="9983" width="9.140625" style="35"/>
    <col min="9984" max="9984" width="1.42578125" style="35" customWidth="1"/>
    <col min="9985" max="9985" width="31.28515625" style="35" customWidth="1"/>
    <col min="9986" max="9986" width="83.5703125" style="35" bestFit="1" customWidth="1"/>
    <col min="9987" max="9987" width="51.7109375" style="35" customWidth="1"/>
    <col min="9988" max="10239" width="9.140625" style="35"/>
    <col min="10240" max="10240" width="1.42578125" style="35" customWidth="1"/>
    <col min="10241" max="10241" width="31.28515625" style="35" customWidth="1"/>
    <col min="10242" max="10242" width="83.5703125" style="35" bestFit="1" customWidth="1"/>
    <col min="10243" max="10243" width="51.7109375" style="35" customWidth="1"/>
    <col min="10244" max="10495" width="9.140625" style="35"/>
    <col min="10496" max="10496" width="1.42578125" style="35" customWidth="1"/>
    <col min="10497" max="10497" width="31.28515625" style="35" customWidth="1"/>
    <col min="10498" max="10498" width="83.5703125" style="35" bestFit="1" customWidth="1"/>
    <col min="10499" max="10499" width="51.7109375" style="35" customWidth="1"/>
    <col min="10500" max="10751" width="9.140625" style="35"/>
    <col min="10752" max="10752" width="1.42578125" style="35" customWidth="1"/>
    <col min="10753" max="10753" width="31.28515625" style="35" customWidth="1"/>
    <col min="10754" max="10754" width="83.5703125" style="35" bestFit="1" customWidth="1"/>
    <col min="10755" max="10755" width="51.7109375" style="35" customWidth="1"/>
    <col min="10756" max="11007" width="9.140625" style="35"/>
    <col min="11008" max="11008" width="1.42578125" style="35" customWidth="1"/>
    <col min="11009" max="11009" width="31.28515625" style="35" customWidth="1"/>
    <col min="11010" max="11010" width="83.5703125" style="35" bestFit="1" customWidth="1"/>
    <col min="11011" max="11011" width="51.7109375" style="35" customWidth="1"/>
    <col min="11012" max="11263" width="9.140625" style="35"/>
    <col min="11264" max="11264" width="1.42578125" style="35" customWidth="1"/>
    <col min="11265" max="11265" width="31.28515625" style="35" customWidth="1"/>
    <col min="11266" max="11266" width="83.5703125" style="35" bestFit="1" customWidth="1"/>
    <col min="11267" max="11267" width="51.7109375" style="35" customWidth="1"/>
    <col min="11268" max="11519" width="9.140625" style="35"/>
    <col min="11520" max="11520" width="1.42578125" style="35" customWidth="1"/>
    <col min="11521" max="11521" width="31.28515625" style="35" customWidth="1"/>
    <col min="11522" max="11522" width="83.5703125" style="35" bestFit="1" customWidth="1"/>
    <col min="11523" max="11523" width="51.7109375" style="35" customWidth="1"/>
    <col min="11524" max="11775" width="9.140625" style="35"/>
    <col min="11776" max="11776" width="1.42578125" style="35" customWidth="1"/>
    <col min="11777" max="11777" width="31.28515625" style="35" customWidth="1"/>
    <col min="11778" max="11778" width="83.5703125" style="35" bestFit="1" customWidth="1"/>
    <col min="11779" max="11779" width="51.7109375" style="35" customWidth="1"/>
    <col min="11780" max="12031" width="9.140625" style="35"/>
    <col min="12032" max="12032" width="1.42578125" style="35" customWidth="1"/>
    <col min="12033" max="12033" width="31.28515625" style="35" customWidth="1"/>
    <col min="12034" max="12034" width="83.5703125" style="35" bestFit="1" customWidth="1"/>
    <col min="12035" max="12035" width="51.7109375" style="35" customWidth="1"/>
    <col min="12036" max="12287" width="9.140625" style="35"/>
    <col min="12288" max="12288" width="1.42578125" style="35" customWidth="1"/>
    <col min="12289" max="12289" width="31.28515625" style="35" customWidth="1"/>
    <col min="12290" max="12290" width="83.5703125" style="35" bestFit="1" customWidth="1"/>
    <col min="12291" max="12291" width="51.7109375" style="35" customWidth="1"/>
    <col min="12292" max="12543" width="9.140625" style="35"/>
    <col min="12544" max="12544" width="1.42578125" style="35" customWidth="1"/>
    <col min="12545" max="12545" width="31.28515625" style="35" customWidth="1"/>
    <col min="12546" max="12546" width="83.5703125" style="35" bestFit="1" customWidth="1"/>
    <col min="12547" max="12547" width="51.7109375" style="35" customWidth="1"/>
    <col min="12548" max="12799" width="9.140625" style="35"/>
    <col min="12800" max="12800" width="1.42578125" style="35" customWidth="1"/>
    <col min="12801" max="12801" width="31.28515625" style="35" customWidth="1"/>
    <col min="12802" max="12802" width="83.5703125" style="35" bestFit="1" customWidth="1"/>
    <col min="12803" max="12803" width="51.7109375" style="35" customWidth="1"/>
    <col min="12804" max="13055" width="9.140625" style="35"/>
    <col min="13056" max="13056" width="1.42578125" style="35" customWidth="1"/>
    <col min="13057" max="13057" width="31.28515625" style="35" customWidth="1"/>
    <col min="13058" max="13058" width="83.5703125" style="35" bestFit="1" customWidth="1"/>
    <col min="13059" max="13059" width="51.7109375" style="35" customWidth="1"/>
    <col min="13060" max="13311" width="9.140625" style="35"/>
    <col min="13312" max="13312" width="1.42578125" style="35" customWidth="1"/>
    <col min="13313" max="13313" width="31.28515625" style="35" customWidth="1"/>
    <col min="13314" max="13314" width="83.5703125" style="35" bestFit="1" customWidth="1"/>
    <col min="13315" max="13315" width="51.7109375" style="35" customWidth="1"/>
    <col min="13316" max="13567" width="9.140625" style="35"/>
    <col min="13568" max="13568" width="1.42578125" style="35" customWidth="1"/>
    <col min="13569" max="13569" width="31.28515625" style="35" customWidth="1"/>
    <col min="13570" max="13570" width="83.5703125" style="35" bestFit="1" customWidth="1"/>
    <col min="13571" max="13571" width="51.7109375" style="35" customWidth="1"/>
    <col min="13572" max="13823" width="9.140625" style="35"/>
    <col min="13824" max="13824" width="1.42578125" style="35" customWidth="1"/>
    <col min="13825" max="13825" width="31.28515625" style="35" customWidth="1"/>
    <col min="13826" max="13826" width="83.5703125" style="35" bestFit="1" customWidth="1"/>
    <col min="13827" max="13827" width="51.7109375" style="35" customWidth="1"/>
    <col min="13828" max="14079" width="9.140625" style="35"/>
    <col min="14080" max="14080" width="1.42578125" style="35" customWidth="1"/>
    <col min="14081" max="14081" width="31.28515625" style="35" customWidth="1"/>
    <col min="14082" max="14082" width="83.5703125" style="35" bestFit="1" customWidth="1"/>
    <col min="14083" max="14083" width="51.7109375" style="35" customWidth="1"/>
    <col min="14084" max="14335" width="9.140625" style="35"/>
    <col min="14336" max="14336" width="1.42578125" style="35" customWidth="1"/>
    <col min="14337" max="14337" width="31.28515625" style="35" customWidth="1"/>
    <col min="14338" max="14338" width="83.5703125" style="35" bestFit="1" customWidth="1"/>
    <col min="14339" max="14339" width="51.7109375" style="35" customWidth="1"/>
    <col min="14340" max="14591" width="9.140625" style="35"/>
    <col min="14592" max="14592" width="1.42578125" style="35" customWidth="1"/>
    <col min="14593" max="14593" width="31.28515625" style="35" customWidth="1"/>
    <col min="14594" max="14594" width="83.5703125" style="35" bestFit="1" customWidth="1"/>
    <col min="14595" max="14595" width="51.7109375" style="35" customWidth="1"/>
    <col min="14596" max="14847" width="9.140625" style="35"/>
    <col min="14848" max="14848" width="1.42578125" style="35" customWidth="1"/>
    <col min="14849" max="14849" width="31.28515625" style="35" customWidth="1"/>
    <col min="14850" max="14850" width="83.5703125" style="35" bestFit="1" customWidth="1"/>
    <col min="14851" max="14851" width="51.7109375" style="35" customWidth="1"/>
    <col min="14852" max="15103" width="9.140625" style="35"/>
    <col min="15104" max="15104" width="1.42578125" style="35" customWidth="1"/>
    <col min="15105" max="15105" width="31.28515625" style="35" customWidth="1"/>
    <col min="15106" max="15106" width="83.5703125" style="35" bestFit="1" customWidth="1"/>
    <col min="15107" max="15107" width="51.7109375" style="35" customWidth="1"/>
    <col min="15108" max="15359" width="9.140625" style="35"/>
    <col min="15360" max="15360" width="1.42578125" style="35" customWidth="1"/>
    <col min="15361" max="15361" width="31.28515625" style="35" customWidth="1"/>
    <col min="15362" max="15362" width="83.5703125" style="35" bestFit="1" customWidth="1"/>
    <col min="15363" max="15363" width="51.7109375" style="35" customWidth="1"/>
    <col min="15364" max="15615" width="9.140625" style="35"/>
    <col min="15616" max="15616" width="1.42578125" style="35" customWidth="1"/>
    <col min="15617" max="15617" width="31.28515625" style="35" customWidth="1"/>
    <col min="15618" max="15618" width="83.5703125" style="35" bestFit="1" customWidth="1"/>
    <col min="15619" max="15619" width="51.7109375" style="35" customWidth="1"/>
    <col min="15620" max="15871" width="9.140625" style="35"/>
    <col min="15872" max="15872" width="1.42578125" style="35" customWidth="1"/>
    <col min="15873" max="15873" width="31.28515625" style="35" customWidth="1"/>
    <col min="15874" max="15874" width="83.5703125" style="35" bestFit="1" customWidth="1"/>
    <col min="15875" max="15875" width="51.7109375" style="35" customWidth="1"/>
    <col min="15876" max="16127" width="9.140625" style="35"/>
    <col min="16128" max="16128" width="1.42578125" style="35" customWidth="1"/>
    <col min="16129" max="16129" width="31.28515625" style="35" customWidth="1"/>
    <col min="16130" max="16130" width="83.5703125" style="35" bestFit="1" customWidth="1"/>
    <col min="16131" max="16131" width="51.7109375" style="35" customWidth="1"/>
    <col min="16132" max="16384" width="9.140625" style="35"/>
  </cols>
  <sheetData>
    <row r="1" spans="1:15" ht="150" customHeight="1" x14ac:dyDescent="0.25"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ht="45" customHeight="1" x14ac:dyDescent="0.25">
      <c r="A2" s="74" t="s">
        <v>0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5" ht="15" customHeight="1" x14ac:dyDescent="0.25">
      <c r="A3" s="40" t="s">
        <v>1</v>
      </c>
      <c r="B3" s="41" t="s">
        <v>86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</row>
    <row r="4" spans="1:15" ht="15" customHeight="1" x14ac:dyDescent="0.25">
      <c r="A4" s="40" t="s">
        <v>2</v>
      </c>
      <c r="B4" s="41" t="s">
        <v>87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</row>
    <row r="5" spans="1:15" ht="15" customHeight="1" x14ac:dyDescent="0.25">
      <c r="A5" s="40" t="s">
        <v>3</v>
      </c>
      <c r="B5" s="41" t="s">
        <v>4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</row>
    <row r="6" spans="1:15" ht="15" customHeight="1" x14ac:dyDescent="0.25">
      <c r="A6" s="40" t="s">
        <v>5</v>
      </c>
      <c r="B6" s="42">
        <v>45506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</row>
    <row r="7" spans="1:15" ht="15" customHeight="1" x14ac:dyDescent="0.25">
      <c r="A7" s="40" t="s">
        <v>6</v>
      </c>
      <c r="B7" s="41" t="s">
        <v>88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</row>
    <row r="8" spans="1:15" ht="15" customHeight="1" x14ac:dyDescent="0.25">
      <c r="A8" s="40" t="s">
        <v>7</v>
      </c>
      <c r="B8" s="41" t="s">
        <v>8</v>
      </c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</row>
    <row r="9" spans="1:15" ht="120.75" customHeight="1" x14ac:dyDescent="0.25">
      <c r="A9" s="73" t="s">
        <v>9</v>
      </c>
      <c r="B9" s="73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</row>
    <row r="10" spans="1:15" ht="120.75" customHeight="1" x14ac:dyDescent="0.25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</row>
    <row r="11" spans="1:15" ht="120.75" customHeight="1" x14ac:dyDescent="0.25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</row>
    <row r="12" spans="1:15" ht="120.75" customHeight="1" x14ac:dyDescent="0.25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</row>
    <row r="13" spans="1:15" ht="120.75" customHeight="1" x14ac:dyDescent="0.25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</row>
    <row r="61" ht="15" x14ac:dyDescent="0.25"/>
  </sheetData>
  <mergeCells count="4">
    <mergeCell ref="A9:B9"/>
    <mergeCell ref="A2:B2"/>
    <mergeCell ref="C1:O13"/>
    <mergeCell ref="A10:B13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zoomScaleNormal="100" workbookViewId="0">
      <selection sqref="A1:XFD1048576"/>
    </sheetView>
  </sheetViews>
  <sheetFormatPr defaultColWidth="9.140625" defaultRowHeight="15" x14ac:dyDescent="0.25"/>
  <cols>
    <col min="1" max="1" width="12.140625" style="35" bestFit="1" customWidth="1"/>
    <col min="2" max="2" width="19" style="35" bestFit="1" customWidth="1"/>
    <col min="3" max="3" width="18.7109375" style="35" customWidth="1"/>
    <col min="4" max="4" width="10.7109375" style="35" customWidth="1"/>
    <col min="5" max="5" width="31.85546875" style="35" customWidth="1"/>
    <col min="6" max="6" width="12.7109375" style="35" customWidth="1"/>
    <col min="7" max="7" width="44.85546875" style="35" customWidth="1"/>
    <col min="8" max="8" width="12" style="35" bestFit="1" customWidth="1"/>
    <col min="9" max="9" width="17.42578125" style="35" bestFit="1" customWidth="1"/>
    <col min="10" max="10" width="10.140625" style="35" customWidth="1"/>
    <col min="11" max="11" width="11.28515625" style="35" bestFit="1" customWidth="1"/>
    <col min="12" max="16384" width="9.140625" style="35"/>
  </cols>
  <sheetData>
    <row r="1" spans="1:11" ht="15" customHeight="1" x14ac:dyDescent="0.3">
      <c r="A1" s="78" t="s">
        <v>6</v>
      </c>
      <c r="B1" s="79"/>
      <c r="C1" s="77" t="str">
        <f>Copertina!B7</f>
        <v>MEV 2024_DNA</v>
      </c>
      <c r="D1" s="77"/>
      <c r="E1" s="77"/>
      <c r="F1" s="77"/>
      <c r="G1" s="77"/>
      <c r="H1" s="77"/>
      <c r="I1" s="77"/>
      <c r="J1" s="77"/>
    </row>
    <row r="2" spans="1:11" ht="15" customHeight="1" x14ac:dyDescent="0.3">
      <c r="A2" s="78" t="s">
        <v>10</v>
      </c>
      <c r="B2" s="79"/>
      <c r="C2" s="77" t="str">
        <f>Copertina!B3</f>
        <v>SIUT-SIES-CT-1.0-20240802-Allegato_al_piano_test_2024-DNA.xlsx</v>
      </c>
      <c r="D2" s="77"/>
      <c r="E2" s="77"/>
      <c r="F2" s="77"/>
      <c r="G2" s="77"/>
      <c r="H2" s="77"/>
      <c r="I2" s="77"/>
      <c r="J2" s="77"/>
    </row>
    <row r="3" spans="1:11" ht="40.5" customHeight="1" x14ac:dyDescent="0.25">
      <c r="A3" s="1" t="s">
        <v>11</v>
      </c>
      <c r="B3" s="1" t="s">
        <v>12</v>
      </c>
      <c r="C3" s="2" t="s">
        <v>13</v>
      </c>
      <c r="D3" s="2" t="s">
        <v>14</v>
      </c>
      <c r="E3" s="2" t="s">
        <v>15</v>
      </c>
      <c r="F3" s="3" t="s">
        <v>16</v>
      </c>
      <c r="G3" s="4" t="s">
        <v>17</v>
      </c>
      <c r="H3" s="5" t="s">
        <v>18</v>
      </c>
      <c r="I3" s="6" t="s">
        <v>19</v>
      </c>
      <c r="J3" s="3" t="s">
        <v>20</v>
      </c>
    </row>
    <row r="4" spans="1:11" ht="45" customHeight="1" x14ac:dyDescent="0.25">
      <c r="A4" s="43" t="s">
        <v>21</v>
      </c>
      <c r="B4" s="44" t="s">
        <v>89</v>
      </c>
      <c r="C4" s="44" t="s">
        <v>89</v>
      </c>
      <c r="D4" s="43" t="s">
        <v>22</v>
      </c>
      <c r="E4" s="45" t="s">
        <v>99</v>
      </c>
      <c r="F4" s="43" t="s">
        <v>23</v>
      </c>
      <c r="G4" s="45" t="s">
        <v>97</v>
      </c>
      <c r="H4" s="46">
        <v>2</v>
      </c>
      <c r="I4" s="46" t="s">
        <v>25</v>
      </c>
      <c r="J4" s="43"/>
      <c r="K4" s="36"/>
    </row>
    <row r="5" spans="1:11" ht="45" customHeight="1" x14ac:dyDescent="0.25">
      <c r="A5" s="43" t="s">
        <v>21</v>
      </c>
      <c r="B5" s="44" t="s">
        <v>111</v>
      </c>
      <c r="C5" s="44" t="s">
        <v>111</v>
      </c>
      <c r="D5" s="43" t="s">
        <v>22</v>
      </c>
      <c r="E5" s="45" t="s">
        <v>100</v>
      </c>
      <c r="F5" s="43" t="s">
        <v>112</v>
      </c>
      <c r="G5" s="45" t="s">
        <v>98</v>
      </c>
      <c r="H5" s="46">
        <v>2</v>
      </c>
      <c r="I5" s="46" t="s">
        <v>25</v>
      </c>
      <c r="J5" s="43"/>
    </row>
  </sheetData>
  <mergeCells count="4">
    <mergeCell ref="C1:J1"/>
    <mergeCell ref="C2:J2"/>
    <mergeCell ref="A1:B1"/>
    <mergeCell ref="A2:B2"/>
  </mergeCells>
  <phoneticPr fontId="21" type="noConversion"/>
  <pageMargins left="0.7" right="0.7" top="0.75" bottom="0.75" header="0.3" footer="0.3"/>
  <pageSetup paperSize="9" scale="7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1"/>
  <sheetViews>
    <sheetView zoomScale="90" zoomScaleNormal="90" workbookViewId="0">
      <selection sqref="A1:XFD1048576"/>
    </sheetView>
  </sheetViews>
  <sheetFormatPr defaultColWidth="9.140625" defaultRowHeight="15" x14ac:dyDescent="0.25"/>
  <cols>
    <col min="1" max="1" width="23.140625" style="35" bestFit="1" customWidth="1"/>
    <col min="2" max="2" width="10.42578125" style="35" customWidth="1"/>
    <col min="3" max="3" width="20.85546875" style="35" customWidth="1"/>
    <col min="4" max="4" width="46.140625" style="35" customWidth="1"/>
    <col min="5" max="5" width="30.140625" style="35" customWidth="1"/>
    <col min="6" max="6" width="51.140625" style="35" customWidth="1"/>
    <col min="7" max="7" width="9.140625" style="35" customWidth="1"/>
    <col min="8" max="8" width="11.5703125" style="35" customWidth="1"/>
    <col min="9" max="9" width="44.28515625" style="35" bestFit="1" customWidth="1"/>
    <col min="10" max="10" width="9.140625" style="35"/>
    <col min="11" max="11" width="25.85546875" style="35" bestFit="1" customWidth="1"/>
    <col min="12" max="16384" width="9.140625" style="35"/>
  </cols>
  <sheetData>
    <row r="1" spans="1:7" ht="30" customHeight="1" thickBot="1" x14ac:dyDescent="0.3">
      <c r="A1" s="86" t="s">
        <v>6</v>
      </c>
      <c r="B1" s="87"/>
      <c r="C1" s="85"/>
      <c r="D1" s="88" t="str">
        <f>Copertina!B7</f>
        <v>MEV 2024_DNA</v>
      </c>
      <c r="E1" s="88"/>
      <c r="F1" s="88"/>
      <c r="G1" s="88"/>
    </row>
    <row r="2" spans="1:7" ht="30" customHeight="1" thickBot="1" x14ac:dyDescent="0.3">
      <c r="A2" s="86" t="s">
        <v>10</v>
      </c>
      <c r="B2" s="89"/>
      <c r="C2" s="90"/>
      <c r="D2" s="88" t="str">
        <f>Copertina!B3</f>
        <v>SIUT-SIES-CT-1.0-20240802-Allegato_al_piano_test_2024-DNA.xlsx</v>
      </c>
      <c r="E2" s="88"/>
      <c r="F2" s="88"/>
      <c r="G2" s="88"/>
    </row>
    <row r="3" spans="1:7" ht="30" customHeight="1" thickBot="1" x14ac:dyDescent="0.3">
      <c r="A3" s="50" t="s">
        <v>26</v>
      </c>
      <c r="B3" s="91" t="s">
        <v>27</v>
      </c>
      <c r="C3" s="91"/>
      <c r="D3" s="91" t="s">
        <v>15</v>
      </c>
      <c r="E3" s="91"/>
      <c r="F3" s="91" t="s">
        <v>17</v>
      </c>
      <c r="G3" s="91"/>
    </row>
    <row r="4" spans="1:7" ht="45" customHeight="1" thickBot="1" x14ac:dyDescent="0.3">
      <c r="A4" s="51" t="str">
        <f>TabellaTest!F4</f>
        <v>TF001.UC01</v>
      </c>
      <c r="B4" s="84" t="str">
        <f>TabellaTest!C4</f>
        <v>TF001</v>
      </c>
      <c r="C4" s="84"/>
      <c r="D4" s="84" t="str">
        <f>TabellaTest!E4</f>
        <v>Ricerca Fascicolo SIEP altre BDI per utente DNA</v>
      </c>
      <c r="E4" s="85"/>
      <c r="F4" s="84" t="str">
        <f>TabellaTest!G4</f>
        <v>Verifica: Verificare nel sottosistema SIUS per utente DNA che dopo l'esecuzione del batch non vi sia traccia della ricerca procedimento effettuata</v>
      </c>
      <c r="G4" s="85"/>
    </row>
    <row r="5" spans="1:7" ht="30" customHeight="1" thickBot="1" x14ac:dyDescent="0.3">
      <c r="A5" s="80"/>
      <c r="B5" s="47" t="s">
        <v>28</v>
      </c>
      <c r="C5" s="48" t="s">
        <v>29</v>
      </c>
      <c r="D5" s="49" t="s">
        <v>30</v>
      </c>
      <c r="E5" s="49" t="s">
        <v>31</v>
      </c>
      <c r="F5" s="49" t="s">
        <v>32</v>
      </c>
      <c r="G5" s="49" t="s">
        <v>20</v>
      </c>
    </row>
    <row r="6" spans="1:7" ht="30" customHeight="1" x14ac:dyDescent="0.25">
      <c r="A6" s="81"/>
      <c r="B6" s="53" t="s">
        <v>33</v>
      </c>
      <c r="C6" s="54" t="s">
        <v>34</v>
      </c>
      <c r="D6" s="55" t="s">
        <v>113</v>
      </c>
      <c r="E6" s="55" t="s">
        <v>93</v>
      </c>
      <c r="F6" s="55"/>
      <c r="G6" s="56"/>
    </row>
    <row r="7" spans="1:7" ht="15" customHeight="1" x14ac:dyDescent="0.25">
      <c r="A7" s="81"/>
      <c r="B7" s="57" t="s">
        <v>33</v>
      </c>
      <c r="C7" s="58" t="s">
        <v>35</v>
      </c>
      <c r="D7" s="59" t="s">
        <v>90</v>
      </c>
      <c r="E7" s="59"/>
      <c r="F7" s="60"/>
      <c r="G7" s="61"/>
    </row>
    <row r="8" spans="1:7" ht="30" customHeight="1" x14ac:dyDescent="0.25">
      <c r="A8" s="81"/>
      <c r="B8" s="62">
        <v>1</v>
      </c>
      <c r="C8" s="63" t="s">
        <v>36</v>
      </c>
      <c r="D8" s="64" t="s">
        <v>94</v>
      </c>
      <c r="E8" s="71" t="s">
        <v>106</v>
      </c>
      <c r="F8" s="59" t="s">
        <v>92</v>
      </c>
      <c r="G8" s="61"/>
    </row>
    <row r="9" spans="1:7" ht="45" customHeight="1" x14ac:dyDescent="0.25">
      <c r="A9" s="81"/>
      <c r="B9" s="65">
        <v>2</v>
      </c>
      <c r="C9" s="66" t="s">
        <v>40</v>
      </c>
      <c r="D9" s="59" t="s">
        <v>91</v>
      </c>
      <c r="E9" s="71" t="s">
        <v>95</v>
      </c>
      <c r="F9" s="59" t="s">
        <v>96</v>
      </c>
      <c r="G9" s="61"/>
    </row>
    <row r="10" spans="1:7" ht="60" customHeight="1" x14ac:dyDescent="0.25">
      <c r="A10" s="81"/>
      <c r="B10" s="65">
        <v>3</v>
      </c>
      <c r="C10" s="66" t="s">
        <v>40</v>
      </c>
      <c r="D10" s="59" t="s">
        <v>104</v>
      </c>
      <c r="E10" s="71" t="s">
        <v>101</v>
      </c>
      <c r="F10" s="59" t="s">
        <v>115</v>
      </c>
      <c r="G10" s="61"/>
    </row>
    <row r="11" spans="1:7" ht="45" customHeight="1" thickBot="1" x14ac:dyDescent="0.3">
      <c r="A11" s="81"/>
      <c r="B11" s="67" t="s">
        <v>37</v>
      </c>
      <c r="C11" s="67" t="s">
        <v>38</v>
      </c>
      <c r="D11" s="68" t="s">
        <v>102</v>
      </c>
      <c r="E11" s="70" t="s">
        <v>103</v>
      </c>
      <c r="F11" s="72" t="s">
        <v>116</v>
      </c>
      <c r="G11" s="69" t="s">
        <v>39</v>
      </c>
    </row>
    <row r="12" spans="1:7" ht="45" customHeight="1" thickBot="1" x14ac:dyDescent="0.3">
      <c r="A12" s="52" t="str">
        <f>TabellaTest!F5</f>
        <v>TF002.UC01</v>
      </c>
      <c r="B12" s="83" t="str">
        <f>TabellaTest!C5</f>
        <v>TF002</v>
      </c>
      <c r="C12" s="84"/>
      <c r="D12" s="84" t="str">
        <f>TabellaTest!E5</f>
        <v>Ricerca procedimenti SIEP per Soggetto per utente DNA</v>
      </c>
      <c r="E12" s="85"/>
      <c r="F12" s="84" t="str">
        <f>TabellaTest!G5</f>
        <v>Verifica: Verificare nel sottosistema SIUS per utente DNA che dopo l'esecuzione del batch non vi sia traccia della ricerca soggetto effettuata</v>
      </c>
      <c r="G12" s="85"/>
    </row>
    <row r="13" spans="1:7" ht="30" customHeight="1" thickBot="1" x14ac:dyDescent="0.3">
      <c r="A13" s="80"/>
      <c r="B13" s="47" t="s">
        <v>28</v>
      </c>
      <c r="C13" s="48" t="s">
        <v>29</v>
      </c>
      <c r="D13" s="49" t="s">
        <v>30</v>
      </c>
      <c r="E13" s="49" t="s">
        <v>31</v>
      </c>
      <c r="F13" s="49" t="s">
        <v>32</v>
      </c>
      <c r="G13" s="49" t="s">
        <v>20</v>
      </c>
    </row>
    <row r="14" spans="1:7" ht="30" customHeight="1" x14ac:dyDescent="0.25">
      <c r="A14" s="81"/>
      <c r="B14" s="53" t="s">
        <v>33</v>
      </c>
      <c r="C14" s="54" t="s">
        <v>34</v>
      </c>
      <c r="D14" s="55" t="s">
        <v>114</v>
      </c>
      <c r="E14" s="55" t="s">
        <v>93</v>
      </c>
      <c r="F14" s="55"/>
      <c r="G14" s="56"/>
    </row>
    <row r="15" spans="1:7" ht="15" customHeight="1" x14ac:dyDescent="0.25">
      <c r="A15" s="81"/>
      <c r="B15" s="57" t="s">
        <v>33</v>
      </c>
      <c r="C15" s="58" t="s">
        <v>35</v>
      </c>
      <c r="D15" s="59" t="s">
        <v>90</v>
      </c>
      <c r="E15" s="59"/>
      <c r="F15" s="60"/>
      <c r="G15" s="61"/>
    </row>
    <row r="16" spans="1:7" ht="30" customHeight="1" x14ac:dyDescent="0.25">
      <c r="A16" s="81"/>
      <c r="B16" s="62">
        <v>1</v>
      </c>
      <c r="C16" s="63" t="s">
        <v>36</v>
      </c>
      <c r="D16" s="64" t="s">
        <v>105</v>
      </c>
      <c r="E16" s="71" t="s">
        <v>107</v>
      </c>
      <c r="F16" s="59" t="s">
        <v>110</v>
      </c>
      <c r="G16" s="61"/>
    </row>
    <row r="17" spans="1:7" ht="30" customHeight="1" x14ac:dyDescent="0.25">
      <c r="A17" s="81"/>
      <c r="B17" s="65">
        <v>2</v>
      </c>
      <c r="C17" s="66" t="s">
        <v>40</v>
      </c>
      <c r="D17" s="59" t="s">
        <v>91</v>
      </c>
      <c r="E17" s="71" t="s">
        <v>108</v>
      </c>
      <c r="F17" s="59" t="s">
        <v>109</v>
      </c>
      <c r="G17" s="61"/>
    </row>
    <row r="18" spans="1:7" ht="60" customHeight="1" x14ac:dyDescent="0.25">
      <c r="A18" s="81"/>
      <c r="B18" s="65">
        <v>3</v>
      </c>
      <c r="C18" s="66" t="s">
        <v>40</v>
      </c>
      <c r="D18" s="59" t="s">
        <v>104</v>
      </c>
      <c r="E18" s="71" t="s">
        <v>101</v>
      </c>
      <c r="F18" s="59" t="s">
        <v>115</v>
      </c>
      <c r="G18" s="61"/>
    </row>
    <row r="19" spans="1:7" ht="45" customHeight="1" thickBot="1" x14ac:dyDescent="0.3">
      <c r="A19" s="82"/>
      <c r="B19" s="67" t="s">
        <v>37</v>
      </c>
      <c r="C19" s="67" t="s">
        <v>38</v>
      </c>
      <c r="D19" s="68" t="s">
        <v>102</v>
      </c>
      <c r="E19" s="70" t="s">
        <v>103</v>
      </c>
      <c r="F19" s="72" t="s">
        <v>116</v>
      </c>
      <c r="G19" s="69" t="s">
        <v>39</v>
      </c>
    </row>
    <row r="20" spans="1:7" ht="30" customHeight="1" x14ac:dyDescent="0.25"/>
    <row r="21" spans="1:7" ht="30" customHeight="1" x14ac:dyDescent="0.25"/>
  </sheetData>
  <autoFilter ref="A3:G3">
    <filterColumn colId="1" showButton="0"/>
    <filterColumn colId="3" showButton="0"/>
    <filterColumn colId="5" showButton="0"/>
  </autoFilter>
  <mergeCells count="15">
    <mergeCell ref="A13:A19"/>
    <mergeCell ref="B12:C12"/>
    <mergeCell ref="D12:E12"/>
    <mergeCell ref="F12:G12"/>
    <mergeCell ref="A1:C1"/>
    <mergeCell ref="D1:G1"/>
    <mergeCell ref="A2:C2"/>
    <mergeCell ref="D2:G2"/>
    <mergeCell ref="B3:C3"/>
    <mergeCell ref="D3:E3"/>
    <mergeCell ref="F3:G3"/>
    <mergeCell ref="F4:G4"/>
    <mergeCell ref="B4:C4"/>
    <mergeCell ref="D4:E4"/>
    <mergeCell ref="A5:A11"/>
  </mergeCells>
  <phoneticPr fontId="21" type="noConversion"/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Normal="100" workbookViewId="0">
      <selection sqref="A1:XFD1048576"/>
    </sheetView>
  </sheetViews>
  <sheetFormatPr defaultRowHeight="12.75" x14ac:dyDescent="0.25"/>
  <cols>
    <col min="1" max="1" width="4" style="13" bestFit="1" customWidth="1"/>
    <col min="2" max="2" width="21.28515625" style="13" customWidth="1"/>
    <col min="3" max="3" width="22.7109375" style="13" bestFit="1" customWidth="1"/>
    <col min="4" max="4" width="32.5703125" style="13" customWidth="1"/>
    <col min="5" max="5" width="57.28515625" style="13" customWidth="1"/>
    <col min="6" max="6" width="15.5703125" style="13" customWidth="1"/>
    <col min="7" max="7" width="17.7109375" style="13" customWidth="1"/>
    <col min="8" max="254" width="9.140625" style="13"/>
    <col min="255" max="255" width="4" style="13" bestFit="1" customWidth="1"/>
    <col min="256" max="256" width="26.7109375" style="13" bestFit="1" customWidth="1"/>
    <col min="257" max="257" width="22.7109375" style="13" bestFit="1" customWidth="1"/>
    <col min="258" max="258" width="32.5703125" style="13" customWidth="1"/>
    <col min="259" max="259" width="57.28515625" style="13" customWidth="1"/>
    <col min="260" max="260" width="15.5703125" style="13" customWidth="1"/>
    <col min="261" max="261" width="16.7109375" style="13" customWidth="1"/>
    <col min="262" max="510" width="9.140625" style="13"/>
    <col min="511" max="511" width="4" style="13" bestFit="1" customWidth="1"/>
    <col min="512" max="512" width="26.7109375" style="13" bestFit="1" customWidth="1"/>
    <col min="513" max="513" width="22.7109375" style="13" bestFit="1" customWidth="1"/>
    <col min="514" max="514" width="32.5703125" style="13" customWidth="1"/>
    <col min="515" max="515" width="57.28515625" style="13" customWidth="1"/>
    <col min="516" max="516" width="15.5703125" style="13" customWidth="1"/>
    <col min="517" max="517" width="16.7109375" style="13" customWidth="1"/>
    <col min="518" max="766" width="9.140625" style="13"/>
    <col min="767" max="767" width="4" style="13" bestFit="1" customWidth="1"/>
    <col min="768" max="768" width="26.7109375" style="13" bestFit="1" customWidth="1"/>
    <col min="769" max="769" width="22.7109375" style="13" bestFit="1" customWidth="1"/>
    <col min="770" max="770" width="32.5703125" style="13" customWidth="1"/>
    <col min="771" max="771" width="57.28515625" style="13" customWidth="1"/>
    <col min="772" max="772" width="15.5703125" style="13" customWidth="1"/>
    <col min="773" max="773" width="16.7109375" style="13" customWidth="1"/>
    <col min="774" max="1022" width="9.140625" style="13"/>
    <col min="1023" max="1023" width="4" style="13" bestFit="1" customWidth="1"/>
    <col min="1024" max="1024" width="26.7109375" style="13" bestFit="1" customWidth="1"/>
    <col min="1025" max="1025" width="22.7109375" style="13" bestFit="1" customWidth="1"/>
    <col min="1026" max="1026" width="32.5703125" style="13" customWidth="1"/>
    <col min="1027" max="1027" width="57.28515625" style="13" customWidth="1"/>
    <col min="1028" max="1028" width="15.5703125" style="13" customWidth="1"/>
    <col min="1029" max="1029" width="16.7109375" style="13" customWidth="1"/>
    <col min="1030" max="1278" width="9.140625" style="13"/>
    <col min="1279" max="1279" width="4" style="13" bestFit="1" customWidth="1"/>
    <col min="1280" max="1280" width="26.7109375" style="13" bestFit="1" customWidth="1"/>
    <col min="1281" max="1281" width="22.7109375" style="13" bestFit="1" customWidth="1"/>
    <col min="1282" max="1282" width="32.5703125" style="13" customWidth="1"/>
    <col min="1283" max="1283" width="57.28515625" style="13" customWidth="1"/>
    <col min="1284" max="1284" width="15.5703125" style="13" customWidth="1"/>
    <col min="1285" max="1285" width="16.7109375" style="13" customWidth="1"/>
    <col min="1286" max="1534" width="9.140625" style="13"/>
    <col min="1535" max="1535" width="4" style="13" bestFit="1" customWidth="1"/>
    <col min="1536" max="1536" width="26.7109375" style="13" bestFit="1" customWidth="1"/>
    <col min="1537" max="1537" width="22.7109375" style="13" bestFit="1" customWidth="1"/>
    <col min="1538" max="1538" width="32.5703125" style="13" customWidth="1"/>
    <col min="1539" max="1539" width="57.28515625" style="13" customWidth="1"/>
    <col min="1540" max="1540" width="15.5703125" style="13" customWidth="1"/>
    <col min="1541" max="1541" width="16.7109375" style="13" customWidth="1"/>
    <col min="1542" max="1790" width="9.140625" style="13"/>
    <col min="1791" max="1791" width="4" style="13" bestFit="1" customWidth="1"/>
    <col min="1792" max="1792" width="26.7109375" style="13" bestFit="1" customWidth="1"/>
    <col min="1793" max="1793" width="22.7109375" style="13" bestFit="1" customWidth="1"/>
    <col min="1794" max="1794" width="32.5703125" style="13" customWidth="1"/>
    <col min="1795" max="1795" width="57.28515625" style="13" customWidth="1"/>
    <col min="1796" max="1796" width="15.5703125" style="13" customWidth="1"/>
    <col min="1797" max="1797" width="16.7109375" style="13" customWidth="1"/>
    <col min="1798" max="2046" width="9.140625" style="13"/>
    <col min="2047" max="2047" width="4" style="13" bestFit="1" customWidth="1"/>
    <col min="2048" max="2048" width="26.7109375" style="13" bestFit="1" customWidth="1"/>
    <col min="2049" max="2049" width="22.7109375" style="13" bestFit="1" customWidth="1"/>
    <col min="2050" max="2050" width="32.5703125" style="13" customWidth="1"/>
    <col min="2051" max="2051" width="57.28515625" style="13" customWidth="1"/>
    <col min="2052" max="2052" width="15.5703125" style="13" customWidth="1"/>
    <col min="2053" max="2053" width="16.7109375" style="13" customWidth="1"/>
    <col min="2054" max="2302" width="9.140625" style="13"/>
    <col min="2303" max="2303" width="4" style="13" bestFit="1" customWidth="1"/>
    <col min="2304" max="2304" width="26.7109375" style="13" bestFit="1" customWidth="1"/>
    <col min="2305" max="2305" width="22.7109375" style="13" bestFit="1" customWidth="1"/>
    <col min="2306" max="2306" width="32.5703125" style="13" customWidth="1"/>
    <col min="2307" max="2307" width="57.28515625" style="13" customWidth="1"/>
    <col min="2308" max="2308" width="15.5703125" style="13" customWidth="1"/>
    <col min="2309" max="2309" width="16.7109375" style="13" customWidth="1"/>
    <col min="2310" max="2558" width="9.140625" style="13"/>
    <col min="2559" max="2559" width="4" style="13" bestFit="1" customWidth="1"/>
    <col min="2560" max="2560" width="26.7109375" style="13" bestFit="1" customWidth="1"/>
    <col min="2561" max="2561" width="22.7109375" style="13" bestFit="1" customWidth="1"/>
    <col min="2562" max="2562" width="32.5703125" style="13" customWidth="1"/>
    <col min="2563" max="2563" width="57.28515625" style="13" customWidth="1"/>
    <col min="2564" max="2564" width="15.5703125" style="13" customWidth="1"/>
    <col min="2565" max="2565" width="16.7109375" style="13" customWidth="1"/>
    <col min="2566" max="2814" width="9.140625" style="13"/>
    <col min="2815" max="2815" width="4" style="13" bestFit="1" customWidth="1"/>
    <col min="2816" max="2816" width="26.7109375" style="13" bestFit="1" customWidth="1"/>
    <col min="2817" max="2817" width="22.7109375" style="13" bestFit="1" customWidth="1"/>
    <col min="2818" max="2818" width="32.5703125" style="13" customWidth="1"/>
    <col min="2819" max="2819" width="57.28515625" style="13" customWidth="1"/>
    <col min="2820" max="2820" width="15.5703125" style="13" customWidth="1"/>
    <col min="2821" max="2821" width="16.7109375" style="13" customWidth="1"/>
    <col min="2822" max="3070" width="9.140625" style="13"/>
    <col min="3071" max="3071" width="4" style="13" bestFit="1" customWidth="1"/>
    <col min="3072" max="3072" width="26.7109375" style="13" bestFit="1" customWidth="1"/>
    <col min="3073" max="3073" width="22.7109375" style="13" bestFit="1" customWidth="1"/>
    <col min="3074" max="3074" width="32.5703125" style="13" customWidth="1"/>
    <col min="3075" max="3075" width="57.28515625" style="13" customWidth="1"/>
    <col min="3076" max="3076" width="15.5703125" style="13" customWidth="1"/>
    <col min="3077" max="3077" width="16.7109375" style="13" customWidth="1"/>
    <col min="3078" max="3326" width="9.140625" style="13"/>
    <col min="3327" max="3327" width="4" style="13" bestFit="1" customWidth="1"/>
    <col min="3328" max="3328" width="26.7109375" style="13" bestFit="1" customWidth="1"/>
    <col min="3329" max="3329" width="22.7109375" style="13" bestFit="1" customWidth="1"/>
    <col min="3330" max="3330" width="32.5703125" style="13" customWidth="1"/>
    <col min="3331" max="3331" width="57.28515625" style="13" customWidth="1"/>
    <col min="3332" max="3332" width="15.5703125" style="13" customWidth="1"/>
    <col min="3333" max="3333" width="16.7109375" style="13" customWidth="1"/>
    <col min="3334" max="3582" width="9.140625" style="13"/>
    <col min="3583" max="3583" width="4" style="13" bestFit="1" customWidth="1"/>
    <col min="3584" max="3584" width="26.7109375" style="13" bestFit="1" customWidth="1"/>
    <col min="3585" max="3585" width="22.7109375" style="13" bestFit="1" customWidth="1"/>
    <col min="3586" max="3586" width="32.5703125" style="13" customWidth="1"/>
    <col min="3587" max="3587" width="57.28515625" style="13" customWidth="1"/>
    <col min="3588" max="3588" width="15.5703125" style="13" customWidth="1"/>
    <col min="3589" max="3589" width="16.7109375" style="13" customWidth="1"/>
    <col min="3590" max="3838" width="9.140625" style="13"/>
    <col min="3839" max="3839" width="4" style="13" bestFit="1" customWidth="1"/>
    <col min="3840" max="3840" width="26.7109375" style="13" bestFit="1" customWidth="1"/>
    <col min="3841" max="3841" width="22.7109375" style="13" bestFit="1" customWidth="1"/>
    <col min="3842" max="3842" width="32.5703125" style="13" customWidth="1"/>
    <col min="3843" max="3843" width="57.28515625" style="13" customWidth="1"/>
    <col min="3844" max="3844" width="15.5703125" style="13" customWidth="1"/>
    <col min="3845" max="3845" width="16.7109375" style="13" customWidth="1"/>
    <col min="3846" max="4094" width="9.140625" style="13"/>
    <col min="4095" max="4095" width="4" style="13" bestFit="1" customWidth="1"/>
    <col min="4096" max="4096" width="26.7109375" style="13" bestFit="1" customWidth="1"/>
    <col min="4097" max="4097" width="22.7109375" style="13" bestFit="1" customWidth="1"/>
    <col min="4098" max="4098" width="32.5703125" style="13" customWidth="1"/>
    <col min="4099" max="4099" width="57.28515625" style="13" customWidth="1"/>
    <col min="4100" max="4100" width="15.5703125" style="13" customWidth="1"/>
    <col min="4101" max="4101" width="16.7109375" style="13" customWidth="1"/>
    <col min="4102" max="4350" width="9.140625" style="13"/>
    <col min="4351" max="4351" width="4" style="13" bestFit="1" customWidth="1"/>
    <col min="4352" max="4352" width="26.7109375" style="13" bestFit="1" customWidth="1"/>
    <col min="4353" max="4353" width="22.7109375" style="13" bestFit="1" customWidth="1"/>
    <col min="4354" max="4354" width="32.5703125" style="13" customWidth="1"/>
    <col min="4355" max="4355" width="57.28515625" style="13" customWidth="1"/>
    <col min="4356" max="4356" width="15.5703125" style="13" customWidth="1"/>
    <col min="4357" max="4357" width="16.7109375" style="13" customWidth="1"/>
    <col min="4358" max="4606" width="9.140625" style="13"/>
    <col min="4607" max="4607" width="4" style="13" bestFit="1" customWidth="1"/>
    <col min="4608" max="4608" width="26.7109375" style="13" bestFit="1" customWidth="1"/>
    <col min="4609" max="4609" width="22.7109375" style="13" bestFit="1" customWidth="1"/>
    <col min="4610" max="4610" width="32.5703125" style="13" customWidth="1"/>
    <col min="4611" max="4611" width="57.28515625" style="13" customWidth="1"/>
    <col min="4612" max="4612" width="15.5703125" style="13" customWidth="1"/>
    <col min="4613" max="4613" width="16.7109375" style="13" customWidth="1"/>
    <col min="4614" max="4862" width="9.140625" style="13"/>
    <col min="4863" max="4863" width="4" style="13" bestFit="1" customWidth="1"/>
    <col min="4864" max="4864" width="26.7109375" style="13" bestFit="1" customWidth="1"/>
    <col min="4865" max="4865" width="22.7109375" style="13" bestFit="1" customWidth="1"/>
    <col min="4866" max="4866" width="32.5703125" style="13" customWidth="1"/>
    <col min="4867" max="4867" width="57.28515625" style="13" customWidth="1"/>
    <col min="4868" max="4868" width="15.5703125" style="13" customWidth="1"/>
    <col min="4869" max="4869" width="16.7109375" style="13" customWidth="1"/>
    <col min="4870" max="5118" width="9.140625" style="13"/>
    <col min="5119" max="5119" width="4" style="13" bestFit="1" customWidth="1"/>
    <col min="5120" max="5120" width="26.7109375" style="13" bestFit="1" customWidth="1"/>
    <col min="5121" max="5121" width="22.7109375" style="13" bestFit="1" customWidth="1"/>
    <col min="5122" max="5122" width="32.5703125" style="13" customWidth="1"/>
    <col min="5123" max="5123" width="57.28515625" style="13" customWidth="1"/>
    <col min="5124" max="5124" width="15.5703125" style="13" customWidth="1"/>
    <col min="5125" max="5125" width="16.7109375" style="13" customWidth="1"/>
    <col min="5126" max="5374" width="9.140625" style="13"/>
    <col min="5375" max="5375" width="4" style="13" bestFit="1" customWidth="1"/>
    <col min="5376" max="5376" width="26.7109375" style="13" bestFit="1" customWidth="1"/>
    <col min="5377" max="5377" width="22.7109375" style="13" bestFit="1" customWidth="1"/>
    <col min="5378" max="5378" width="32.5703125" style="13" customWidth="1"/>
    <col min="5379" max="5379" width="57.28515625" style="13" customWidth="1"/>
    <col min="5380" max="5380" width="15.5703125" style="13" customWidth="1"/>
    <col min="5381" max="5381" width="16.7109375" style="13" customWidth="1"/>
    <col min="5382" max="5630" width="9.140625" style="13"/>
    <col min="5631" max="5631" width="4" style="13" bestFit="1" customWidth="1"/>
    <col min="5632" max="5632" width="26.7109375" style="13" bestFit="1" customWidth="1"/>
    <col min="5633" max="5633" width="22.7109375" style="13" bestFit="1" customWidth="1"/>
    <col min="5634" max="5634" width="32.5703125" style="13" customWidth="1"/>
    <col min="5635" max="5635" width="57.28515625" style="13" customWidth="1"/>
    <col min="5636" max="5636" width="15.5703125" style="13" customWidth="1"/>
    <col min="5637" max="5637" width="16.7109375" style="13" customWidth="1"/>
    <col min="5638" max="5886" width="9.140625" style="13"/>
    <col min="5887" max="5887" width="4" style="13" bestFit="1" customWidth="1"/>
    <col min="5888" max="5888" width="26.7109375" style="13" bestFit="1" customWidth="1"/>
    <col min="5889" max="5889" width="22.7109375" style="13" bestFit="1" customWidth="1"/>
    <col min="5890" max="5890" width="32.5703125" style="13" customWidth="1"/>
    <col min="5891" max="5891" width="57.28515625" style="13" customWidth="1"/>
    <col min="5892" max="5892" width="15.5703125" style="13" customWidth="1"/>
    <col min="5893" max="5893" width="16.7109375" style="13" customWidth="1"/>
    <col min="5894" max="6142" width="9.140625" style="13"/>
    <col min="6143" max="6143" width="4" style="13" bestFit="1" customWidth="1"/>
    <col min="6144" max="6144" width="26.7109375" style="13" bestFit="1" customWidth="1"/>
    <col min="6145" max="6145" width="22.7109375" style="13" bestFit="1" customWidth="1"/>
    <col min="6146" max="6146" width="32.5703125" style="13" customWidth="1"/>
    <col min="6147" max="6147" width="57.28515625" style="13" customWidth="1"/>
    <col min="6148" max="6148" width="15.5703125" style="13" customWidth="1"/>
    <col min="6149" max="6149" width="16.7109375" style="13" customWidth="1"/>
    <col min="6150" max="6398" width="9.140625" style="13"/>
    <col min="6399" max="6399" width="4" style="13" bestFit="1" customWidth="1"/>
    <col min="6400" max="6400" width="26.7109375" style="13" bestFit="1" customWidth="1"/>
    <col min="6401" max="6401" width="22.7109375" style="13" bestFit="1" customWidth="1"/>
    <col min="6402" max="6402" width="32.5703125" style="13" customWidth="1"/>
    <col min="6403" max="6403" width="57.28515625" style="13" customWidth="1"/>
    <col min="6404" max="6404" width="15.5703125" style="13" customWidth="1"/>
    <col min="6405" max="6405" width="16.7109375" style="13" customWidth="1"/>
    <col min="6406" max="6654" width="9.140625" style="13"/>
    <col min="6655" max="6655" width="4" style="13" bestFit="1" customWidth="1"/>
    <col min="6656" max="6656" width="26.7109375" style="13" bestFit="1" customWidth="1"/>
    <col min="6657" max="6657" width="22.7109375" style="13" bestFit="1" customWidth="1"/>
    <col min="6658" max="6658" width="32.5703125" style="13" customWidth="1"/>
    <col min="6659" max="6659" width="57.28515625" style="13" customWidth="1"/>
    <col min="6660" max="6660" width="15.5703125" style="13" customWidth="1"/>
    <col min="6661" max="6661" width="16.7109375" style="13" customWidth="1"/>
    <col min="6662" max="6910" width="9.140625" style="13"/>
    <col min="6911" max="6911" width="4" style="13" bestFit="1" customWidth="1"/>
    <col min="6912" max="6912" width="26.7109375" style="13" bestFit="1" customWidth="1"/>
    <col min="6913" max="6913" width="22.7109375" style="13" bestFit="1" customWidth="1"/>
    <col min="6914" max="6914" width="32.5703125" style="13" customWidth="1"/>
    <col min="6915" max="6915" width="57.28515625" style="13" customWidth="1"/>
    <col min="6916" max="6916" width="15.5703125" style="13" customWidth="1"/>
    <col min="6917" max="6917" width="16.7109375" style="13" customWidth="1"/>
    <col min="6918" max="7166" width="9.140625" style="13"/>
    <col min="7167" max="7167" width="4" style="13" bestFit="1" customWidth="1"/>
    <col min="7168" max="7168" width="26.7109375" style="13" bestFit="1" customWidth="1"/>
    <col min="7169" max="7169" width="22.7109375" style="13" bestFit="1" customWidth="1"/>
    <col min="7170" max="7170" width="32.5703125" style="13" customWidth="1"/>
    <col min="7171" max="7171" width="57.28515625" style="13" customWidth="1"/>
    <col min="7172" max="7172" width="15.5703125" style="13" customWidth="1"/>
    <col min="7173" max="7173" width="16.7109375" style="13" customWidth="1"/>
    <col min="7174" max="7422" width="9.140625" style="13"/>
    <col min="7423" max="7423" width="4" style="13" bestFit="1" customWidth="1"/>
    <col min="7424" max="7424" width="26.7109375" style="13" bestFit="1" customWidth="1"/>
    <col min="7425" max="7425" width="22.7109375" style="13" bestFit="1" customWidth="1"/>
    <col min="7426" max="7426" width="32.5703125" style="13" customWidth="1"/>
    <col min="7427" max="7427" width="57.28515625" style="13" customWidth="1"/>
    <col min="7428" max="7428" width="15.5703125" style="13" customWidth="1"/>
    <col min="7429" max="7429" width="16.7109375" style="13" customWidth="1"/>
    <col min="7430" max="7678" width="9.140625" style="13"/>
    <col min="7679" max="7679" width="4" style="13" bestFit="1" customWidth="1"/>
    <col min="7680" max="7680" width="26.7109375" style="13" bestFit="1" customWidth="1"/>
    <col min="7681" max="7681" width="22.7109375" style="13" bestFit="1" customWidth="1"/>
    <col min="7682" max="7682" width="32.5703125" style="13" customWidth="1"/>
    <col min="7683" max="7683" width="57.28515625" style="13" customWidth="1"/>
    <col min="7684" max="7684" width="15.5703125" style="13" customWidth="1"/>
    <col min="7685" max="7685" width="16.7109375" style="13" customWidth="1"/>
    <col min="7686" max="7934" width="9.140625" style="13"/>
    <col min="7935" max="7935" width="4" style="13" bestFit="1" customWidth="1"/>
    <col min="7936" max="7936" width="26.7109375" style="13" bestFit="1" customWidth="1"/>
    <col min="7937" max="7937" width="22.7109375" style="13" bestFit="1" customWidth="1"/>
    <col min="7938" max="7938" width="32.5703125" style="13" customWidth="1"/>
    <col min="7939" max="7939" width="57.28515625" style="13" customWidth="1"/>
    <col min="7940" max="7940" width="15.5703125" style="13" customWidth="1"/>
    <col min="7941" max="7941" width="16.7109375" style="13" customWidth="1"/>
    <col min="7942" max="8190" width="9.140625" style="13"/>
    <col min="8191" max="8191" width="4" style="13" bestFit="1" customWidth="1"/>
    <col min="8192" max="8192" width="26.7109375" style="13" bestFit="1" customWidth="1"/>
    <col min="8193" max="8193" width="22.7109375" style="13" bestFit="1" customWidth="1"/>
    <col min="8194" max="8194" width="32.5703125" style="13" customWidth="1"/>
    <col min="8195" max="8195" width="57.28515625" style="13" customWidth="1"/>
    <col min="8196" max="8196" width="15.5703125" style="13" customWidth="1"/>
    <col min="8197" max="8197" width="16.7109375" style="13" customWidth="1"/>
    <col min="8198" max="8446" width="9.140625" style="13"/>
    <col min="8447" max="8447" width="4" style="13" bestFit="1" customWidth="1"/>
    <col min="8448" max="8448" width="26.7109375" style="13" bestFit="1" customWidth="1"/>
    <col min="8449" max="8449" width="22.7109375" style="13" bestFit="1" customWidth="1"/>
    <col min="8450" max="8450" width="32.5703125" style="13" customWidth="1"/>
    <col min="8451" max="8451" width="57.28515625" style="13" customWidth="1"/>
    <col min="8452" max="8452" width="15.5703125" style="13" customWidth="1"/>
    <col min="8453" max="8453" width="16.7109375" style="13" customWidth="1"/>
    <col min="8454" max="8702" width="9.140625" style="13"/>
    <col min="8703" max="8703" width="4" style="13" bestFit="1" customWidth="1"/>
    <col min="8704" max="8704" width="26.7109375" style="13" bestFit="1" customWidth="1"/>
    <col min="8705" max="8705" width="22.7109375" style="13" bestFit="1" customWidth="1"/>
    <col min="8706" max="8706" width="32.5703125" style="13" customWidth="1"/>
    <col min="8707" max="8707" width="57.28515625" style="13" customWidth="1"/>
    <col min="8708" max="8708" width="15.5703125" style="13" customWidth="1"/>
    <col min="8709" max="8709" width="16.7109375" style="13" customWidth="1"/>
    <col min="8710" max="8958" width="9.140625" style="13"/>
    <col min="8959" max="8959" width="4" style="13" bestFit="1" customWidth="1"/>
    <col min="8960" max="8960" width="26.7109375" style="13" bestFit="1" customWidth="1"/>
    <col min="8961" max="8961" width="22.7109375" style="13" bestFit="1" customWidth="1"/>
    <col min="8962" max="8962" width="32.5703125" style="13" customWidth="1"/>
    <col min="8963" max="8963" width="57.28515625" style="13" customWidth="1"/>
    <col min="8964" max="8964" width="15.5703125" style="13" customWidth="1"/>
    <col min="8965" max="8965" width="16.7109375" style="13" customWidth="1"/>
    <col min="8966" max="9214" width="9.140625" style="13"/>
    <col min="9215" max="9215" width="4" style="13" bestFit="1" customWidth="1"/>
    <col min="9216" max="9216" width="26.7109375" style="13" bestFit="1" customWidth="1"/>
    <col min="9217" max="9217" width="22.7109375" style="13" bestFit="1" customWidth="1"/>
    <col min="9218" max="9218" width="32.5703125" style="13" customWidth="1"/>
    <col min="9219" max="9219" width="57.28515625" style="13" customWidth="1"/>
    <col min="9220" max="9220" width="15.5703125" style="13" customWidth="1"/>
    <col min="9221" max="9221" width="16.7109375" style="13" customWidth="1"/>
    <col min="9222" max="9470" width="9.140625" style="13"/>
    <col min="9471" max="9471" width="4" style="13" bestFit="1" customWidth="1"/>
    <col min="9472" max="9472" width="26.7109375" style="13" bestFit="1" customWidth="1"/>
    <col min="9473" max="9473" width="22.7109375" style="13" bestFit="1" customWidth="1"/>
    <col min="9474" max="9474" width="32.5703125" style="13" customWidth="1"/>
    <col min="9475" max="9475" width="57.28515625" style="13" customWidth="1"/>
    <col min="9476" max="9476" width="15.5703125" style="13" customWidth="1"/>
    <col min="9477" max="9477" width="16.7109375" style="13" customWidth="1"/>
    <col min="9478" max="9726" width="9.140625" style="13"/>
    <col min="9727" max="9727" width="4" style="13" bestFit="1" customWidth="1"/>
    <col min="9728" max="9728" width="26.7109375" style="13" bestFit="1" customWidth="1"/>
    <col min="9729" max="9729" width="22.7109375" style="13" bestFit="1" customWidth="1"/>
    <col min="9730" max="9730" width="32.5703125" style="13" customWidth="1"/>
    <col min="9731" max="9731" width="57.28515625" style="13" customWidth="1"/>
    <col min="9732" max="9732" width="15.5703125" style="13" customWidth="1"/>
    <col min="9733" max="9733" width="16.7109375" style="13" customWidth="1"/>
    <col min="9734" max="9982" width="9.140625" style="13"/>
    <col min="9983" max="9983" width="4" style="13" bestFit="1" customWidth="1"/>
    <col min="9984" max="9984" width="26.7109375" style="13" bestFit="1" customWidth="1"/>
    <col min="9985" max="9985" width="22.7109375" style="13" bestFit="1" customWidth="1"/>
    <col min="9986" max="9986" width="32.5703125" style="13" customWidth="1"/>
    <col min="9987" max="9987" width="57.28515625" style="13" customWidth="1"/>
    <col min="9988" max="9988" width="15.5703125" style="13" customWidth="1"/>
    <col min="9989" max="9989" width="16.7109375" style="13" customWidth="1"/>
    <col min="9990" max="10238" width="9.140625" style="13"/>
    <col min="10239" max="10239" width="4" style="13" bestFit="1" customWidth="1"/>
    <col min="10240" max="10240" width="26.7109375" style="13" bestFit="1" customWidth="1"/>
    <col min="10241" max="10241" width="22.7109375" style="13" bestFit="1" customWidth="1"/>
    <col min="10242" max="10242" width="32.5703125" style="13" customWidth="1"/>
    <col min="10243" max="10243" width="57.28515625" style="13" customWidth="1"/>
    <col min="10244" max="10244" width="15.5703125" style="13" customWidth="1"/>
    <col min="10245" max="10245" width="16.7109375" style="13" customWidth="1"/>
    <col min="10246" max="10494" width="9.140625" style="13"/>
    <col min="10495" max="10495" width="4" style="13" bestFit="1" customWidth="1"/>
    <col min="10496" max="10496" width="26.7109375" style="13" bestFit="1" customWidth="1"/>
    <col min="10497" max="10497" width="22.7109375" style="13" bestFit="1" customWidth="1"/>
    <col min="10498" max="10498" width="32.5703125" style="13" customWidth="1"/>
    <col min="10499" max="10499" width="57.28515625" style="13" customWidth="1"/>
    <col min="10500" max="10500" width="15.5703125" style="13" customWidth="1"/>
    <col min="10501" max="10501" width="16.7109375" style="13" customWidth="1"/>
    <col min="10502" max="10750" width="9.140625" style="13"/>
    <col min="10751" max="10751" width="4" style="13" bestFit="1" customWidth="1"/>
    <col min="10752" max="10752" width="26.7109375" style="13" bestFit="1" customWidth="1"/>
    <col min="10753" max="10753" width="22.7109375" style="13" bestFit="1" customWidth="1"/>
    <col min="10754" max="10754" width="32.5703125" style="13" customWidth="1"/>
    <col min="10755" max="10755" width="57.28515625" style="13" customWidth="1"/>
    <col min="10756" max="10756" width="15.5703125" style="13" customWidth="1"/>
    <col min="10757" max="10757" width="16.7109375" style="13" customWidth="1"/>
    <col min="10758" max="11006" width="9.140625" style="13"/>
    <col min="11007" max="11007" width="4" style="13" bestFit="1" customWidth="1"/>
    <col min="11008" max="11008" width="26.7109375" style="13" bestFit="1" customWidth="1"/>
    <col min="11009" max="11009" width="22.7109375" style="13" bestFit="1" customWidth="1"/>
    <col min="11010" max="11010" width="32.5703125" style="13" customWidth="1"/>
    <col min="11011" max="11011" width="57.28515625" style="13" customWidth="1"/>
    <col min="11012" max="11012" width="15.5703125" style="13" customWidth="1"/>
    <col min="11013" max="11013" width="16.7109375" style="13" customWidth="1"/>
    <col min="11014" max="11262" width="9.140625" style="13"/>
    <col min="11263" max="11263" width="4" style="13" bestFit="1" customWidth="1"/>
    <col min="11264" max="11264" width="26.7109375" style="13" bestFit="1" customWidth="1"/>
    <col min="11265" max="11265" width="22.7109375" style="13" bestFit="1" customWidth="1"/>
    <col min="11266" max="11266" width="32.5703125" style="13" customWidth="1"/>
    <col min="11267" max="11267" width="57.28515625" style="13" customWidth="1"/>
    <col min="11268" max="11268" width="15.5703125" style="13" customWidth="1"/>
    <col min="11269" max="11269" width="16.7109375" style="13" customWidth="1"/>
    <col min="11270" max="11518" width="9.140625" style="13"/>
    <col min="11519" max="11519" width="4" style="13" bestFit="1" customWidth="1"/>
    <col min="11520" max="11520" width="26.7109375" style="13" bestFit="1" customWidth="1"/>
    <col min="11521" max="11521" width="22.7109375" style="13" bestFit="1" customWidth="1"/>
    <col min="11522" max="11522" width="32.5703125" style="13" customWidth="1"/>
    <col min="11523" max="11523" width="57.28515625" style="13" customWidth="1"/>
    <col min="11524" max="11524" width="15.5703125" style="13" customWidth="1"/>
    <col min="11525" max="11525" width="16.7109375" style="13" customWidth="1"/>
    <col min="11526" max="11774" width="9.140625" style="13"/>
    <col min="11775" max="11775" width="4" style="13" bestFit="1" customWidth="1"/>
    <col min="11776" max="11776" width="26.7109375" style="13" bestFit="1" customWidth="1"/>
    <col min="11777" max="11777" width="22.7109375" style="13" bestFit="1" customWidth="1"/>
    <col min="11778" max="11778" width="32.5703125" style="13" customWidth="1"/>
    <col min="11779" max="11779" width="57.28515625" style="13" customWidth="1"/>
    <col min="11780" max="11780" width="15.5703125" style="13" customWidth="1"/>
    <col min="11781" max="11781" width="16.7109375" style="13" customWidth="1"/>
    <col min="11782" max="12030" width="9.140625" style="13"/>
    <col min="12031" max="12031" width="4" style="13" bestFit="1" customWidth="1"/>
    <col min="12032" max="12032" width="26.7109375" style="13" bestFit="1" customWidth="1"/>
    <col min="12033" max="12033" width="22.7109375" style="13" bestFit="1" customWidth="1"/>
    <col min="12034" max="12034" width="32.5703125" style="13" customWidth="1"/>
    <col min="12035" max="12035" width="57.28515625" style="13" customWidth="1"/>
    <col min="12036" max="12036" width="15.5703125" style="13" customWidth="1"/>
    <col min="12037" max="12037" width="16.7109375" style="13" customWidth="1"/>
    <col min="12038" max="12286" width="9.140625" style="13"/>
    <col min="12287" max="12287" width="4" style="13" bestFit="1" customWidth="1"/>
    <col min="12288" max="12288" width="26.7109375" style="13" bestFit="1" customWidth="1"/>
    <col min="12289" max="12289" width="22.7109375" style="13" bestFit="1" customWidth="1"/>
    <col min="12290" max="12290" width="32.5703125" style="13" customWidth="1"/>
    <col min="12291" max="12291" width="57.28515625" style="13" customWidth="1"/>
    <col min="12292" max="12292" width="15.5703125" style="13" customWidth="1"/>
    <col min="12293" max="12293" width="16.7109375" style="13" customWidth="1"/>
    <col min="12294" max="12542" width="9.140625" style="13"/>
    <col min="12543" max="12543" width="4" style="13" bestFit="1" customWidth="1"/>
    <col min="12544" max="12544" width="26.7109375" style="13" bestFit="1" customWidth="1"/>
    <col min="12545" max="12545" width="22.7109375" style="13" bestFit="1" customWidth="1"/>
    <col min="12546" max="12546" width="32.5703125" style="13" customWidth="1"/>
    <col min="12547" max="12547" width="57.28515625" style="13" customWidth="1"/>
    <col min="12548" max="12548" width="15.5703125" style="13" customWidth="1"/>
    <col min="12549" max="12549" width="16.7109375" style="13" customWidth="1"/>
    <col min="12550" max="12798" width="9.140625" style="13"/>
    <col min="12799" max="12799" width="4" style="13" bestFit="1" customWidth="1"/>
    <col min="12800" max="12800" width="26.7109375" style="13" bestFit="1" customWidth="1"/>
    <col min="12801" max="12801" width="22.7109375" style="13" bestFit="1" customWidth="1"/>
    <col min="12802" max="12802" width="32.5703125" style="13" customWidth="1"/>
    <col min="12803" max="12803" width="57.28515625" style="13" customWidth="1"/>
    <col min="12804" max="12804" width="15.5703125" style="13" customWidth="1"/>
    <col min="12805" max="12805" width="16.7109375" style="13" customWidth="1"/>
    <col min="12806" max="13054" width="9.140625" style="13"/>
    <col min="13055" max="13055" width="4" style="13" bestFit="1" customWidth="1"/>
    <col min="13056" max="13056" width="26.7109375" style="13" bestFit="1" customWidth="1"/>
    <col min="13057" max="13057" width="22.7109375" style="13" bestFit="1" customWidth="1"/>
    <col min="13058" max="13058" width="32.5703125" style="13" customWidth="1"/>
    <col min="13059" max="13059" width="57.28515625" style="13" customWidth="1"/>
    <col min="13060" max="13060" width="15.5703125" style="13" customWidth="1"/>
    <col min="13061" max="13061" width="16.7109375" style="13" customWidth="1"/>
    <col min="13062" max="13310" width="9.140625" style="13"/>
    <col min="13311" max="13311" width="4" style="13" bestFit="1" customWidth="1"/>
    <col min="13312" max="13312" width="26.7109375" style="13" bestFit="1" customWidth="1"/>
    <col min="13313" max="13313" width="22.7109375" style="13" bestFit="1" customWidth="1"/>
    <col min="13314" max="13314" width="32.5703125" style="13" customWidth="1"/>
    <col min="13315" max="13315" width="57.28515625" style="13" customWidth="1"/>
    <col min="13316" max="13316" width="15.5703125" style="13" customWidth="1"/>
    <col min="13317" max="13317" width="16.7109375" style="13" customWidth="1"/>
    <col min="13318" max="13566" width="9.140625" style="13"/>
    <col min="13567" max="13567" width="4" style="13" bestFit="1" customWidth="1"/>
    <col min="13568" max="13568" width="26.7109375" style="13" bestFit="1" customWidth="1"/>
    <col min="13569" max="13569" width="22.7109375" style="13" bestFit="1" customWidth="1"/>
    <col min="13570" max="13570" width="32.5703125" style="13" customWidth="1"/>
    <col min="13571" max="13571" width="57.28515625" style="13" customWidth="1"/>
    <col min="13572" max="13572" width="15.5703125" style="13" customWidth="1"/>
    <col min="13573" max="13573" width="16.7109375" style="13" customWidth="1"/>
    <col min="13574" max="13822" width="9.140625" style="13"/>
    <col min="13823" max="13823" width="4" style="13" bestFit="1" customWidth="1"/>
    <col min="13824" max="13824" width="26.7109375" style="13" bestFit="1" customWidth="1"/>
    <col min="13825" max="13825" width="22.7109375" style="13" bestFit="1" customWidth="1"/>
    <col min="13826" max="13826" width="32.5703125" style="13" customWidth="1"/>
    <col min="13827" max="13827" width="57.28515625" style="13" customWidth="1"/>
    <col min="13828" max="13828" width="15.5703125" style="13" customWidth="1"/>
    <col min="13829" max="13829" width="16.7109375" style="13" customWidth="1"/>
    <col min="13830" max="14078" width="9.140625" style="13"/>
    <col min="14079" max="14079" width="4" style="13" bestFit="1" customWidth="1"/>
    <col min="14080" max="14080" width="26.7109375" style="13" bestFit="1" customWidth="1"/>
    <col min="14081" max="14081" width="22.7109375" style="13" bestFit="1" customWidth="1"/>
    <col min="14082" max="14082" width="32.5703125" style="13" customWidth="1"/>
    <col min="14083" max="14083" width="57.28515625" style="13" customWidth="1"/>
    <col min="14084" max="14084" width="15.5703125" style="13" customWidth="1"/>
    <col min="14085" max="14085" width="16.7109375" style="13" customWidth="1"/>
    <col min="14086" max="14334" width="9.140625" style="13"/>
    <col min="14335" max="14335" width="4" style="13" bestFit="1" customWidth="1"/>
    <col min="14336" max="14336" width="26.7109375" style="13" bestFit="1" customWidth="1"/>
    <col min="14337" max="14337" width="22.7109375" style="13" bestFit="1" customWidth="1"/>
    <col min="14338" max="14338" width="32.5703125" style="13" customWidth="1"/>
    <col min="14339" max="14339" width="57.28515625" style="13" customWidth="1"/>
    <col min="14340" max="14340" width="15.5703125" style="13" customWidth="1"/>
    <col min="14341" max="14341" width="16.7109375" style="13" customWidth="1"/>
    <col min="14342" max="14590" width="9.140625" style="13"/>
    <col min="14591" max="14591" width="4" style="13" bestFit="1" customWidth="1"/>
    <col min="14592" max="14592" width="26.7109375" style="13" bestFit="1" customWidth="1"/>
    <col min="14593" max="14593" width="22.7109375" style="13" bestFit="1" customWidth="1"/>
    <col min="14594" max="14594" width="32.5703125" style="13" customWidth="1"/>
    <col min="14595" max="14595" width="57.28515625" style="13" customWidth="1"/>
    <col min="14596" max="14596" width="15.5703125" style="13" customWidth="1"/>
    <col min="14597" max="14597" width="16.7109375" style="13" customWidth="1"/>
    <col min="14598" max="14846" width="9.140625" style="13"/>
    <col min="14847" max="14847" width="4" style="13" bestFit="1" customWidth="1"/>
    <col min="14848" max="14848" width="26.7109375" style="13" bestFit="1" customWidth="1"/>
    <col min="14849" max="14849" width="22.7109375" style="13" bestFit="1" customWidth="1"/>
    <col min="14850" max="14850" width="32.5703125" style="13" customWidth="1"/>
    <col min="14851" max="14851" width="57.28515625" style="13" customWidth="1"/>
    <col min="14852" max="14852" width="15.5703125" style="13" customWidth="1"/>
    <col min="14853" max="14853" width="16.7109375" style="13" customWidth="1"/>
    <col min="14854" max="15102" width="9.140625" style="13"/>
    <col min="15103" max="15103" width="4" style="13" bestFit="1" customWidth="1"/>
    <col min="15104" max="15104" width="26.7109375" style="13" bestFit="1" customWidth="1"/>
    <col min="15105" max="15105" width="22.7109375" style="13" bestFit="1" customWidth="1"/>
    <col min="15106" max="15106" width="32.5703125" style="13" customWidth="1"/>
    <col min="15107" max="15107" width="57.28515625" style="13" customWidth="1"/>
    <col min="15108" max="15108" width="15.5703125" style="13" customWidth="1"/>
    <col min="15109" max="15109" width="16.7109375" style="13" customWidth="1"/>
    <col min="15110" max="15358" width="9.140625" style="13"/>
    <col min="15359" max="15359" width="4" style="13" bestFit="1" customWidth="1"/>
    <col min="15360" max="15360" width="26.7109375" style="13" bestFit="1" customWidth="1"/>
    <col min="15361" max="15361" width="22.7109375" style="13" bestFit="1" customWidth="1"/>
    <col min="15362" max="15362" width="32.5703125" style="13" customWidth="1"/>
    <col min="15363" max="15363" width="57.28515625" style="13" customWidth="1"/>
    <col min="15364" max="15364" width="15.5703125" style="13" customWidth="1"/>
    <col min="15365" max="15365" width="16.7109375" style="13" customWidth="1"/>
    <col min="15366" max="15614" width="9.140625" style="13"/>
    <col min="15615" max="15615" width="4" style="13" bestFit="1" customWidth="1"/>
    <col min="15616" max="15616" width="26.7109375" style="13" bestFit="1" customWidth="1"/>
    <col min="15617" max="15617" width="22.7109375" style="13" bestFit="1" customWidth="1"/>
    <col min="15618" max="15618" width="32.5703125" style="13" customWidth="1"/>
    <col min="15619" max="15619" width="57.28515625" style="13" customWidth="1"/>
    <col min="15620" max="15620" width="15.5703125" style="13" customWidth="1"/>
    <col min="15621" max="15621" width="16.7109375" style="13" customWidth="1"/>
    <col min="15622" max="15870" width="9.140625" style="13"/>
    <col min="15871" max="15871" width="4" style="13" bestFit="1" customWidth="1"/>
    <col min="15872" max="15872" width="26.7109375" style="13" bestFit="1" customWidth="1"/>
    <col min="15873" max="15873" width="22.7109375" style="13" bestFit="1" customWidth="1"/>
    <col min="15874" max="15874" width="32.5703125" style="13" customWidth="1"/>
    <col min="15875" max="15875" width="57.28515625" style="13" customWidth="1"/>
    <col min="15876" max="15876" width="15.5703125" style="13" customWidth="1"/>
    <col min="15877" max="15877" width="16.7109375" style="13" customWidth="1"/>
    <col min="15878" max="16126" width="9.140625" style="13"/>
    <col min="16127" max="16127" width="4" style="13" bestFit="1" customWidth="1"/>
    <col min="16128" max="16128" width="26.7109375" style="13" bestFit="1" customWidth="1"/>
    <col min="16129" max="16129" width="22.7109375" style="13" bestFit="1" customWidth="1"/>
    <col min="16130" max="16130" width="32.5703125" style="13" customWidth="1"/>
    <col min="16131" max="16131" width="57.28515625" style="13" customWidth="1"/>
    <col min="16132" max="16132" width="15.5703125" style="13" customWidth="1"/>
    <col min="16133" max="16133" width="16.7109375" style="13" customWidth="1"/>
    <col min="16134" max="16384" width="9.140625" style="13"/>
  </cols>
  <sheetData>
    <row r="1" spans="1:8" s="37" customFormat="1" ht="21" customHeight="1" x14ac:dyDescent="0.3">
      <c r="A1" s="92" t="s">
        <v>6</v>
      </c>
      <c r="B1" s="93"/>
      <c r="C1" s="94"/>
      <c r="D1" s="98" t="str">
        <f>Copertina!B7</f>
        <v>MEV 2024_DNA</v>
      </c>
      <c r="E1" s="99"/>
      <c r="F1" s="99"/>
      <c r="G1" s="100"/>
      <c r="H1" s="13"/>
    </row>
    <row r="2" spans="1:8" s="37" customFormat="1" ht="20.25" customHeight="1" thickBot="1" x14ac:dyDescent="0.35">
      <c r="A2" s="95" t="s">
        <v>10</v>
      </c>
      <c r="B2" s="96"/>
      <c r="C2" s="97"/>
      <c r="D2" s="101" t="str">
        <f>Copertina!B3</f>
        <v>SIUT-SIES-CT-1.0-20240802-Allegato_al_piano_test_2024-DNA.xlsx</v>
      </c>
      <c r="E2" s="102"/>
      <c r="F2" s="102"/>
      <c r="G2" s="103"/>
      <c r="H2" s="38"/>
    </row>
    <row r="3" spans="1:8" ht="42" customHeight="1" thickBot="1" x14ac:dyDescent="0.35">
      <c r="A3" s="10" t="s">
        <v>16</v>
      </c>
      <c r="B3" s="11" t="s">
        <v>41</v>
      </c>
      <c r="C3" s="11" t="s">
        <v>42</v>
      </c>
      <c r="D3" s="11" t="s">
        <v>43</v>
      </c>
      <c r="E3" s="11" t="s">
        <v>44</v>
      </c>
      <c r="F3" s="11" t="s">
        <v>45</v>
      </c>
      <c r="G3" s="12" t="s">
        <v>46</v>
      </c>
    </row>
    <row r="4" spans="1:8" ht="45" x14ac:dyDescent="0.25">
      <c r="A4" s="39" t="s">
        <v>47</v>
      </c>
      <c r="B4" s="34" t="s">
        <v>48</v>
      </c>
      <c r="C4" s="34" t="s">
        <v>49</v>
      </c>
      <c r="D4" s="34" t="s">
        <v>50</v>
      </c>
      <c r="E4" s="33" t="s">
        <v>51</v>
      </c>
      <c r="F4" s="33" t="s">
        <v>39</v>
      </c>
      <c r="G4" s="33"/>
    </row>
    <row r="5" spans="1:8" ht="30" x14ac:dyDescent="0.25">
      <c r="A5" s="39" t="s">
        <v>52</v>
      </c>
      <c r="B5" s="34" t="s">
        <v>48</v>
      </c>
      <c r="C5" s="34" t="s">
        <v>53</v>
      </c>
      <c r="D5" s="34" t="s">
        <v>54</v>
      </c>
      <c r="E5" s="34" t="s">
        <v>55</v>
      </c>
      <c r="F5" s="34" t="s">
        <v>39</v>
      </c>
      <c r="G5" s="34"/>
    </row>
    <row r="6" spans="1:8" ht="30" x14ac:dyDescent="0.25">
      <c r="A6" s="39" t="s">
        <v>56</v>
      </c>
      <c r="B6" s="34" t="s">
        <v>48</v>
      </c>
      <c r="C6" s="34" t="s">
        <v>57</v>
      </c>
      <c r="D6" s="34" t="s">
        <v>58</v>
      </c>
      <c r="E6" s="34" t="s">
        <v>59</v>
      </c>
      <c r="F6" s="34" t="s">
        <v>39</v>
      </c>
      <c r="G6" s="34"/>
    </row>
    <row r="7" spans="1:8" ht="30" x14ac:dyDescent="0.25">
      <c r="A7" s="39" t="s">
        <v>60</v>
      </c>
      <c r="B7" s="34" t="s">
        <v>61</v>
      </c>
      <c r="C7" s="34" t="s">
        <v>62</v>
      </c>
      <c r="D7" s="34" t="s">
        <v>63</v>
      </c>
      <c r="E7" s="34" t="s">
        <v>64</v>
      </c>
      <c r="F7" s="34" t="s">
        <v>39</v>
      </c>
      <c r="G7" s="34"/>
    </row>
    <row r="8" spans="1:8" ht="60" x14ac:dyDescent="0.25">
      <c r="A8" s="39" t="s">
        <v>65</v>
      </c>
      <c r="B8" s="34" t="s">
        <v>66</v>
      </c>
      <c r="C8" s="34" t="s">
        <v>67</v>
      </c>
      <c r="D8" s="34" t="s">
        <v>68</v>
      </c>
      <c r="E8" s="34" t="s">
        <v>69</v>
      </c>
      <c r="F8" s="34" t="s">
        <v>39</v>
      </c>
      <c r="G8" s="34"/>
    </row>
    <row r="9" spans="1:8" ht="30" x14ac:dyDescent="0.25">
      <c r="A9" s="39" t="s">
        <v>70</v>
      </c>
      <c r="B9" s="34" t="s">
        <v>66</v>
      </c>
      <c r="C9" s="34" t="s">
        <v>67</v>
      </c>
      <c r="D9" s="34" t="s">
        <v>71</v>
      </c>
      <c r="E9" s="34" t="s">
        <v>72</v>
      </c>
      <c r="F9" s="34" t="s">
        <v>39</v>
      </c>
      <c r="G9" s="34"/>
    </row>
    <row r="10" spans="1:8" ht="30" x14ac:dyDescent="0.25">
      <c r="A10" s="39" t="s">
        <v>73</v>
      </c>
      <c r="B10" s="34" t="s">
        <v>66</v>
      </c>
      <c r="C10" s="34" t="s">
        <v>67</v>
      </c>
      <c r="D10" s="34" t="s">
        <v>74</v>
      </c>
      <c r="E10" s="34" t="s">
        <v>75</v>
      </c>
      <c r="F10" s="34" t="s">
        <v>39</v>
      </c>
      <c r="G10" s="34"/>
    </row>
    <row r="11" spans="1:8" ht="60" x14ac:dyDescent="0.25">
      <c r="A11" s="39" t="s">
        <v>76</v>
      </c>
      <c r="B11" s="34" t="s">
        <v>66</v>
      </c>
      <c r="C11" s="34" t="s">
        <v>77</v>
      </c>
      <c r="D11" s="34" t="s">
        <v>78</v>
      </c>
      <c r="E11" s="34" t="s">
        <v>79</v>
      </c>
      <c r="F11" s="34" t="s">
        <v>39</v>
      </c>
      <c r="G11" s="34"/>
    </row>
  </sheetData>
  <mergeCells count="4">
    <mergeCell ref="A1:C1"/>
    <mergeCell ref="A2:C2"/>
    <mergeCell ref="D1:G1"/>
    <mergeCell ref="D2:G2"/>
  </mergeCells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sqref="A1:XFD1048576"/>
    </sheetView>
  </sheetViews>
  <sheetFormatPr defaultRowHeight="12.75" x14ac:dyDescent="0.2"/>
  <cols>
    <col min="1" max="1" width="24.140625" style="19" customWidth="1"/>
    <col min="2" max="2" width="29.85546875" style="19" customWidth="1"/>
    <col min="3" max="3" width="28.140625" style="19" customWidth="1"/>
    <col min="4" max="4" width="27" style="19" customWidth="1"/>
    <col min="5" max="5" width="30.5703125" style="19" customWidth="1"/>
    <col min="6" max="6" width="1.7109375" style="19" customWidth="1"/>
    <col min="7" max="256" width="9.140625" style="19"/>
    <col min="257" max="257" width="24.140625" style="19" customWidth="1"/>
    <col min="258" max="258" width="29.85546875" style="19" customWidth="1"/>
    <col min="259" max="259" width="28.140625" style="19" customWidth="1"/>
    <col min="260" max="260" width="27" style="19" customWidth="1"/>
    <col min="261" max="261" width="30.5703125" style="19" customWidth="1"/>
    <col min="262" max="262" width="1.7109375" style="19" customWidth="1"/>
    <col min="263" max="512" width="9.140625" style="19"/>
    <col min="513" max="513" width="24.140625" style="19" customWidth="1"/>
    <col min="514" max="514" width="29.85546875" style="19" customWidth="1"/>
    <col min="515" max="515" width="28.140625" style="19" customWidth="1"/>
    <col min="516" max="516" width="27" style="19" customWidth="1"/>
    <col min="517" max="517" width="30.5703125" style="19" customWidth="1"/>
    <col min="518" max="518" width="1.7109375" style="19" customWidth="1"/>
    <col min="519" max="768" width="9.140625" style="19"/>
    <col min="769" max="769" width="24.140625" style="19" customWidth="1"/>
    <col min="770" max="770" width="29.85546875" style="19" customWidth="1"/>
    <col min="771" max="771" width="28.140625" style="19" customWidth="1"/>
    <col min="772" max="772" width="27" style="19" customWidth="1"/>
    <col min="773" max="773" width="30.5703125" style="19" customWidth="1"/>
    <col min="774" max="774" width="1.7109375" style="19" customWidth="1"/>
    <col min="775" max="1024" width="9.140625" style="19"/>
    <col min="1025" max="1025" width="24.140625" style="19" customWidth="1"/>
    <col min="1026" max="1026" width="29.85546875" style="19" customWidth="1"/>
    <col min="1027" max="1027" width="28.140625" style="19" customWidth="1"/>
    <col min="1028" max="1028" width="27" style="19" customWidth="1"/>
    <col min="1029" max="1029" width="30.5703125" style="19" customWidth="1"/>
    <col min="1030" max="1030" width="1.7109375" style="19" customWidth="1"/>
    <col min="1031" max="1280" width="9.140625" style="19"/>
    <col min="1281" max="1281" width="24.140625" style="19" customWidth="1"/>
    <col min="1282" max="1282" width="29.85546875" style="19" customWidth="1"/>
    <col min="1283" max="1283" width="28.140625" style="19" customWidth="1"/>
    <col min="1284" max="1284" width="27" style="19" customWidth="1"/>
    <col min="1285" max="1285" width="30.5703125" style="19" customWidth="1"/>
    <col min="1286" max="1286" width="1.7109375" style="19" customWidth="1"/>
    <col min="1287" max="1536" width="9.140625" style="19"/>
    <col min="1537" max="1537" width="24.140625" style="19" customWidth="1"/>
    <col min="1538" max="1538" width="29.85546875" style="19" customWidth="1"/>
    <col min="1539" max="1539" width="28.140625" style="19" customWidth="1"/>
    <col min="1540" max="1540" width="27" style="19" customWidth="1"/>
    <col min="1541" max="1541" width="30.5703125" style="19" customWidth="1"/>
    <col min="1542" max="1542" width="1.7109375" style="19" customWidth="1"/>
    <col min="1543" max="1792" width="9.140625" style="19"/>
    <col min="1793" max="1793" width="24.140625" style="19" customWidth="1"/>
    <col min="1794" max="1794" width="29.85546875" style="19" customWidth="1"/>
    <col min="1795" max="1795" width="28.140625" style="19" customWidth="1"/>
    <col min="1796" max="1796" width="27" style="19" customWidth="1"/>
    <col min="1797" max="1797" width="30.5703125" style="19" customWidth="1"/>
    <col min="1798" max="1798" width="1.7109375" style="19" customWidth="1"/>
    <col min="1799" max="2048" width="9.140625" style="19"/>
    <col min="2049" max="2049" width="24.140625" style="19" customWidth="1"/>
    <col min="2050" max="2050" width="29.85546875" style="19" customWidth="1"/>
    <col min="2051" max="2051" width="28.140625" style="19" customWidth="1"/>
    <col min="2052" max="2052" width="27" style="19" customWidth="1"/>
    <col min="2053" max="2053" width="30.5703125" style="19" customWidth="1"/>
    <col min="2054" max="2054" width="1.7109375" style="19" customWidth="1"/>
    <col min="2055" max="2304" width="9.140625" style="19"/>
    <col min="2305" max="2305" width="24.140625" style="19" customWidth="1"/>
    <col min="2306" max="2306" width="29.85546875" style="19" customWidth="1"/>
    <col min="2307" max="2307" width="28.140625" style="19" customWidth="1"/>
    <col min="2308" max="2308" width="27" style="19" customWidth="1"/>
    <col min="2309" max="2309" width="30.5703125" style="19" customWidth="1"/>
    <col min="2310" max="2310" width="1.7109375" style="19" customWidth="1"/>
    <col min="2311" max="2560" width="9.140625" style="19"/>
    <col min="2561" max="2561" width="24.140625" style="19" customWidth="1"/>
    <col min="2562" max="2562" width="29.85546875" style="19" customWidth="1"/>
    <col min="2563" max="2563" width="28.140625" style="19" customWidth="1"/>
    <col min="2564" max="2564" width="27" style="19" customWidth="1"/>
    <col min="2565" max="2565" width="30.5703125" style="19" customWidth="1"/>
    <col min="2566" max="2566" width="1.7109375" style="19" customWidth="1"/>
    <col min="2567" max="2816" width="9.140625" style="19"/>
    <col min="2817" max="2817" width="24.140625" style="19" customWidth="1"/>
    <col min="2818" max="2818" width="29.85546875" style="19" customWidth="1"/>
    <col min="2819" max="2819" width="28.140625" style="19" customWidth="1"/>
    <col min="2820" max="2820" width="27" style="19" customWidth="1"/>
    <col min="2821" max="2821" width="30.5703125" style="19" customWidth="1"/>
    <col min="2822" max="2822" width="1.7109375" style="19" customWidth="1"/>
    <col min="2823" max="3072" width="9.140625" style="19"/>
    <col min="3073" max="3073" width="24.140625" style="19" customWidth="1"/>
    <col min="3074" max="3074" width="29.85546875" style="19" customWidth="1"/>
    <col min="3075" max="3075" width="28.140625" style="19" customWidth="1"/>
    <col min="3076" max="3076" width="27" style="19" customWidth="1"/>
    <col min="3077" max="3077" width="30.5703125" style="19" customWidth="1"/>
    <col min="3078" max="3078" width="1.7109375" style="19" customWidth="1"/>
    <col min="3079" max="3328" width="9.140625" style="19"/>
    <col min="3329" max="3329" width="24.140625" style="19" customWidth="1"/>
    <col min="3330" max="3330" width="29.85546875" style="19" customWidth="1"/>
    <col min="3331" max="3331" width="28.140625" style="19" customWidth="1"/>
    <col min="3332" max="3332" width="27" style="19" customWidth="1"/>
    <col min="3333" max="3333" width="30.5703125" style="19" customWidth="1"/>
    <col min="3334" max="3334" width="1.7109375" style="19" customWidth="1"/>
    <col min="3335" max="3584" width="9.140625" style="19"/>
    <col min="3585" max="3585" width="24.140625" style="19" customWidth="1"/>
    <col min="3586" max="3586" width="29.85546875" style="19" customWidth="1"/>
    <col min="3587" max="3587" width="28.140625" style="19" customWidth="1"/>
    <col min="3588" max="3588" width="27" style="19" customWidth="1"/>
    <col min="3589" max="3589" width="30.5703125" style="19" customWidth="1"/>
    <col min="3590" max="3590" width="1.7109375" style="19" customWidth="1"/>
    <col min="3591" max="3840" width="9.140625" style="19"/>
    <col min="3841" max="3841" width="24.140625" style="19" customWidth="1"/>
    <col min="3842" max="3842" width="29.85546875" style="19" customWidth="1"/>
    <col min="3843" max="3843" width="28.140625" style="19" customWidth="1"/>
    <col min="3844" max="3844" width="27" style="19" customWidth="1"/>
    <col min="3845" max="3845" width="30.5703125" style="19" customWidth="1"/>
    <col min="3846" max="3846" width="1.7109375" style="19" customWidth="1"/>
    <col min="3847" max="4096" width="9.140625" style="19"/>
    <col min="4097" max="4097" width="24.140625" style="19" customWidth="1"/>
    <col min="4098" max="4098" width="29.85546875" style="19" customWidth="1"/>
    <col min="4099" max="4099" width="28.140625" style="19" customWidth="1"/>
    <col min="4100" max="4100" width="27" style="19" customWidth="1"/>
    <col min="4101" max="4101" width="30.5703125" style="19" customWidth="1"/>
    <col min="4102" max="4102" width="1.7109375" style="19" customWidth="1"/>
    <col min="4103" max="4352" width="9.140625" style="19"/>
    <col min="4353" max="4353" width="24.140625" style="19" customWidth="1"/>
    <col min="4354" max="4354" width="29.85546875" style="19" customWidth="1"/>
    <col min="4355" max="4355" width="28.140625" style="19" customWidth="1"/>
    <col min="4356" max="4356" width="27" style="19" customWidth="1"/>
    <col min="4357" max="4357" width="30.5703125" style="19" customWidth="1"/>
    <col min="4358" max="4358" width="1.7109375" style="19" customWidth="1"/>
    <col min="4359" max="4608" width="9.140625" style="19"/>
    <col min="4609" max="4609" width="24.140625" style="19" customWidth="1"/>
    <col min="4610" max="4610" width="29.85546875" style="19" customWidth="1"/>
    <col min="4611" max="4611" width="28.140625" style="19" customWidth="1"/>
    <col min="4612" max="4612" width="27" style="19" customWidth="1"/>
    <col min="4613" max="4613" width="30.5703125" style="19" customWidth="1"/>
    <col min="4614" max="4614" width="1.7109375" style="19" customWidth="1"/>
    <col min="4615" max="4864" width="9.140625" style="19"/>
    <col min="4865" max="4865" width="24.140625" style="19" customWidth="1"/>
    <col min="4866" max="4866" width="29.85546875" style="19" customWidth="1"/>
    <col min="4867" max="4867" width="28.140625" style="19" customWidth="1"/>
    <col min="4868" max="4868" width="27" style="19" customWidth="1"/>
    <col min="4869" max="4869" width="30.5703125" style="19" customWidth="1"/>
    <col min="4870" max="4870" width="1.7109375" style="19" customWidth="1"/>
    <col min="4871" max="5120" width="9.140625" style="19"/>
    <col min="5121" max="5121" width="24.140625" style="19" customWidth="1"/>
    <col min="5122" max="5122" width="29.85546875" style="19" customWidth="1"/>
    <col min="5123" max="5123" width="28.140625" style="19" customWidth="1"/>
    <col min="5124" max="5124" width="27" style="19" customWidth="1"/>
    <col min="5125" max="5125" width="30.5703125" style="19" customWidth="1"/>
    <col min="5126" max="5126" width="1.7109375" style="19" customWidth="1"/>
    <col min="5127" max="5376" width="9.140625" style="19"/>
    <col min="5377" max="5377" width="24.140625" style="19" customWidth="1"/>
    <col min="5378" max="5378" width="29.85546875" style="19" customWidth="1"/>
    <col min="5379" max="5379" width="28.140625" style="19" customWidth="1"/>
    <col min="5380" max="5380" width="27" style="19" customWidth="1"/>
    <col min="5381" max="5381" width="30.5703125" style="19" customWidth="1"/>
    <col min="5382" max="5382" width="1.7109375" style="19" customWidth="1"/>
    <col min="5383" max="5632" width="9.140625" style="19"/>
    <col min="5633" max="5633" width="24.140625" style="19" customWidth="1"/>
    <col min="5634" max="5634" width="29.85546875" style="19" customWidth="1"/>
    <col min="5635" max="5635" width="28.140625" style="19" customWidth="1"/>
    <col min="5636" max="5636" width="27" style="19" customWidth="1"/>
    <col min="5637" max="5637" width="30.5703125" style="19" customWidth="1"/>
    <col min="5638" max="5638" width="1.7109375" style="19" customWidth="1"/>
    <col min="5639" max="5888" width="9.140625" style="19"/>
    <col min="5889" max="5889" width="24.140625" style="19" customWidth="1"/>
    <col min="5890" max="5890" width="29.85546875" style="19" customWidth="1"/>
    <col min="5891" max="5891" width="28.140625" style="19" customWidth="1"/>
    <col min="5892" max="5892" width="27" style="19" customWidth="1"/>
    <col min="5893" max="5893" width="30.5703125" style="19" customWidth="1"/>
    <col min="5894" max="5894" width="1.7109375" style="19" customWidth="1"/>
    <col min="5895" max="6144" width="9.140625" style="19"/>
    <col min="6145" max="6145" width="24.140625" style="19" customWidth="1"/>
    <col min="6146" max="6146" width="29.85546875" style="19" customWidth="1"/>
    <col min="6147" max="6147" width="28.140625" style="19" customWidth="1"/>
    <col min="6148" max="6148" width="27" style="19" customWidth="1"/>
    <col min="6149" max="6149" width="30.5703125" style="19" customWidth="1"/>
    <col min="6150" max="6150" width="1.7109375" style="19" customWidth="1"/>
    <col min="6151" max="6400" width="9.140625" style="19"/>
    <col min="6401" max="6401" width="24.140625" style="19" customWidth="1"/>
    <col min="6402" max="6402" width="29.85546875" style="19" customWidth="1"/>
    <col min="6403" max="6403" width="28.140625" style="19" customWidth="1"/>
    <col min="6404" max="6404" width="27" style="19" customWidth="1"/>
    <col min="6405" max="6405" width="30.5703125" style="19" customWidth="1"/>
    <col min="6406" max="6406" width="1.7109375" style="19" customWidth="1"/>
    <col min="6407" max="6656" width="9.140625" style="19"/>
    <col min="6657" max="6657" width="24.140625" style="19" customWidth="1"/>
    <col min="6658" max="6658" width="29.85546875" style="19" customWidth="1"/>
    <col min="6659" max="6659" width="28.140625" style="19" customWidth="1"/>
    <col min="6660" max="6660" width="27" style="19" customWidth="1"/>
    <col min="6661" max="6661" width="30.5703125" style="19" customWidth="1"/>
    <col min="6662" max="6662" width="1.7109375" style="19" customWidth="1"/>
    <col min="6663" max="6912" width="9.140625" style="19"/>
    <col min="6913" max="6913" width="24.140625" style="19" customWidth="1"/>
    <col min="6914" max="6914" width="29.85546875" style="19" customWidth="1"/>
    <col min="6915" max="6915" width="28.140625" style="19" customWidth="1"/>
    <col min="6916" max="6916" width="27" style="19" customWidth="1"/>
    <col min="6917" max="6917" width="30.5703125" style="19" customWidth="1"/>
    <col min="6918" max="6918" width="1.7109375" style="19" customWidth="1"/>
    <col min="6919" max="7168" width="9.140625" style="19"/>
    <col min="7169" max="7169" width="24.140625" style="19" customWidth="1"/>
    <col min="7170" max="7170" width="29.85546875" style="19" customWidth="1"/>
    <col min="7171" max="7171" width="28.140625" style="19" customWidth="1"/>
    <col min="7172" max="7172" width="27" style="19" customWidth="1"/>
    <col min="7173" max="7173" width="30.5703125" style="19" customWidth="1"/>
    <col min="7174" max="7174" width="1.7109375" style="19" customWidth="1"/>
    <col min="7175" max="7424" width="9.140625" style="19"/>
    <col min="7425" max="7425" width="24.140625" style="19" customWidth="1"/>
    <col min="7426" max="7426" width="29.85546875" style="19" customWidth="1"/>
    <col min="7427" max="7427" width="28.140625" style="19" customWidth="1"/>
    <col min="7428" max="7428" width="27" style="19" customWidth="1"/>
    <col min="7429" max="7429" width="30.5703125" style="19" customWidth="1"/>
    <col min="7430" max="7430" width="1.7109375" style="19" customWidth="1"/>
    <col min="7431" max="7680" width="9.140625" style="19"/>
    <col min="7681" max="7681" width="24.140625" style="19" customWidth="1"/>
    <col min="7682" max="7682" width="29.85546875" style="19" customWidth="1"/>
    <col min="7683" max="7683" width="28.140625" style="19" customWidth="1"/>
    <col min="7684" max="7684" width="27" style="19" customWidth="1"/>
    <col min="7685" max="7685" width="30.5703125" style="19" customWidth="1"/>
    <col min="7686" max="7686" width="1.7109375" style="19" customWidth="1"/>
    <col min="7687" max="7936" width="9.140625" style="19"/>
    <col min="7937" max="7937" width="24.140625" style="19" customWidth="1"/>
    <col min="7938" max="7938" width="29.85546875" style="19" customWidth="1"/>
    <col min="7939" max="7939" width="28.140625" style="19" customWidth="1"/>
    <col min="7940" max="7940" width="27" style="19" customWidth="1"/>
    <col min="7941" max="7941" width="30.5703125" style="19" customWidth="1"/>
    <col min="7942" max="7942" width="1.7109375" style="19" customWidth="1"/>
    <col min="7943" max="8192" width="9.140625" style="19"/>
    <col min="8193" max="8193" width="24.140625" style="19" customWidth="1"/>
    <col min="8194" max="8194" width="29.85546875" style="19" customWidth="1"/>
    <col min="8195" max="8195" width="28.140625" style="19" customWidth="1"/>
    <col min="8196" max="8196" width="27" style="19" customWidth="1"/>
    <col min="8197" max="8197" width="30.5703125" style="19" customWidth="1"/>
    <col min="8198" max="8198" width="1.7109375" style="19" customWidth="1"/>
    <col min="8199" max="8448" width="9.140625" style="19"/>
    <col min="8449" max="8449" width="24.140625" style="19" customWidth="1"/>
    <col min="8450" max="8450" width="29.85546875" style="19" customWidth="1"/>
    <col min="8451" max="8451" width="28.140625" style="19" customWidth="1"/>
    <col min="8452" max="8452" width="27" style="19" customWidth="1"/>
    <col min="8453" max="8453" width="30.5703125" style="19" customWidth="1"/>
    <col min="8454" max="8454" width="1.7109375" style="19" customWidth="1"/>
    <col min="8455" max="8704" width="9.140625" style="19"/>
    <col min="8705" max="8705" width="24.140625" style="19" customWidth="1"/>
    <col min="8706" max="8706" width="29.85546875" style="19" customWidth="1"/>
    <col min="8707" max="8707" width="28.140625" style="19" customWidth="1"/>
    <col min="8708" max="8708" width="27" style="19" customWidth="1"/>
    <col min="8709" max="8709" width="30.5703125" style="19" customWidth="1"/>
    <col min="8710" max="8710" width="1.7109375" style="19" customWidth="1"/>
    <col min="8711" max="8960" width="9.140625" style="19"/>
    <col min="8961" max="8961" width="24.140625" style="19" customWidth="1"/>
    <col min="8962" max="8962" width="29.85546875" style="19" customWidth="1"/>
    <col min="8963" max="8963" width="28.140625" style="19" customWidth="1"/>
    <col min="8964" max="8964" width="27" style="19" customWidth="1"/>
    <col min="8965" max="8965" width="30.5703125" style="19" customWidth="1"/>
    <col min="8966" max="8966" width="1.7109375" style="19" customWidth="1"/>
    <col min="8967" max="9216" width="9.140625" style="19"/>
    <col min="9217" max="9217" width="24.140625" style="19" customWidth="1"/>
    <col min="9218" max="9218" width="29.85546875" style="19" customWidth="1"/>
    <col min="9219" max="9219" width="28.140625" style="19" customWidth="1"/>
    <col min="9220" max="9220" width="27" style="19" customWidth="1"/>
    <col min="9221" max="9221" width="30.5703125" style="19" customWidth="1"/>
    <col min="9222" max="9222" width="1.7109375" style="19" customWidth="1"/>
    <col min="9223" max="9472" width="9.140625" style="19"/>
    <col min="9473" max="9473" width="24.140625" style="19" customWidth="1"/>
    <col min="9474" max="9474" width="29.85546875" style="19" customWidth="1"/>
    <col min="9475" max="9475" width="28.140625" style="19" customWidth="1"/>
    <col min="9476" max="9476" width="27" style="19" customWidth="1"/>
    <col min="9477" max="9477" width="30.5703125" style="19" customWidth="1"/>
    <col min="9478" max="9478" width="1.7109375" style="19" customWidth="1"/>
    <col min="9479" max="9728" width="9.140625" style="19"/>
    <col min="9729" max="9729" width="24.140625" style="19" customWidth="1"/>
    <col min="9730" max="9730" width="29.85546875" style="19" customWidth="1"/>
    <col min="9731" max="9731" width="28.140625" style="19" customWidth="1"/>
    <col min="9732" max="9732" width="27" style="19" customWidth="1"/>
    <col min="9733" max="9733" width="30.5703125" style="19" customWidth="1"/>
    <col min="9734" max="9734" width="1.7109375" style="19" customWidth="1"/>
    <col min="9735" max="9984" width="9.140625" style="19"/>
    <col min="9985" max="9985" width="24.140625" style="19" customWidth="1"/>
    <col min="9986" max="9986" width="29.85546875" style="19" customWidth="1"/>
    <col min="9987" max="9987" width="28.140625" style="19" customWidth="1"/>
    <col min="9988" max="9988" width="27" style="19" customWidth="1"/>
    <col min="9989" max="9989" width="30.5703125" style="19" customWidth="1"/>
    <col min="9990" max="9990" width="1.7109375" style="19" customWidth="1"/>
    <col min="9991" max="10240" width="9.140625" style="19"/>
    <col min="10241" max="10241" width="24.140625" style="19" customWidth="1"/>
    <col min="10242" max="10242" width="29.85546875" style="19" customWidth="1"/>
    <col min="10243" max="10243" width="28.140625" style="19" customWidth="1"/>
    <col min="10244" max="10244" width="27" style="19" customWidth="1"/>
    <col min="10245" max="10245" width="30.5703125" style="19" customWidth="1"/>
    <col min="10246" max="10246" width="1.7109375" style="19" customWidth="1"/>
    <col min="10247" max="10496" width="9.140625" style="19"/>
    <col min="10497" max="10497" width="24.140625" style="19" customWidth="1"/>
    <col min="10498" max="10498" width="29.85546875" style="19" customWidth="1"/>
    <col min="10499" max="10499" width="28.140625" style="19" customWidth="1"/>
    <col min="10500" max="10500" width="27" style="19" customWidth="1"/>
    <col min="10501" max="10501" width="30.5703125" style="19" customWidth="1"/>
    <col min="10502" max="10502" width="1.7109375" style="19" customWidth="1"/>
    <col min="10503" max="10752" width="9.140625" style="19"/>
    <col min="10753" max="10753" width="24.140625" style="19" customWidth="1"/>
    <col min="10754" max="10754" width="29.85546875" style="19" customWidth="1"/>
    <col min="10755" max="10755" width="28.140625" style="19" customWidth="1"/>
    <col min="10756" max="10756" width="27" style="19" customWidth="1"/>
    <col min="10757" max="10757" width="30.5703125" style="19" customWidth="1"/>
    <col min="10758" max="10758" width="1.7109375" style="19" customWidth="1"/>
    <col min="10759" max="11008" width="9.140625" style="19"/>
    <col min="11009" max="11009" width="24.140625" style="19" customWidth="1"/>
    <col min="11010" max="11010" width="29.85546875" style="19" customWidth="1"/>
    <col min="11011" max="11011" width="28.140625" style="19" customWidth="1"/>
    <col min="11012" max="11012" width="27" style="19" customWidth="1"/>
    <col min="11013" max="11013" width="30.5703125" style="19" customWidth="1"/>
    <col min="11014" max="11014" width="1.7109375" style="19" customWidth="1"/>
    <col min="11015" max="11264" width="9.140625" style="19"/>
    <col min="11265" max="11265" width="24.140625" style="19" customWidth="1"/>
    <col min="11266" max="11266" width="29.85546875" style="19" customWidth="1"/>
    <col min="11267" max="11267" width="28.140625" style="19" customWidth="1"/>
    <col min="11268" max="11268" width="27" style="19" customWidth="1"/>
    <col min="11269" max="11269" width="30.5703125" style="19" customWidth="1"/>
    <col min="11270" max="11270" width="1.7109375" style="19" customWidth="1"/>
    <col min="11271" max="11520" width="9.140625" style="19"/>
    <col min="11521" max="11521" width="24.140625" style="19" customWidth="1"/>
    <col min="11522" max="11522" width="29.85546875" style="19" customWidth="1"/>
    <col min="11523" max="11523" width="28.140625" style="19" customWidth="1"/>
    <col min="11524" max="11524" width="27" style="19" customWidth="1"/>
    <col min="11525" max="11525" width="30.5703125" style="19" customWidth="1"/>
    <col min="11526" max="11526" width="1.7109375" style="19" customWidth="1"/>
    <col min="11527" max="11776" width="9.140625" style="19"/>
    <col min="11777" max="11777" width="24.140625" style="19" customWidth="1"/>
    <col min="11778" max="11778" width="29.85546875" style="19" customWidth="1"/>
    <col min="11779" max="11779" width="28.140625" style="19" customWidth="1"/>
    <col min="11780" max="11780" width="27" style="19" customWidth="1"/>
    <col min="11781" max="11781" width="30.5703125" style="19" customWidth="1"/>
    <col min="11782" max="11782" width="1.7109375" style="19" customWidth="1"/>
    <col min="11783" max="12032" width="9.140625" style="19"/>
    <col min="12033" max="12033" width="24.140625" style="19" customWidth="1"/>
    <col min="12034" max="12034" width="29.85546875" style="19" customWidth="1"/>
    <col min="12035" max="12035" width="28.140625" style="19" customWidth="1"/>
    <col min="12036" max="12036" width="27" style="19" customWidth="1"/>
    <col min="12037" max="12037" width="30.5703125" style="19" customWidth="1"/>
    <col min="12038" max="12038" width="1.7109375" style="19" customWidth="1"/>
    <col min="12039" max="12288" width="9.140625" style="19"/>
    <col min="12289" max="12289" width="24.140625" style="19" customWidth="1"/>
    <col min="12290" max="12290" width="29.85546875" style="19" customWidth="1"/>
    <col min="12291" max="12291" width="28.140625" style="19" customWidth="1"/>
    <col min="12292" max="12292" width="27" style="19" customWidth="1"/>
    <col min="12293" max="12293" width="30.5703125" style="19" customWidth="1"/>
    <col min="12294" max="12294" width="1.7109375" style="19" customWidth="1"/>
    <col min="12295" max="12544" width="9.140625" style="19"/>
    <col min="12545" max="12545" width="24.140625" style="19" customWidth="1"/>
    <col min="12546" max="12546" width="29.85546875" style="19" customWidth="1"/>
    <col min="12547" max="12547" width="28.140625" style="19" customWidth="1"/>
    <col min="12548" max="12548" width="27" style="19" customWidth="1"/>
    <col min="12549" max="12549" width="30.5703125" style="19" customWidth="1"/>
    <col min="12550" max="12550" width="1.7109375" style="19" customWidth="1"/>
    <col min="12551" max="12800" width="9.140625" style="19"/>
    <col min="12801" max="12801" width="24.140625" style="19" customWidth="1"/>
    <col min="12802" max="12802" width="29.85546875" style="19" customWidth="1"/>
    <col min="12803" max="12803" width="28.140625" style="19" customWidth="1"/>
    <col min="12804" max="12804" width="27" style="19" customWidth="1"/>
    <col min="12805" max="12805" width="30.5703125" style="19" customWidth="1"/>
    <col min="12806" max="12806" width="1.7109375" style="19" customWidth="1"/>
    <col min="12807" max="13056" width="9.140625" style="19"/>
    <col min="13057" max="13057" width="24.140625" style="19" customWidth="1"/>
    <col min="13058" max="13058" width="29.85546875" style="19" customWidth="1"/>
    <col min="13059" max="13059" width="28.140625" style="19" customWidth="1"/>
    <col min="13060" max="13060" width="27" style="19" customWidth="1"/>
    <col min="13061" max="13061" width="30.5703125" style="19" customWidth="1"/>
    <col min="13062" max="13062" width="1.7109375" style="19" customWidth="1"/>
    <col min="13063" max="13312" width="9.140625" style="19"/>
    <col min="13313" max="13313" width="24.140625" style="19" customWidth="1"/>
    <col min="13314" max="13314" width="29.85546875" style="19" customWidth="1"/>
    <col min="13315" max="13315" width="28.140625" style="19" customWidth="1"/>
    <col min="13316" max="13316" width="27" style="19" customWidth="1"/>
    <col min="13317" max="13317" width="30.5703125" style="19" customWidth="1"/>
    <col min="13318" max="13318" width="1.7109375" style="19" customWidth="1"/>
    <col min="13319" max="13568" width="9.140625" style="19"/>
    <col min="13569" max="13569" width="24.140625" style="19" customWidth="1"/>
    <col min="13570" max="13570" width="29.85546875" style="19" customWidth="1"/>
    <col min="13571" max="13571" width="28.140625" style="19" customWidth="1"/>
    <col min="13572" max="13572" width="27" style="19" customWidth="1"/>
    <col min="13573" max="13573" width="30.5703125" style="19" customWidth="1"/>
    <col min="13574" max="13574" width="1.7109375" style="19" customWidth="1"/>
    <col min="13575" max="13824" width="9.140625" style="19"/>
    <col min="13825" max="13825" width="24.140625" style="19" customWidth="1"/>
    <col min="13826" max="13826" width="29.85546875" style="19" customWidth="1"/>
    <col min="13827" max="13827" width="28.140625" style="19" customWidth="1"/>
    <col min="13828" max="13828" width="27" style="19" customWidth="1"/>
    <col min="13829" max="13829" width="30.5703125" style="19" customWidth="1"/>
    <col min="13830" max="13830" width="1.7109375" style="19" customWidth="1"/>
    <col min="13831" max="14080" width="9.140625" style="19"/>
    <col min="14081" max="14081" width="24.140625" style="19" customWidth="1"/>
    <col min="14082" max="14082" width="29.85546875" style="19" customWidth="1"/>
    <col min="14083" max="14083" width="28.140625" style="19" customWidth="1"/>
    <col min="14084" max="14084" width="27" style="19" customWidth="1"/>
    <col min="14085" max="14085" width="30.5703125" style="19" customWidth="1"/>
    <col min="14086" max="14086" width="1.7109375" style="19" customWidth="1"/>
    <col min="14087" max="14336" width="9.140625" style="19"/>
    <col min="14337" max="14337" width="24.140625" style="19" customWidth="1"/>
    <col min="14338" max="14338" width="29.85546875" style="19" customWidth="1"/>
    <col min="14339" max="14339" width="28.140625" style="19" customWidth="1"/>
    <col min="14340" max="14340" width="27" style="19" customWidth="1"/>
    <col min="14341" max="14341" width="30.5703125" style="19" customWidth="1"/>
    <col min="14342" max="14342" width="1.7109375" style="19" customWidth="1"/>
    <col min="14343" max="14592" width="9.140625" style="19"/>
    <col min="14593" max="14593" width="24.140625" style="19" customWidth="1"/>
    <col min="14594" max="14594" width="29.85546875" style="19" customWidth="1"/>
    <col min="14595" max="14595" width="28.140625" style="19" customWidth="1"/>
    <col min="14596" max="14596" width="27" style="19" customWidth="1"/>
    <col min="14597" max="14597" width="30.5703125" style="19" customWidth="1"/>
    <col min="14598" max="14598" width="1.7109375" style="19" customWidth="1"/>
    <col min="14599" max="14848" width="9.140625" style="19"/>
    <col min="14849" max="14849" width="24.140625" style="19" customWidth="1"/>
    <col min="14850" max="14850" width="29.85546875" style="19" customWidth="1"/>
    <col min="14851" max="14851" width="28.140625" style="19" customWidth="1"/>
    <col min="14852" max="14852" width="27" style="19" customWidth="1"/>
    <col min="14853" max="14853" width="30.5703125" style="19" customWidth="1"/>
    <col min="14854" max="14854" width="1.7109375" style="19" customWidth="1"/>
    <col min="14855" max="15104" width="9.140625" style="19"/>
    <col min="15105" max="15105" width="24.140625" style="19" customWidth="1"/>
    <col min="15106" max="15106" width="29.85546875" style="19" customWidth="1"/>
    <col min="15107" max="15107" width="28.140625" style="19" customWidth="1"/>
    <col min="15108" max="15108" width="27" style="19" customWidth="1"/>
    <col min="15109" max="15109" width="30.5703125" style="19" customWidth="1"/>
    <col min="15110" max="15110" width="1.7109375" style="19" customWidth="1"/>
    <col min="15111" max="15360" width="9.140625" style="19"/>
    <col min="15361" max="15361" width="24.140625" style="19" customWidth="1"/>
    <col min="15362" max="15362" width="29.85546875" style="19" customWidth="1"/>
    <col min="15363" max="15363" width="28.140625" style="19" customWidth="1"/>
    <col min="15364" max="15364" width="27" style="19" customWidth="1"/>
    <col min="15365" max="15365" width="30.5703125" style="19" customWidth="1"/>
    <col min="15366" max="15366" width="1.7109375" style="19" customWidth="1"/>
    <col min="15367" max="15616" width="9.140625" style="19"/>
    <col min="15617" max="15617" width="24.140625" style="19" customWidth="1"/>
    <col min="15618" max="15618" width="29.85546875" style="19" customWidth="1"/>
    <col min="15619" max="15619" width="28.140625" style="19" customWidth="1"/>
    <col min="15620" max="15620" width="27" style="19" customWidth="1"/>
    <col min="15621" max="15621" width="30.5703125" style="19" customWidth="1"/>
    <col min="15622" max="15622" width="1.7109375" style="19" customWidth="1"/>
    <col min="15623" max="15872" width="9.140625" style="19"/>
    <col min="15873" max="15873" width="24.140625" style="19" customWidth="1"/>
    <col min="15874" max="15874" width="29.85546875" style="19" customWidth="1"/>
    <col min="15875" max="15875" width="28.140625" style="19" customWidth="1"/>
    <col min="15876" max="15876" width="27" style="19" customWidth="1"/>
    <col min="15877" max="15877" width="30.5703125" style="19" customWidth="1"/>
    <col min="15878" max="15878" width="1.7109375" style="19" customWidth="1"/>
    <col min="15879" max="16128" width="9.140625" style="19"/>
    <col min="16129" max="16129" width="24.140625" style="19" customWidth="1"/>
    <col min="16130" max="16130" width="29.85546875" style="19" customWidth="1"/>
    <col min="16131" max="16131" width="28.140625" style="19" customWidth="1"/>
    <col min="16132" max="16132" width="27" style="19" customWidth="1"/>
    <col min="16133" max="16133" width="30.5703125" style="19" customWidth="1"/>
    <col min="16134" max="16134" width="1.7109375" style="19" customWidth="1"/>
    <col min="16135" max="16384" width="9.140625" style="19"/>
  </cols>
  <sheetData>
    <row r="1" spans="1:9" s="8" customFormat="1" ht="21" customHeight="1" x14ac:dyDescent="0.3">
      <c r="A1" s="125" t="s">
        <v>6</v>
      </c>
      <c r="B1" s="125"/>
      <c r="C1" s="127" t="str">
        <f>Copertina!B7</f>
        <v>MEV 2024_DNA</v>
      </c>
      <c r="D1" s="127"/>
      <c r="E1" s="127"/>
      <c r="F1" s="14"/>
      <c r="G1" s="15"/>
      <c r="H1" s="7"/>
    </row>
    <row r="2" spans="1:9" s="8" customFormat="1" ht="20.25" customHeight="1" thickBot="1" x14ac:dyDescent="0.35">
      <c r="A2" s="126" t="s">
        <v>10</v>
      </c>
      <c r="B2" s="126"/>
      <c r="C2" s="77" t="str">
        <f>Copertina!B3</f>
        <v>SIUT-SIES-CT-1.0-20240802-Allegato_al_piano_test_2024-DNA.xlsx</v>
      </c>
      <c r="D2" s="77"/>
      <c r="E2" s="77"/>
      <c r="F2" s="16"/>
      <c r="G2" s="17"/>
      <c r="H2" s="9"/>
    </row>
    <row r="3" spans="1:9" s="18" customFormat="1" ht="27" customHeight="1" thickBot="1" x14ac:dyDescent="0.3">
      <c r="A3" s="109" t="s">
        <v>80</v>
      </c>
      <c r="B3" s="110"/>
      <c r="C3" s="110"/>
      <c r="D3" s="110"/>
      <c r="E3" s="111"/>
      <c r="G3" s="112" t="s">
        <v>81</v>
      </c>
      <c r="H3" s="113"/>
      <c r="I3" s="114"/>
    </row>
    <row r="4" spans="1:9" ht="23.25" customHeight="1" thickBot="1" x14ac:dyDescent="0.25">
      <c r="A4" s="121" t="s">
        <v>82</v>
      </c>
      <c r="B4" s="122" t="s">
        <v>83</v>
      </c>
      <c r="C4" s="123"/>
      <c r="D4" s="123"/>
      <c r="E4" s="124"/>
      <c r="G4" s="115"/>
      <c r="H4" s="116"/>
      <c r="I4" s="117"/>
    </row>
    <row r="5" spans="1:9" ht="26.25" customHeight="1" thickBot="1" x14ac:dyDescent="0.25">
      <c r="A5" s="105"/>
      <c r="B5" s="20">
        <v>1</v>
      </c>
      <c r="C5" s="20">
        <v>2</v>
      </c>
      <c r="D5" s="20">
        <v>3</v>
      </c>
      <c r="E5" s="21">
        <v>4</v>
      </c>
      <c r="G5" s="115"/>
      <c r="H5" s="116"/>
      <c r="I5" s="117"/>
    </row>
    <row r="6" spans="1:9" ht="15.75" thickBot="1" x14ac:dyDescent="0.25">
      <c r="A6" s="22" t="s">
        <v>84</v>
      </c>
      <c r="B6" s="23">
        <f>COUNTIFS(TabellaTest!$H$4:$H$297,1,TabellaTest!$I$4:$I$297,"A",TabellaTest!$J$4:$J$297,"KO")</f>
        <v>0</v>
      </c>
      <c r="C6" s="23">
        <f>COUNTIFS(TabellaTest!$H$4:$H$297,2,TabellaTest!$I$4:$I$297,"A",TabellaTest!$J$4:$J$297,"KO")</f>
        <v>0</v>
      </c>
      <c r="D6" s="23">
        <f>COUNTIFS(TabellaTest!$H$4:$H$297,3,TabellaTest!$I$4:$I$297,"A",TabellaTest!$J$4:$J$297,"KO")</f>
        <v>0</v>
      </c>
      <c r="E6" s="23">
        <f>COUNTIFS(TabellaTest!$H$4:$H$297,4,TabellaTest!$I$4:$I$297,"A",TabellaTest!$J$4:$J$297,"KO")</f>
        <v>0</v>
      </c>
      <c r="G6" s="115"/>
      <c r="H6" s="116"/>
      <c r="I6" s="117"/>
    </row>
    <row r="7" spans="1:9" ht="15.75" thickBot="1" x14ac:dyDescent="0.25">
      <c r="A7" s="24" t="s">
        <v>25</v>
      </c>
      <c r="B7" s="23">
        <f>COUNTIFS(TabellaTest!$H$4:$H$297,1,TabellaTest!$I$4:$I$297,"B",TabellaTest!$J$4:$J$297,"KO")</f>
        <v>0</v>
      </c>
      <c r="C7" s="23">
        <f>COUNTIFS(TabellaTest!$H$4:$H$297,2,TabellaTest!$I$4:$I$297,"B",TabellaTest!$J$4:$J$297,"KO")</f>
        <v>0</v>
      </c>
      <c r="D7" s="23">
        <f>COUNTIFS(TabellaTest!$H$4:$H$297,3,TabellaTest!$I$4:$I$297,"B",TabellaTest!$J$4:$J$297,"KO")</f>
        <v>0</v>
      </c>
      <c r="E7" s="23">
        <f>COUNTIFS(TabellaTest!$H$4:$H$297,4,TabellaTest!$I$4:$I$297,"B",TabellaTest!$J$4:$J$297,"KO")</f>
        <v>0</v>
      </c>
      <c r="G7" s="115"/>
      <c r="H7" s="116"/>
      <c r="I7" s="117"/>
    </row>
    <row r="8" spans="1:9" ht="15.75" thickBot="1" x14ac:dyDescent="0.25">
      <c r="A8" s="25" t="s">
        <v>24</v>
      </c>
      <c r="B8" s="23">
        <f>COUNTIFS(TabellaTest!$H$4:$H$297,1,TabellaTest!$I$4:$I$297,"C",TabellaTest!$J$4:$J$297,"KO")</f>
        <v>0</v>
      </c>
      <c r="C8" s="23">
        <f>COUNTIFS(TabellaTest!$H$4:$H$297,2,TabellaTest!$I$4:$I$297,"C",TabellaTest!$J$4:$J$297,"KO")</f>
        <v>0</v>
      </c>
      <c r="D8" s="23">
        <f>COUNTIFS(TabellaTest!$H$4:$H$297,3,TabellaTest!$I$4:$I$297,"C",TabellaTest!$J$4:$J$297,"KO")</f>
        <v>0</v>
      </c>
      <c r="E8" s="23">
        <f>COUNTIFS(TabellaTest!$H$4:$H$297,4,TabellaTest!$I$4:$I$297,"C",TabellaTest!$J$4:$J$297,"KO")</f>
        <v>0</v>
      </c>
      <c r="G8" s="118"/>
      <c r="H8" s="119"/>
      <c r="I8" s="120"/>
    </row>
    <row r="9" spans="1:9" ht="13.9" x14ac:dyDescent="0.3">
      <c r="G9" s="26"/>
      <c r="H9" s="26"/>
      <c r="I9" s="26"/>
    </row>
    <row r="12" spans="1:9" ht="10.5" customHeight="1" thickBot="1" x14ac:dyDescent="0.25"/>
    <row r="13" spans="1:9" ht="14.45" hidden="1" thickBot="1" x14ac:dyDescent="0.35"/>
    <row r="14" spans="1:9" s="18" customFormat="1" ht="28.5" customHeight="1" x14ac:dyDescent="0.25">
      <c r="A14" s="128" t="s">
        <v>85</v>
      </c>
      <c r="B14" s="129"/>
      <c r="C14" s="129"/>
      <c r="D14" s="129"/>
      <c r="E14" s="130"/>
    </row>
    <row r="15" spans="1:9" ht="15.75" thickBot="1" x14ac:dyDescent="0.25">
      <c r="A15" s="104" t="s">
        <v>82</v>
      </c>
      <c r="B15" s="106" t="s">
        <v>83</v>
      </c>
      <c r="C15" s="107"/>
      <c r="D15" s="107"/>
      <c r="E15" s="108"/>
    </row>
    <row r="16" spans="1:9" ht="15.75" thickBot="1" x14ac:dyDescent="0.25">
      <c r="A16" s="105"/>
      <c r="B16" s="27">
        <v>1</v>
      </c>
      <c r="C16" s="27">
        <v>2</v>
      </c>
      <c r="D16" s="27">
        <v>3</v>
      </c>
      <c r="E16" s="28">
        <v>4</v>
      </c>
    </row>
    <row r="17" spans="1:5" ht="15.75" thickBot="1" x14ac:dyDescent="0.25">
      <c r="A17" s="29" t="s">
        <v>84</v>
      </c>
      <c r="B17" s="30">
        <f>COUNTIFS(TabellaTest!$H$4:$H$297,1,TabellaTest!$I$4:$I$297,"A")</f>
        <v>0</v>
      </c>
      <c r="C17" s="30">
        <f>COUNTIFS(TabellaTest!$H$4:$H$297,2,TabellaTest!$I$4:$I$297,"A")</f>
        <v>0</v>
      </c>
      <c r="D17" s="30">
        <f>COUNTIFS(TabellaTest!$H$4:$H$297,3,TabellaTest!$I$4:$I$297,"A")</f>
        <v>0</v>
      </c>
      <c r="E17" s="30">
        <f>COUNTIFS(TabellaTest!$H$4:$H$297,4,TabellaTest!$I$4:$I$297,"A")</f>
        <v>0</v>
      </c>
    </row>
    <row r="18" spans="1:5" ht="15.75" thickBot="1" x14ac:dyDescent="0.25">
      <c r="A18" s="31" t="s">
        <v>25</v>
      </c>
      <c r="B18" s="30">
        <f>COUNTIFS(TabellaTest!$H$4:$H$297,1,TabellaTest!$I$4:$I$297,"B")</f>
        <v>0</v>
      </c>
      <c r="C18" s="30">
        <f>COUNTIFS(TabellaTest!$H$4:$H$297,2,TabellaTest!$I$4:$I$297,"B")</f>
        <v>2</v>
      </c>
      <c r="D18" s="30">
        <f>COUNTIFS(TabellaTest!$H$4:$H$297,3,TabellaTest!$I$4:$I$297,"B")</f>
        <v>0</v>
      </c>
      <c r="E18" s="30">
        <f>COUNTIFS(TabellaTest!$H$4:$H$297,4,TabellaTest!$I$4:$I$297,"B")</f>
        <v>0</v>
      </c>
    </row>
    <row r="19" spans="1:5" ht="15.75" thickBot="1" x14ac:dyDescent="0.25">
      <c r="A19" s="32" t="s">
        <v>24</v>
      </c>
      <c r="B19" s="30">
        <f>COUNTIFS(TabellaTest!$H$4:$H$297,1,TabellaTest!$I$4:$I$297,"C")</f>
        <v>0</v>
      </c>
      <c r="C19" s="30">
        <f>COUNTIFS(TabellaTest!$H$4:$H$297,2,TabellaTest!$I$4:$I$297,"C")</f>
        <v>0</v>
      </c>
      <c r="D19" s="30">
        <f>COUNTIFS(TabellaTest!$H$4:$H$297,3,TabellaTest!$I$4:$I$297,"C")</f>
        <v>0</v>
      </c>
      <c r="E19" s="30">
        <f>COUNTIFS(TabellaTest!$H$4:$H$297,4,TabellaTest!$I$4:$I$297,"C")</f>
        <v>0</v>
      </c>
    </row>
  </sheetData>
  <sheetProtection algorithmName="SHA-512" hashValue="yK4t762dsqdaSNJbIJdXYOJ9V6yhJPk90M8BFw4lbAyBYOqkLwUcsAp6Hzt1n+PAyjFA1QcVZEWzBN39IMR6Og==" saltValue="SATjaK3ZpVyROTc4J1W+8Q==" spinCount="100000" sheet="1" selectLockedCells="1" selectUnlockedCells="1"/>
  <mergeCells count="11">
    <mergeCell ref="A1:B1"/>
    <mergeCell ref="A2:B2"/>
    <mergeCell ref="C1:E1"/>
    <mergeCell ref="C2:E2"/>
    <mergeCell ref="A14:E14"/>
    <mergeCell ref="A15:A16"/>
    <mergeCell ref="B15:E15"/>
    <mergeCell ref="A3:E3"/>
    <mergeCell ref="G3:I8"/>
    <mergeCell ref="A4:A5"/>
    <mergeCell ref="B4:E4"/>
  </mergeCells>
  <conditionalFormatting sqref="B6:E8">
    <cfRule type="expression" dxfId="3" priority="1" stopIfTrue="1">
      <formula>$E$6&gt;$E$17</formula>
    </cfRule>
    <cfRule type="expression" dxfId="2" priority="2" stopIfTrue="1">
      <formula>$D$6&gt;$D$17</formula>
    </cfRule>
    <cfRule type="expression" dxfId="1" priority="3" stopIfTrue="1">
      <formula>$C$6&gt;$C$17</formula>
    </cfRule>
    <cfRule type="expression" dxfId="0" priority="4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637F1D28401F4E9309B338650987D9" ma:contentTypeVersion="10" ma:contentTypeDescription="Creare un nuovo documento." ma:contentTypeScope="" ma:versionID="6e68582ca45cee34772eca177e0e6347">
  <xsd:schema xmlns:xsd="http://www.w3.org/2001/XMLSchema" xmlns:xs="http://www.w3.org/2001/XMLSchema" xmlns:p="http://schemas.microsoft.com/office/2006/metadata/properties" xmlns:ns3="a3ae56ea-36dd-4ec5-b67e-65253cb58edc" xmlns:ns4="05f6d153-fdd9-4ea0-9d5e-dbae83f18a55" targetNamespace="http://schemas.microsoft.com/office/2006/metadata/properties" ma:root="true" ma:fieldsID="0e64261cf123f0820c518166c1aafef0" ns3:_="" ns4:_="">
    <xsd:import namespace="a3ae56ea-36dd-4ec5-b67e-65253cb58edc"/>
    <xsd:import namespace="05f6d153-fdd9-4ea0-9d5e-dbae83f18a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e56ea-36dd-4ec5-b67e-65253cb58e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6d153-fdd9-4ea0-9d5e-dbae83f18a5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7AF078-23A2-4F08-B5B5-1283EC9C5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e56ea-36dd-4ec5-b67e-65253cb58edc"/>
    <ds:schemaRef ds:uri="05f6d153-fdd9-4ea0-9d5e-dbae83f18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A223A0-14F8-4CF7-B03D-5B8241C56AE5}">
  <ds:schemaRefs>
    <ds:schemaRef ds:uri="http://purl.org/dc/elements/1.1/"/>
    <ds:schemaRef ds:uri="http://schemas.microsoft.com/office/2006/metadata/properties"/>
    <ds:schemaRef ds:uri="a3ae56ea-36dd-4ec5-b67e-65253cb58edc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05f6d153-fdd9-4ea0-9d5e-dbae83f18a5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9C65E7D-62B2-458A-867B-AE3870757B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1</vt:i4>
      </vt:variant>
    </vt:vector>
  </HeadingPairs>
  <TitlesOfParts>
    <vt:vector size="6" baseType="lpstr">
      <vt:lpstr>Copertina</vt:lpstr>
      <vt:lpstr>TabellaTest</vt:lpstr>
      <vt:lpstr>SpecificaTest</vt:lpstr>
      <vt:lpstr>VerificheConformità</vt:lpstr>
      <vt:lpstr>SogliaAccettazione</vt:lpstr>
      <vt:lpstr>VerificheConformità!Area_stampa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di Test</dc:title>
  <dc:subject/>
  <dc:creator>Engineering</dc:creator>
  <cp:keywords/>
  <dc:description/>
  <cp:lastModifiedBy>Simone Gioggi</cp:lastModifiedBy>
  <cp:revision/>
  <dcterms:created xsi:type="dcterms:W3CDTF">2019-11-07T09:38:15Z</dcterms:created>
  <dcterms:modified xsi:type="dcterms:W3CDTF">2024-08-02T07:55:43Z</dcterms:modified>
  <cp:category/>
  <cp:contentStatus/>
</cp:coreProperties>
</file>