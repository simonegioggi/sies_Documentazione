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45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_Toc217052696" localSheetId="1">TabellaTest!$E$4</definedName>
    <definedName name="_Toc217052698" localSheetId="1">TabellaTest!$E$6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2" l="1"/>
  <c r="C34" i="2"/>
  <c r="C9" i="2"/>
  <c r="F9" i="2"/>
  <c r="F33" i="2"/>
  <c r="C33" i="2"/>
  <c r="D330" i="3"/>
  <c r="F32" i="2"/>
  <c r="C32" i="2"/>
  <c r="F31" i="2"/>
  <c r="C31" i="2"/>
  <c r="C29" i="2"/>
  <c r="F130" i="3"/>
  <c r="D130" i="3"/>
  <c r="B130" i="3"/>
  <c r="F15" i="2"/>
  <c r="F16" i="2"/>
  <c r="C23" i="2"/>
  <c r="C22" i="2"/>
  <c r="F14" i="2"/>
  <c r="F13" i="2"/>
  <c r="F12" i="2"/>
  <c r="F11" i="2"/>
  <c r="F5" i="2"/>
  <c r="F15" i="3"/>
  <c r="D15" i="3"/>
  <c r="F30" i="2" l="1"/>
  <c r="F29" i="2"/>
  <c r="F28" i="2"/>
  <c r="A283" i="3" s="1"/>
  <c r="C28" i="2"/>
  <c r="B283" i="3" s="1"/>
  <c r="F27" i="2"/>
  <c r="F26" i="2"/>
  <c r="A130" i="3" s="1"/>
  <c r="F25" i="2"/>
  <c r="F24" i="2"/>
  <c r="A246" i="3" s="1"/>
  <c r="F23" i="2"/>
  <c r="F22" i="2"/>
  <c r="F21" i="2"/>
  <c r="F20" i="2"/>
  <c r="F19" i="2"/>
  <c r="F6" i="2"/>
  <c r="F347" i="3"/>
  <c r="D347" i="3"/>
  <c r="F337" i="3"/>
  <c r="D337" i="3"/>
  <c r="F330" i="3"/>
  <c r="F320" i="3"/>
  <c r="D320" i="3"/>
  <c r="F310" i="3"/>
  <c r="D310" i="3"/>
  <c r="F296" i="3"/>
  <c r="D296" i="3"/>
  <c r="F283" i="3"/>
  <c r="D283" i="3"/>
  <c r="F272" i="3"/>
  <c r="D272" i="3"/>
  <c r="F264" i="3"/>
  <c r="D264" i="3"/>
  <c r="F254" i="3"/>
  <c r="D254" i="3"/>
  <c r="F246" i="3"/>
  <c r="D246" i="3"/>
  <c r="B246" i="3"/>
  <c r="F228" i="3" l="1"/>
  <c r="D228" i="3"/>
  <c r="F235" i="3"/>
  <c r="D235" i="3"/>
  <c r="D205" i="3" l="1"/>
  <c r="F205" i="3"/>
  <c r="D108" i="3" l="1"/>
  <c r="F108" i="3"/>
  <c r="F220" i="3" l="1"/>
  <c r="D220" i="3"/>
  <c r="F189" i="3"/>
  <c r="D189" i="3"/>
  <c r="F177" i="3"/>
  <c r="D177" i="3"/>
  <c r="F44" i="3" l="1"/>
  <c r="D44" i="3"/>
  <c r="F34" i="3"/>
  <c r="D34" i="3"/>
  <c r="F4" i="3"/>
  <c r="D4" i="3"/>
  <c r="F7" i="2" l="1"/>
  <c r="A44" i="3" s="1"/>
  <c r="C7" i="2"/>
  <c r="B44" i="3" s="1"/>
  <c r="C6" i="2"/>
  <c r="A15" i="3"/>
  <c r="B15" i="3"/>
  <c r="F4" i="2"/>
  <c r="A4" i="3" s="1"/>
  <c r="B4" i="3"/>
  <c r="A220" i="3"/>
  <c r="B220" i="3"/>
  <c r="A205" i="3"/>
  <c r="B205" i="3"/>
  <c r="A189" i="3"/>
  <c r="B189" i="3"/>
  <c r="F18" i="2"/>
  <c r="A177" i="3" s="1"/>
  <c r="B177" i="3"/>
  <c r="A337" i="3"/>
  <c r="B337" i="3"/>
  <c r="A272" i="3"/>
  <c r="B272" i="3"/>
  <c r="A264" i="3"/>
  <c r="B264" i="3"/>
  <c r="B34" i="3" l="1"/>
  <c r="A34" i="3"/>
  <c r="A347" i="3"/>
  <c r="A330" i="3"/>
  <c r="A320" i="3"/>
  <c r="A310" i="3"/>
  <c r="A296" i="3"/>
  <c r="A254" i="3"/>
  <c r="A235" i="3"/>
  <c r="A228" i="3"/>
  <c r="F17" i="2"/>
  <c r="A161" i="3" s="1"/>
  <c r="F10" i="2"/>
  <c r="F8" i="2"/>
  <c r="B347" i="3" l="1"/>
  <c r="B320" i="3"/>
  <c r="C30" i="2"/>
  <c r="B310" i="3" s="1"/>
  <c r="B296" i="3"/>
  <c r="B254" i="3"/>
  <c r="B235" i="3"/>
  <c r="B228" i="3"/>
  <c r="B108" i="3"/>
  <c r="C8" i="2"/>
  <c r="A55" i="3" l="1"/>
  <c r="B161" i="3" l="1"/>
  <c r="D161" i="3"/>
  <c r="F161" i="3"/>
  <c r="F147" i="3"/>
  <c r="D147" i="3"/>
  <c r="B147" i="3"/>
  <c r="A147" i="3"/>
  <c r="F118" i="3" l="1"/>
  <c r="D118" i="3"/>
  <c r="B118" i="3"/>
  <c r="A118" i="3"/>
  <c r="A108" i="3"/>
  <c r="F97" i="3" l="1"/>
  <c r="D97" i="3"/>
  <c r="B97" i="3"/>
  <c r="A97" i="3"/>
  <c r="F87" i="3"/>
  <c r="D87" i="3"/>
  <c r="B87" i="3"/>
  <c r="A87" i="3"/>
  <c r="F78" i="3"/>
  <c r="D78" i="3"/>
  <c r="B78" i="3"/>
  <c r="A78" i="3"/>
  <c r="B62" i="3"/>
  <c r="F62" i="3"/>
  <c r="D62" i="3"/>
  <c r="A62" i="3"/>
  <c r="D1" i="3"/>
  <c r="D55" i="3"/>
  <c r="B17" i="5" l="1"/>
  <c r="F55" i="3" l="1"/>
  <c r="B55" i="3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2" i="2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<sst xmlns="http://schemas.openxmlformats.org/spreadsheetml/2006/main" count="1467" uniqueCount="521">
  <si>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</si>
  <si>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</si>
  <si>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</si>
  <si>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</si>
  <si>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</si>
  <si>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</si>
  <si>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</si>
  <si>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</si>
  <si>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</si>
  <si>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</si>
  <si>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</si>
  <si>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</si>
  <si>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</si>
  <si>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</si>
  <si>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</si>
  <si>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</si>
  <si>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</si>
  <si>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</si>
  <si>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</si>
  <si>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</si>
  <si>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</si>
  <si>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</si>
  <si>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</si>
  <si>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</si>
  <si>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</si>
  <si>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</si>
  <si>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</si>
  <si>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</si>
  <si>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</si>
  <si>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</si>
  <si>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</si>
  <si>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</si>
  <si>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</si>
  <si>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</si>
  <si>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</si>
  <si>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</si>
  <si>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</si>
  <si>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</si>
  <si>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</si>
  <si>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</si>
  <si>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</si>
  <si>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</si>
  <si>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</si>
  <si>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</si>
  <si>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</si>
  <si>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</si>
  <si>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</si>
  <si>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</si>
  <si>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</si>
  <si>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</si>
  <si>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</si>
  <si>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</si>
  <si>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</si>
  <si>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</si>
  <si>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</si>
  <si>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</si>
  <si>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</si>
  <si>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</si>
  <si>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</si>
  <si>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</si>
  <si>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</si>
  <si>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</si>
  <si>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</si>
  <si>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</si>
  <si>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</si>
  <si>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</si>
  <si>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</si>
  <si>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</si>
  <si>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</si>
  <si>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</si>
  <si>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</si>
  <si>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</si>
  <si>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</si>
  <si>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</si>
  <si>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</si>
  <si>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</si>
  <si>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UC02</t>
  </si>
  <si>
    <t>UC03</t>
  </si>
  <si>
    <t>Penale</t>
  </si>
  <si>
    <t>V</t>
  </si>
  <si>
    <t>Verifica</t>
  </si>
  <si>
    <t>Classe di Rilevanza (A, B, C)</t>
  </si>
  <si>
    <t>ID Requisito Padre</t>
  </si>
  <si>
    <t>ID Caso d'Uso</t>
  </si>
  <si>
    <t>Caso d'Uso</t>
  </si>
  <si>
    <t>Exxxxx (Ufficio di Sorveglianza)</t>
  </si>
  <si>
    <t>8</t>
  </si>
  <si>
    <t>7</t>
  </si>
  <si>
    <t>Apertura di una nuova finestra del browser e successiva Visualizzazione a video del documento associato alla Comunicazione</t>
  </si>
  <si>
    <t>Cliccare sull'Icona Stampa</t>
  </si>
  <si>
    <t>6</t>
  </si>
  <si>
    <t>Verificare che i dati visualizzati corrispondano a quelli confermati</t>
  </si>
  <si>
    <t>5</t>
  </si>
  <si>
    <t>4</t>
  </si>
  <si>
    <t>3</t>
  </si>
  <si>
    <t>2</t>
  </si>
  <si>
    <t>1</t>
  </si>
  <si>
    <t>Verificare che sulla pagina di Dettaglio non sia presente alcuna Icona o link per attivare altre azioni</t>
  </si>
  <si>
    <t>L'utente clicca su OK</t>
  </si>
  <si>
    <t xml:space="preserve">                                                                                                                                                                                             </t>
  </si>
  <si>
    <r>
      <t>Visualizzazione pagina</t>
    </r>
    <r>
      <rPr>
        <b/>
        <sz val="11"/>
        <rFont val="Calibri"/>
        <family val="2"/>
        <scheme val="minor"/>
      </rPr>
      <t xml:space="preserve"> Emissione Ordinanza</t>
    </r>
  </si>
  <si>
    <r>
      <t>Digitare</t>
    </r>
    <r>
      <rPr>
        <b/>
        <sz val="11"/>
        <rFont val="Calibri"/>
        <family val="2"/>
        <scheme val="minor"/>
      </rPr>
      <t xml:space="preserve"> Data emissione</t>
    </r>
    <r>
      <rPr>
        <sz val="11"/>
        <rFont val="Calibri"/>
        <family val="2"/>
        <scheme val="minor"/>
      </rPr>
      <t xml:space="preserve"> e </t>
    </r>
    <r>
      <rPr>
        <b/>
        <sz val="11"/>
        <rFont val="Calibri"/>
        <family val="2"/>
        <scheme val="minor"/>
      </rPr>
      <t>Confermare</t>
    </r>
  </si>
  <si>
    <r>
      <t>Visualizzazione pagina</t>
    </r>
    <r>
      <rPr>
        <b/>
        <sz val="11"/>
        <rFont val="Calibri"/>
        <family val="2"/>
        <scheme val="minor"/>
      </rPr>
      <t xml:space="preserve"> Emissione Decreto</t>
    </r>
  </si>
  <si>
    <t xml:space="preserve">L'utente è collegato al sistema SIUS come Ufficio di Sorveglianza </t>
  </si>
  <si>
    <t>Visualizzazione pagina "Dettaglio Procedimento SIUS"</t>
  </si>
  <si>
    <t xml:space="preserve"> </t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</si>
  <si>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SIUS_OR_GENERICAPENASOST.rtf</t>
    </r>
  </si>
  <si>
    <t>L'utente è posizionato nella Home Page SIUS</t>
  </si>
  <si>
    <r>
      <t xml:space="preserve">Visualizzazione pagina </t>
    </r>
    <r>
      <rPr>
        <b/>
        <sz val="11"/>
        <rFont val="Calibri"/>
        <family val="2"/>
        <scheme val="minor"/>
      </rPr>
      <t>Ricerca Provvedimenti di Concessione Permesso Licenza Depositati</t>
    </r>
  </si>
  <si>
    <t>MEV 2025_48 PNRR Scheda Intervento Evolutive di SIES v1.0</t>
  </si>
  <si>
    <r>
      <rPr>
        <b/>
        <i/>
        <sz val="11"/>
        <rFont val="Calibri"/>
        <family val="2"/>
        <scheme val="minor"/>
      </rPr>
      <t>B6437AAAEB-2025-48_PNRR_Allegato_al_Piano_dei_Test_Evolutive_di_SIES_v1.0</t>
    </r>
    <r>
      <rPr>
        <i/>
        <sz val="11"/>
        <rFont val="Calibri"/>
        <family val="2"/>
        <scheme val="minor"/>
      </rPr>
      <t>.xlsx</t>
    </r>
  </si>
  <si>
    <r>
      <rPr>
        <b/>
        <i/>
        <sz val="11"/>
        <rFont val="Calibri"/>
        <family val="2"/>
        <scheme val="minor"/>
      </rPr>
      <t>B6437AAAEB-2025-48_PNRR_Piano_dei_Test_Evolutive_di_SIES_v1.0</t>
    </r>
    <r>
      <rPr>
        <i/>
        <sz val="11"/>
        <rFont val="Calibri"/>
        <family val="2"/>
        <scheme val="minor"/>
      </rPr>
      <t>.pdf</t>
    </r>
  </si>
  <si>
    <t>Ministero della Giustizia
Dipartimento per l’innovazione tecnologica della giustizia
ALLEGATO AL PIANO DEI TEST
INTERVENTI EVOLUTIVI SULL’APPLICAZIONE SIES</t>
  </si>
  <si>
    <t>v1.0</t>
  </si>
  <si>
    <r>
      <t xml:space="preserve">  Via Crescenzio, 17/C – 00193 Roma
          </t>
    </r>
    <r>
      <rPr>
        <b/>
        <u/>
        <sz val="11"/>
        <color rgb="FF0070C0"/>
        <rFont val="Calibri"/>
        <family val="2"/>
        <scheme val="minor"/>
      </rPr>
      <t>prot.dit@giustiziacert.it</t>
    </r>
  </si>
  <si>
    <t>SIES/SIEP</t>
  </si>
  <si>
    <t>PAR. 2.1-048-01</t>
  </si>
  <si>
    <t>Annotazione revoca beneficio ex art.168 c.p. - 674 c.p.p. – pene sospese</t>
  </si>
  <si>
    <t>Verifica: Verificare che nel sottosistema SIEP la funzione Annotazione revoca beneficio ex art.168 c.p. - 674 c.p.p. – pene sospese consenta di selezionare la classe di destinazione in cui iscrivere il nuovo procedimento</t>
  </si>
  <si>
    <t>L'utente effettua l'accesso al sistema SIEP come Procura c/o Tribunale</t>
  </si>
  <si>
    <t>L'utente ricerca un procedimento di classe 3 non Definito</t>
  </si>
  <si>
    <t xml:space="preserve">Visualizzazione pagina di Dettaglio  procedimento </t>
  </si>
  <si>
    <t xml:space="preserve">selezionare la funzione Gestione Pene Sospese » Annotazione revoca beneficio ex art.168 c.p. - 674 c.p.p. 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</si>
  <si>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Inserimento Annotazione Revoca Beneficio ex art.168 c.p. - 674 c.p.p.</t>
    </r>
  </si>
  <si>
    <t>Visualizzazione messaggio "Viene ora creato un nuovo procedimento nella classe di seguito selezionata mentre viene archiviato il relativo procedimento di classe III!\nVuoi proseguire?"</t>
  </si>
  <si>
    <r>
      <t xml:space="preserve"> Cliccare su </t>
    </r>
    <r>
      <rPr>
        <b/>
        <sz val="11"/>
        <rFont val="Calibri"/>
        <family val="2"/>
        <scheme val="minor"/>
      </rPr>
      <t>OK</t>
    </r>
  </si>
  <si>
    <r>
      <t xml:space="preserve">Visualizzazione </t>
    </r>
    <r>
      <rPr>
        <b/>
        <sz val="11"/>
        <rFont val="Calibri"/>
        <family val="2"/>
        <scheme val="minor"/>
      </rPr>
      <t>Inserimento Procedimento</t>
    </r>
  </si>
  <si>
    <r>
      <t xml:space="preserve">Modificare se occorre le date di arrivo e irrevocabilità, selezionare il </t>
    </r>
    <r>
      <rPr>
        <b/>
        <sz val="11"/>
        <rFont val="Calibri"/>
        <family val="2"/>
        <scheme val="minor"/>
      </rPr>
      <t>radio button</t>
    </r>
    <r>
      <rPr>
        <sz val="11"/>
        <rFont val="Calibri"/>
        <family val="2"/>
        <scheme val="minor"/>
      </rPr>
      <t xml:space="preserve"> della classe di appartenenza del procedimento da creare e cliccare </t>
    </r>
    <r>
      <rPr>
        <b/>
        <sz val="11"/>
        <rFont val="Calibri"/>
        <family val="2"/>
        <scheme val="minor"/>
      </rPr>
      <t>Conferma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</si>
  <si>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procedimento SIEP, </t>
    </r>
    <r>
      <rPr>
        <sz val="11"/>
        <rFont val="Calibri"/>
        <family val="2"/>
        <scheme val="minor"/>
      </rPr>
      <t>che il sistema ha creato</t>
    </r>
  </si>
  <si>
    <t xml:space="preserve">Verificare che il procedimento appartenga alla classe indicata, che abbia ereditato gli elementi salienti del procedimento di classe 3 originario, che sia presente l'evento di Annotazione Revoca Beneficio e che sia presente il link di collegamento con il procedimento originario </t>
  </si>
  <si>
    <r>
      <t xml:space="preserve">Cliccare sul </t>
    </r>
    <r>
      <rPr>
        <b/>
        <sz val="11"/>
        <rFont val="Calibri"/>
        <family val="2"/>
        <scheme val="minor"/>
      </rPr>
      <t>link del procedimento di classe 3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</si>
  <si>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procedimento SIEP, </t>
    </r>
    <r>
      <rPr>
        <sz val="11"/>
        <rFont val="Calibri"/>
        <family val="2"/>
        <scheme val="minor"/>
      </rPr>
      <t>classe 3</t>
    </r>
  </si>
  <si>
    <r>
      <t xml:space="preserve">Verificare che il procedimento risulti </t>
    </r>
    <r>
      <rPr>
        <b/>
        <sz val="11"/>
        <rFont val="Calibri"/>
        <family val="2"/>
        <scheme val="minor"/>
      </rPr>
      <t>Archiviato</t>
    </r>
    <r>
      <rPr>
        <sz val="11"/>
        <rFont val="Calibri"/>
        <family val="2"/>
        <scheme val="minor"/>
      </rPr>
      <t xml:space="preserve"> e che sia presente il </t>
    </r>
    <r>
      <rPr>
        <b/>
        <sz val="11"/>
        <rFont val="Calibri"/>
        <family val="2"/>
        <scheme val="minor"/>
      </rPr>
      <t>link al procedimento di provenienza</t>
    </r>
  </si>
  <si>
    <t>Archiviazione procedimento per passaggio di classe</t>
  </si>
  <si>
    <t>Verifica: Verificare nel sottosistema SIEP l'utilizzo della funzione "Archiviazione procedimento per passaggio di classe"</t>
  </si>
  <si>
    <t>L'utente ricerca un procedimento non definito, iscritto erronemente che vuole trasferire in altra classe</t>
  </si>
  <si>
    <r>
      <rPr>
        <sz val="11"/>
        <rFont val="Calibri"/>
        <family val="2"/>
        <scheme val="minor"/>
      </rPr>
      <t>selezionare nel menu verticale</t>
    </r>
    <r>
      <rPr>
        <b/>
        <sz val="11"/>
        <rFont val="Calibri"/>
        <family val="2"/>
        <scheme val="minor"/>
      </rPr>
      <t xml:space="preserve"> Definizione Procedimento </t>
    </r>
    <r>
      <rPr>
        <sz val="11"/>
        <rFont val="Calibri"/>
        <family val="2"/>
        <scheme val="minor"/>
      </rPr>
      <t xml:space="preserve">e poi dalla griglia </t>
    </r>
    <r>
      <rPr>
        <b/>
        <sz val="11"/>
        <rFont val="Calibri"/>
        <family val="2"/>
        <scheme val="minor"/>
      </rPr>
      <t>Passaggio di classe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</si>
  <si>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Definizione procedimento - Passaggio di Classe</t>
    </r>
  </si>
  <si>
    <r>
      <t xml:space="preserve"> compilare i campi della form e cliccare </t>
    </r>
    <r>
      <rPr>
        <b/>
        <sz val="11"/>
        <rFont val="Calibri"/>
        <family val="2"/>
        <scheme val="minor"/>
      </rPr>
      <t>Conferma</t>
    </r>
  </si>
  <si>
    <r>
      <t xml:space="preserve">Selezionare </t>
    </r>
    <r>
      <rPr>
        <b/>
        <sz val="11"/>
        <rFont val="Calibri"/>
        <family val="2"/>
        <scheme val="minor"/>
      </rPr>
      <t>Sentenza</t>
    </r>
    <r>
      <rPr>
        <sz val="11"/>
        <rFont val="Calibri"/>
        <family val="2"/>
        <scheme val="minor"/>
      </rPr>
      <t xml:space="preserve"> nella combo box Tipo Provvedimento, compilare i campi  della form e cliccare </t>
    </r>
    <r>
      <rPr>
        <b/>
        <sz val="11"/>
        <rFont val="Calibri"/>
        <family val="2"/>
        <scheme val="minor"/>
      </rPr>
      <t>Conferma</t>
    </r>
  </si>
  <si>
    <t>Visualizzazione messaggio "Si sta per procedere all'Archiviazione del fascicolo corrente ed all'iscrizione di un nuovo procedimento"  nella classe selezionata! Vuoi proseguire?"</t>
  </si>
  <si>
    <r>
      <t xml:space="preserve">Visualizzazione pagina </t>
    </r>
    <r>
      <rPr>
        <b/>
        <sz val="11"/>
        <rFont val="Calibri"/>
        <family val="2"/>
        <scheme val="minor"/>
      </rPr>
      <t>Dettaglio Definizione procedimento - Passaggio di Classe</t>
    </r>
  </si>
  <si>
    <r>
      <t xml:space="preserve">Verificare che i dati visualizzati corrispondano a quelli confermati e che siano presente il </t>
    </r>
    <r>
      <rPr>
        <b/>
        <sz val="11"/>
        <rFont val="Calibri"/>
        <family val="2"/>
        <scheme val="minor"/>
      </rPr>
      <t>link con Anno e Numero</t>
    </r>
    <r>
      <rPr>
        <sz val="11"/>
        <rFont val="Calibri"/>
        <family val="2"/>
        <scheme val="minor"/>
      </rPr>
      <t xml:space="preserve"> del procedimento creato nella classe di appartenenza richiesta, le icone di  Stampa, Validazione, Torna Indietro</t>
    </r>
  </si>
  <si>
    <r>
      <t xml:space="preserve">L'utente si trova nella pagina di </t>
    </r>
    <r>
      <rPr>
        <b/>
        <sz val="11"/>
        <rFont val="Calibri"/>
        <family val="2"/>
        <scheme val="minor"/>
      </rPr>
      <t>Dettaglio Definizione procedimento - Passaggio di Classe</t>
    </r>
  </si>
  <si>
    <r>
      <t xml:space="preserve">Verificare che venga prodotto il template </t>
    </r>
    <r>
      <rPr>
        <b/>
        <sz val="11"/>
        <rFont val="Calibri"/>
        <family val="2"/>
        <scheme val="minor"/>
      </rPr>
      <t>SIEP_ARC_GENERICO.rtf</t>
    </r>
  </si>
  <si>
    <r>
      <t xml:space="preserve">Visualizzazione pagina </t>
    </r>
    <r>
      <rPr>
        <b/>
        <sz val="11"/>
        <rFont val="Calibri"/>
        <family val="2"/>
        <scheme val="minor"/>
      </rPr>
      <t>Definizione Procedimento - Scelta Passaggio di Classe</t>
    </r>
    <r>
      <rPr>
        <sz val="11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</si>
  <si>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1"/>
        <rFont val="Calibri"/>
        <family val="2"/>
        <scheme val="minor"/>
      </rPr>
      <t>Dettaglio Definizione procedimento - Passaggio di Classe</t>
    </r>
    <r>
      <rPr>
        <sz val="11"/>
        <rFont val="Calibri"/>
        <family val="2"/>
        <scheme val="minor"/>
      </rPr>
      <t xml:space="preserve"> con campi per validazione del provvedimento</t>
    </r>
  </si>
  <si>
    <r>
      <t xml:space="preserve">L'utente si trova nella pagina </t>
    </r>
    <r>
      <rPr>
        <b/>
        <sz val="11"/>
        <rFont val="Calibri"/>
        <family val="2"/>
        <scheme val="minor"/>
      </rPr>
      <t>Dettaglio Definizione procedimento - Passaggio di Classe</t>
    </r>
    <r>
      <rPr>
        <sz val="11"/>
        <rFont val="Calibri"/>
        <family val="2"/>
        <scheme val="minor"/>
      </rPr>
      <t xml:space="preserve"> con campi per validazione del provvedimento</t>
    </r>
  </si>
  <si>
    <r>
      <t xml:space="preserve">Spuntare il check box </t>
    </r>
    <r>
      <rPr>
        <b/>
        <sz val="11"/>
        <rFont val="Calibri"/>
        <family val="2"/>
        <scheme val="minor"/>
      </rPr>
      <t>Valida Documento</t>
    </r>
    <r>
      <rPr>
        <sz val="11"/>
        <rFont val="Calibri"/>
        <family val="2"/>
        <scheme val="minor"/>
      </rPr>
      <t xml:space="preserve"> e </t>
    </r>
    <r>
      <rPr>
        <b/>
        <sz val="11"/>
        <rFont val="Calibri"/>
        <family val="2"/>
        <scheme val="minor"/>
      </rPr>
      <t>Conferma</t>
    </r>
  </si>
  <si>
    <r>
      <t xml:space="preserve">Visualizzazione Messaggio </t>
    </r>
    <r>
      <rPr>
        <b/>
        <sz val="11"/>
        <rFont val="Calibri"/>
        <family val="2"/>
        <scheme val="minor"/>
      </rPr>
      <t xml:space="preserve">Aggiornamento Documento Avvenuto Correttamente! </t>
    </r>
  </si>
  <si>
    <r>
      <t xml:space="preserve">L'utente si trova nella pagina di </t>
    </r>
    <r>
      <rPr>
        <b/>
        <sz val="11"/>
        <rFont val="Calibri"/>
        <family val="2"/>
        <scheme val="minor"/>
      </rPr>
      <t>Dettaglio Definizione procedimento - Passaggio di Classe</t>
    </r>
    <r>
      <rPr>
        <sz val="11"/>
        <rFont val="Calibri"/>
        <family val="2"/>
        <scheme val="minor"/>
      </rPr>
      <t xml:space="preserve"> senza alcuna icona 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</si>
  <si>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procedimento SIEP </t>
    </r>
    <r>
      <rPr>
        <sz val="11"/>
        <rFont val="Calibri"/>
        <family val="2"/>
        <scheme val="minor"/>
      </rPr>
      <t>creato a seguito del passaggio di classe</t>
    </r>
  </si>
  <si>
    <t xml:space="preserve">Verificare che il procedimento appartenga alla classe indicata al momento dell'archiviazione, che abbia ereditato i dati salienti del procedimento originario, sia in stato di iscritto. </t>
  </si>
  <si>
    <r>
      <t>Cliccare sul</t>
    </r>
    <r>
      <rPr>
        <b/>
        <sz val="11"/>
        <rFont val="Calibri"/>
        <family val="2"/>
        <scheme val="minor"/>
      </rPr>
      <t xml:space="preserve"> link Procedimento N.</t>
    </r>
  </si>
  <si>
    <r>
      <t xml:space="preserve">L'utente si trova nella pagina di </t>
    </r>
    <r>
      <rPr>
        <b/>
        <sz val="11"/>
        <rFont val="Calibri"/>
        <family val="2"/>
        <scheme val="minor"/>
      </rPr>
      <t>Dettaglio Definizione procedimento - Passaggio di Classe</t>
    </r>
    <r>
      <rPr>
        <sz val="11"/>
        <rFont val="Calibri"/>
        <family val="2"/>
        <scheme val="minor"/>
      </rPr>
      <t xml:space="preserve"> senza icone di stampa e validazione e che il procedimento sia </t>
    </r>
    <r>
      <rPr>
        <b/>
        <sz val="11"/>
        <rFont val="Calibri"/>
        <family val="2"/>
        <scheme val="minor"/>
      </rPr>
      <t>Archiviato</t>
    </r>
  </si>
  <si>
    <r>
      <t xml:space="preserve">L'utente si trova nella pagina di </t>
    </r>
    <r>
      <rPr>
        <b/>
        <sz val="11"/>
        <rFont val="Calibri"/>
        <family val="2"/>
        <scheme val="minor"/>
      </rPr>
      <t>Dettaglio Definizione procedimento - Passaggio di Classe</t>
    </r>
    <r>
      <rPr>
        <sz val="11"/>
        <rFont val="Calibri"/>
        <family val="2"/>
        <scheme val="minor"/>
      </rPr>
      <t xml:space="preserve"> </t>
    </r>
  </si>
  <si>
    <t>PAR. 2.2-048-02</t>
  </si>
  <si>
    <t>PAR. 2.3-048-03</t>
  </si>
  <si>
    <t>Elenco procedimenti assegnati al magistrato</t>
  </si>
  <si>
    <t>Verifica: Verificare che nel sottosistema SIEP l'utilizzo della funzione Elenco procedimenti assegnati al magistrato</t>
  </si>
  <si>
    <t>L'utente si trova nell'Home Page di SIEP</t>
  </si>
  <si>
    <r>
      <rPr>
        <sz val="11"/>
        <rFont val="Calibri"/>
        <family val="2"/>
        <scheme val="minor"/>
      </rPr>
      <t>selezionare</t>
    </r>
    <r>
      <rPr>
        <b/>
        <sz val="11"/>
        <rFont val="Calibri"/>
        <family val="2"/>
        <scheme val="minor"/>
      </rPr>
      <t xml:space="preserve"> Funzioni Amministrative » Gestione Magistrati » Elenco Procedimenti Assegnati</t>
    </r>
    <r>
      <rPr>
        <sz val="11"/>
        <rFont val="Calibri"/>
        <family val="2"/>
        <scheme val="minor"/>
      </rPr>
      <t xml:space="preserve"> </t>
    </r>
  </si>
  <si>
    <t xml:space="preserve"> Ricercare un magistrato con più di 20 procedimenti assegnati</t>
  </si>
  <si>
    <r>
      <t xml:space="preserve">Visualizzazione pagina </t>
    </r>
    <r>
      <rPr>
        <b/>
        <sz val="11"/>
        <rFont val="Calibri"/>
        <family val="2"/>
        <scheme val="minor"/>
      </rPr>
      <t>Cambio Magistrato competente</t>
    </r>
  </si>
  <si>
    <t>Verificare che i dati visualizzati siano impaginati 20 per pagina e che siano presenti i tasti Seleziona Tutti nella pagina, Deseleziona tutti nella pagina, Seleziona tutti i  procedimenti del magistrato oltre ai check box per singolo procedimento</t>
  </si>
  <si>
    <r>
      <t xml:space="preserve">Selezionare dalla popup il </t>
    </r>
    <r>
      <rPr>
        <b/>
        <sz val="11"/>
        <rFont val="Calibri"/>
        <family val="2"/>
        <scheme val="minor"/>
      </rPr>
      <t>nuovo Magistrato assegnatario</t>
    </r>
    <r>
      <rPr>
        <sz val="11"/>
        <rFont val="Calibri"/>
        <family val="2"/>
        <scheme val="minor"/>
      </rPr>
      <t xml:space="preserve">, cliccare seleziona </t>
    </r>
    <r>
      <rPr>
        <b/>
        <sz val="11"/>
        <rFont val="Calibri"/>
        <family val="2"/>
        <scheme val="minor"/>
      </rPr>
      <t>tutti nella pagin</t>
    </r>
    <r>
      <rPr>
        <sz val="11"/>
        <rFont val="Calibri"/>
        <family val="2"/>
        <scheme val="minor"/>
      </rPr>
      <t xml:space="preserve">a e </t>
    </r>
    <r>
      <rPr>
        <b/>
        <sz val="11"/>
        <rFont val="Calibri"/>
        <family val="2"/>
        <scheme val="minor"/>
      </rPr>
      <t>Conferma</t>
    </r>
  </si>
  <si>
    <r>
      <t xml:space="preserve">Visualizzazione pagina </t>
    </r>
    <r>
      <rPr>
        <b/>
        <sz val="11"/>
        <rFont val="Calibri"/>
        <family val="2"/>
        <scheme val="minor"/>
      </rPr>
      <t>Esito Cambio Magistrato competente</t>
    </r>
  </si>
  <si>
    <t>Verificare che tutti i procedimenti contenuti nella pagina del precedente magistrato assegnatario risultino in carico al nuovo magistrato</t>
  </si>
  <si>
    <t>PAR. 2.4-048-04</t>
  </si>
  <si>
    <t>Dettaglio Procedimento SIEP</t>
  </si>
  <si>
    <t>Verifica: Verificare nel sottosistema SIEP l'utilizzo della funzione "Dettaglio Procedimento SIEP "</t>
  </si>
  <si>
    <t>Ricercare un procedimento SIEP del 2023 con reato privo della data commesso reato o con data &lt; 31/12/2022</t>
  </si>
  <si>
    <r>
      <t xml:space="preserve">Visualizzazione pagina </t>
    </r>
    <r>
      <rPr>
        <b/>
        <sz val="11"/>
        <rFont val="Calibri"/>
        <family val="2"/>
        <scheme val="minor"/>
      </rPr>
      <t>Dettaglio Procedimento SIEP</t>
    </r>
    <r>
      <rPr>
        <sz val="11"/>
        <rFont val="Calibri"/>
        <family val="2"/>
        <scheme val="minor"/>
      </rPr>
      <t xml:space="preserve"> </t>
    </r>
  </si>
  <si>
    <t>Verificare che nessuna nuova dicitura sia presente accanto a Anno e Numero procedimento</t>
  </si>
  <si>
    <r>
      <rPr>
        <b/>
        <sz val="11"/>
        <rFont val="Calibri"/>
        <family val="2"/>
        <scheme val="minor"/>
      </rPr>
      <t>Annullare validazione</t>
    </r>
    <r>
      <rPr>
        <sz val="11"/>
        <rFont val="Calibri"/>
        <family val="2"/>
        <scheme val="minor"/>
      </rPr>
      <t xml:space="preserve"> del procedimento, se non già in stato di iscritto</t>
    </r>
  </si>
  <si>
    <t>Iscrivere un nuovo reato con data Commesso reato successiva al 30/12/2022</t>
  </si>
  <si>
    <r>
      <t xml:space="preserve">Visualizzazione pagina </t>
    </r>
    <r>
      <rPr>
        <b/>
        <sz val="11"/>
        <rFont val="Calibri"/>
        <family val="2"/>
        <scheme val="minor"/>
      </rPr>
      <t>Elenco Reati</t>
    </r>
  </si>
  <si>
    <t>Cliccare su Anno e Numero Procedimento</t>
  </si>
  <si>
    <r>
      <t xml:space="preserve">Verificare che nella testata della videata, accanto a Anno e Numero Procedimento sia riportata la dicitura </t>
    </r>
    <r>
      <rPr>
        <b/>
        <sz val="11"/>
        <rFont val="Calibri"/>
        <family val="2"/>
        <scheme val="minor"/>
      </rPr>
      <t>Cartabia</t>
    </r>
  </si>
  <si>
    <r>
      <t xml:space="preserve">accanto a Anno e Numero Procedimento sia riportata la dicitura </t>
    </r>
    <r>
      <rPr>
        <b/>
        <sz val="11"/>
        <rFont val="Calibri"/>
        <family val="2"/>
        <scheme val="minor"/>
      </rPr>
      <t>Cartabia</t>
    </r>
  </si>
  <si>
    <t>PAR. 2.5-048-05</t>
  </si>
  <si>
    <t>Reimpostazione dati utente e password NSC in Richiesta Certificato penale</t>
  </si>
  <si>
    <t>Verifica: Verificare nel sottosistema SIUS l'utilizzo della funzione "Richiesta Certificato penale"</t>
  </si>
  <si>
    <t>Axxxxx (Procura c/o Tribunale)</t>
  </si>
  <si>
    <t>L'utente, già abilitato su NSC, effettua l'accesso al sistema SIEP come Procura c/o Tribunale</t>
  </si>
  <si>
    <t>L'utente si trova nell'Home Page di SIEP ed ha già un procedimento in sessione</t>
  </si>
  <si>
    <t>selezionare la funzione Istruttorie/Richieste&gt;&gt;Richiesta ceritificato Penale</t>
  </si>
  <si>
    <r>
      <t xml:space="preserve">Visualizzazione pagina </t>
    </r>
    <r>
      <rPr>
        <b/>
        <sz val="11"/>
        <rFont val="Calibri"/>
        <family val="2"/>
        <scheme val="minor"/>
      </rPr>
      <t>Richiesta Certificato Penale</t>
    </r>
  </si>
  <si>
    <t>cliccare sul tasto Pulisci i campi</t>
  </si>
  <si>
    <t>i campi userid e password vengono ripuliti</t>
  </si>
  <si>
    <t>PAR. 2.6-048-06</t>
  </si>
  <si>
    <t>Confisca per equivalente</t>
  </si>
  <si>
    <t xml:space="preserve">Verifica: Verificare che nel sottosistema SIEP sia gestita l'informazione che la pena pecuniaria da pagare sia conseguente alla confisca per equivalente </t>
  </si>
  <si>
    <t>Verificare che nella pagina siano presenti i campi Userid NSC e password, criptata, precompilati con i dati dell'utente connesso</t>
  </si>
  <si>
    <t>Ricercare un procedimento SIEP in stato di iscritto, privo di pena complessiva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</si>
  <si>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Dettaglio procedimento SIEP</t>
    </r>
  </si>
  <si>
    <r>
      <t xml:space="preserve">Nella tool bar delle funzionalità selezionare </t>
    </r>
    <r>
      <rPr>
        <b/>
        <sz val="11"/>
        <rFont val="Calibri"/>
        <family val="2"/>
        <scheme val="minor"/>
      </rPr>
      <t>Iscrizione Pena Complessiva</t>
    </r>
  </si>
  <si>
    <r>
      <t xml:space="preserve">Visualizzazione pagina </t>
    </r>
    <r>
      <rPr>
        <b/>
        <sz val="11"/>
        <rFont val="Calibri"/>
        <family val="2"/>
        <scheme val="minor"/>
      </rPr>
      <t>Inserimento Pena Complessiva</t>
    </r>
  </si>
  <si>
    <t>Compilare i campi delle reclusione, della Pena sostituiva Pecuniaria, il check box Confisca per Equivalente e Confermare</t>
  </si>
  <si>
    <r>
      <t xml:space="preserve">Visualizzazione pagina </t>
    </r>
    <r>
      <rPr>
        <b/>
        <sz val="11"/>
        <rFont val="Calibri"/>
        <family val="2"/>
        <scheme val="minor"/>
      </rPr>
      <t>Dettaglio Pena Complessiva</t>
    </r>
  </si>
  <si>
    <r>
      <t xml:space="preserve">Verificare che siano riportati i dati inseriti e che sia presente la dicitura </t>
    </r>
    <r>
      <rPr>
        <b/>
        <sz val="11"/>
        <rFont val="Calibri"/>
        <family val="2"/>
        <scheme val="minor"/>
      </rPr>
      <t>Importo da Pagare Include Confisca per Equivalente</t>
    </r>
    <r>
      <rPr>
        <sz val="11"/>
        <rFont val="Calibri"/>
        <family val="2"/>
        <scheme val="minor"/>
      </rPr>
      <t xml:space="preserve"> </t>
    </r>
  </si>
  <si>
    <t xml:space="preserve"> Cliccare su Anno e Numero Procedimento</t>
  </si>
  <si>
    <r>
      <t xml:space="preserve">Verificare che tra gli altri dati sia presente la dicitura (in rosso) </t>
    </r>
    <r>
      <rPr>
        <b/>
        <sz val="11"/>
        <rFont val="Calibri"/>
        <family val="2"/>
        <scheme val="minor"/>
      </rPr>
      <t>Importo da Pagare Include Confisca per Equivalente</t>
    </r>
  </si>
  <si>
    <t>L'utente si trova nella pagina di Dettaglio procedimento SIEP</t>
  </si>
  <si>
    <r>
      <t xml:space="preserve">Nella tool bar delle funzionalità selezionare </t>
    </r>
    <r>
      <rPr>
        <b/>
        <sz val="11"/>
        <rFont val="Calibri"/>
        <family val="2"/>
        <scheme val="minor"/>
      </rPr>
      <t>Dettaglio Pena Complessiva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</si>
  <si>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Dettaglio Pena Complessiva</t>
    </r>
  </si>
  <si>
    <r>
      <t xml:space="preserve">Selezionarel'icona di </t>
    </r>
    <r>
      <rPr>
        <b/>
        <sz val="11"/>
        <rFont val="Calibri"/>
        <family val="2"/>
        <scheme val="minor"/>
      </rPr>
      <t>Modifica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</si>
  <si>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Modifica Pena Complessiva </t>
    </r>
  </si>
  <si>
    <r>
      <t xml:space="preserve">Visualizzazione pagina </t>
    </r>
    <r>
      <rPr>
        <b/>
        <sz val="11"/>
        <rFont val="Calibri"/>
        <family val="2"/>
        <scheme val="minor"/>
      </rPr>
      <t>Modifica Pena Complessiva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 Sentenze in Continuazione</t>
    </r>
  </si>
  <si>
    <r>
      <t xml:space="preserve">Togliere la spunta al check box </t>
    </r>
    <r>
      <rPr>
        <b/>
        <sz val="11"/>
        <rFont val="Calibri"/>
        <family val="2"/>
        <scheme val="minor"/>
      </rPr>
      <t xml:space="preserve">Confisca per equivalente </t>
    </r>
    <r>
      <rPr>
        <sz val="11"/>
        <rFont val="Calibri"/>
        <family val="2"/>
        <scheme val="minor"/>
      </rPr>
      <t>e</t>
    </r>
    <r>
      <rPr>
        <b/>
        <sz val="11"/>
        <rFont val="Calibri"/>
        <family val="2"/>
        <scheme val="minor"/>
      </rPr>
      <t xml:space="preserve"> Conferma</t>
    </r>
  </si>
  <si>
    <r>
      <t xml:space="preserve">Verificare che siano riportati i dati inseriti e che </t>
    </r>
    <r>
      <rPr>
        <b/>
        <sz val="11"/>
        <rFont val="Calibri"/>
        <family val="2"/>
        <scheme val="minor"/>
      </rPr>
      <t>NON sia presente</t>
    </r>
    <r>
      <rPr>
        <sz val="11"/>
        <rFont val="Calibri"/>
        <family val="2"/>
        <scheme val="minor"/>
      </rPr>
      <t xml:space="preserve"> la dicitura </t>
    </r>
    <r>
      <rPr>
        <b/>
        <sz val="11"/>
        <rFont val="Calibri"/>
        <family val="2"/>
        <scheme val="minor"/>
      </rPr>
      <t>Importo da Pagare Include Confisca per Equivalente</t>
    </r>
    <r>
      <rPr>
        <sz val="11"/>
        <rFont val="Calibri"/>
        <family val="2"/>
        <scheme val="minor"/>
      </rPr>
      <t xml:space="preserve"> </t>
    </r>
  </si>
  <si>
    <t>PAR. 2.7-048-07</t>
  </si>
  <si>
    <t>Verifica funzione Presa in carico procedimenti da fuori distretto</t>
  </si>
  <si>
    <t>Verifica: Verificare il corretto funzionamento della Presa in carico procedimenti da fuori distretto, in presenza di procedimenti SIGE collegati</t>
  </si>
  <si>
    <t xml:space="preserve">L'utente effettua l'accesso al sistema SIGE come Tribunale Ordinario, ricerca un procedimento SIEP da Altra BDI, lo prende in carico e iscrive un procedimento SIGE, collegandolo a  quello SIEP                       </t>
  </si>
  <si>
    <t>In una situazione come quella descritta, ricercando nuovamente il procedimento SIEP da altra BDI, da qualsiasi sottosistema, la presa in carico andava in errore.</t>
  </si>
  <si>
    <t xml:space="preserve"> Ricerca procedimento SIEP, lo stesso descritto in precedenza 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</si>
  <si>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Elenco Esiti Ricerca Fascicolo SIEP Altra BDI</t>
    </r>
  </si>
  <si>
    <t>Selezionare dalla lista il procedimento ricercato con esito ELEMENTO TROVATO</t>
  </si>
  <si>
    <r>
      <t xml:space="preserve">Visualizzazione pagina </t>
    </r>
    <r>
      <rPr>
        <b/>
        <sz val="11"/>
        <rFont val="Calibri"/>
        <family val="2"/>
        <scheme val="minor"/>
      </rPr>
      <t>Dettaglio Procedimento da Trasferire</t>
    </r>
  </si>
  <si>
    <r>
      <t xml:space="preserve"> Cliccare su </t>
    </r>
    <r>
      <rPr>
        <b/>
        <sz val="11"/>
        <rFont val="Calibri"/>
        <family val="2"/>
        <scheme val="minor"/>
      </rPr>
      <t>Conferma Trasferimento Procedimento</t>
    </r>
  </si>
  <si>
    <r>
      <t xml:space="preserve">Visualizzazione </t>
    </r>
    <r>
      <rPr>
        <b/>
        <sz val="11"/>
        <rFont val="Calibri"/>
        <family val="2"/>
        <scheme val="minor"/>
      </rPr>
      <t>Dettaglio Trasferimento Procedimento da Altra BDI</t>
    </r>
  </si>
  <si>
    <t>Verificare che i dati riportati non presentino alcun messaggio di errore</t>
  </si>
  <si>
    <t>PAR. 2.8-048-08</t>
  </si>
  <si>
    <t>Txxxxx (Tribunale Ordinario - Dibattimento)</t>
  </si>
  <si>
    <t>L'utente ricerca un procedimento su cui apre una istruttoria cumulo, ricerca uno/due procedimenti in cui sia presente un provvedimento di cumulo e/o una richiesta di applicazione benefici e li inserisce nella precedente istruttoria cumulo</t>
  </si>
  <si>
    <t xml:space="preserve">L'utente è posizionato nella videata Gestione Cumulo dell'istruttoria aperta </t>
  </si>
  <si>
    <r>
      <t xml:space="preserve">Cliccare su </t>
    </r>
    <r>
      <rPr>
        <b/>
        <sz val="11"/>
        <rFont val="Calibri"/>
        <family val="2"/>
        <scheme val="minor"/>
      </rPr>
      <t>Dati Finali Cumulo</t>
    </r>
  </si>
  <si>
    <r>
      <t xml:space="preserve">Visualizzazione pagina </t>
    </r>
    <r>
      <rPr>
        <b/>
        <sz val="11"/>
        <rFont val="Calibri"/>
        <family val="2"/>
        <scheme val="minor"/>
      </rPr>
      <t>Dati Finali Cumulo</t>
    </r>
  </si>
  <si>
    <t>Eseguire tutte le funzionalità presenti nella pagina, necessarie a emettere il provvedimento di cumulo</t>
  </si>
  <si>
    <r>
      <t>Visualizzazione pagina</t>
    </r>
    <r>
      <rPr>
        <b/>
        <sz val="11"/>
        <rFont val="Calibri"/>
        <family val="2"/>
        <scheme val="minor"/>
      </rPr>
      <t xml:space="preserve"> Dati Finali Cumulo - Emissione Provvedimento </t>
    </r>
  </si>
  <si>
    <r>
      <t xml:space="preserve">Compilare dati obbligatori della form, selezionare come Tipologia uno dei provvedimenti proposti nella combo box 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</si>
  <si>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 Dettaglio Provvedimento Determinazione Pene Concorrenti </t>
    </r>
  </si>
  <si>
    <r>
      <t xml:space="preserve">Cliccare su icona di </t>
    </r>
    <r>
      <rPr>
        <b/>
        <sz val="11"/>
        <rFont val="Calibri"/>
        <family val="2"/>
        <scheme val="minor"/>
      </rPr>
      <t>Stampa</t>
    </r>
  </si>
  <si>
    <t>Apertura di una nuova finestra del browser e successiva Visualizzazione a video del documento associato al Provvedimento</t>
  </si>
  <si>
    <t>Verificare che tra i dati riportati nella sezione del documento relativa all'elenco dei titoli coinvolti in cumulo siano riportati anche i provvedimenti di cumulo e le richieste di applicazione benefici per i rispettivi titoli di appartenenza</t>
  </si>
  <si>
    <t>Verifica Template provvedimento determinazione Pene Concorrenti</t>
  </si>
  <si>
    <t>Verifica: Verificare modifiche nella sezione Elenco Titoli coinvolti del provvedimento determinazione Pene Concorrenti</t>
  </si>
  <si>
    <t>L'utente ricerca l' istruttoria cumulo del precedente test, inserisce: una Richuesta del PM al GE di applicazione benefici con Anticipazione degli effetti, una altra richiesta di Revoca Beneficio con relativa decisione del GE; una richiesta alla Sorveglianza di Revoca l.a. con relativa decisione</t>
  </si>
  <si>
    <t>Verificare che nella sezione OSSERVA siano riportate le 3 Richeste del Pm al Ge e alla Sorveglianza, che per la richiesta con anticipazione degli effetti sia stata aggiornata la dicitura e che per le richieste con decisione, siano riportati gli estremi della decisione del GE e della Sorveglianza</t>
  </si>
  <si>
    <t>Verificare che la sezione CHIEDE, prima riportata subito dopo la sezione OSSERVA, sia stata spostata in altra parte del documento e che in essa siano riportate solo le richieste prive di decisione</t>
  </si>
  <si>
    <t>Verifica: Verificare modifiche nelle sezioni OSSERVA e CHIEDE del provvedimento determinazione Pene Concorrenti</t>
  </si>
  <si>
    <t>Verifica: Verificare modifiche nella sezione Pena Principale/Pena Espianda del provvedimento determinazione Pene Concorrenti</t>
  </si>
  <si>
    <t>L'utente ricerca l' istruttoria cumulo del precedente test, inserisce eventualmente altri elementi che influiscano su Pene Rideterminate</t>
  </si>
  <si>
    <r>
      <t>Verificare che nella sezione in cui è riportata la</t>
    </r>
    <r>
      <rPr>
        <b/>
        <sz val="11"/>
        <rFont val="Calibri"/>
        <family val="2"/>
        <scheme val="minor"/>
      </rPr>
      <t xml:space="preserve"> Pena Principale</t>
    </r>
    <r>
      <rPr>
        <sz val="11"/>
        <rFont val="Calibri"/>
        <family val="2"/>
        <scheme val="minor"/>
      </rPr>
      <t xml:space="preserve"> siano riportati tutti i quantum di pena da detrarre o aggiungere per arrivare alla </t>
    </r>
    <r>
      <rPr>
        <b/>
        <sz val="11"/>
        <rFont val="Calibri"/>
        <family val="2"/>
        <scheme val="minor"/>
      </rPr>
      <t>Pena residua complessiva</t>
    </r>
  </si>
  <si>
    <t>PAR. 2.9-048-09</t>
  </si>
  <si>
    <t xml:space="preserve">Verifica Template Prospetti </t>
  </si>
  <si>
    <t>Verifica: Verificare aggiornamento template Prospetto Provvedimenti Coinvolti e Prospetto Cumulo (proposta)</t>
  </si>
  <si>
    <t>L'utente ricerca l'istruttoria cumulo del precedente test, posizionandosi nella videata Gestione Cumulo dell'istruttoria selezionata</t>
  </si>
  <si>
    <r>
      <t xml:space="preserve">Cliccare su </t>
    </r>
    <r>
      <rPr>
        <b/>
        <sz val="11"/>
        <rFont val="Calibri"/>
        <family val="2"/>
        <scheme val="minor"/>
      </rPr>
      <t>Prospetto Provvedimenti Coinvolti</t>
    </r>
  </si>
  <si>
    <r>
      <t xml:space="preserve">Apertura di una nuova finestra del browser e successiva Visualizzazione a video del documento associato </t>
    </r>
    <r>
      <rPr>
        <b/>
        <sz val="11"/>
        <rFont val="Calibri"/>
        <family val="2"/>
        <scheme val="minor"/>
      </rPr>
      <t>SIEP_CUMULO_PROSPETTO_TITOLI.rtf</t>
    </r>
  </si>
  <si>
    <r>
      <t xml:space="preserve">Cliccare su </t>
    </r>
    <r>
      <rPr>
        <b/>
        <sz val="11"/>
        <rFont val="Calibri"/>
        <family val="2"/>
        <scheme val="minor"/>
      </rPr>
      <t>Prospetto Cumulo (proposta)</t>
    </r>
  </si>
  <si>
    <r>
      <t xml:space="preserve">Apertura di una nuova finestra del browser e successiva Visualizzazione a video del documento associato </t>
    </r>
    <r>
      <rPr>
        <b/>
        <sz val="11"/>
        <rFont val="Calibri"/>
        <family val="2"/>
        <scheme val="minor"/>
      </rPr>
      <t>SIEP_CUMULO_PROSPETTO_PROPOSTA.rtf</t>
    </r>
  </si>
  <si>
    <t>Verificare che le sezione CHIEDE,  OSSERVA, Pena Principale/Pena Residua siano state aggiornate conformemente a quanto riportato nei precedenti test TF008.UC01, TF008.UC02 e TF008.UC03</t>
  </si>
  <si>
    <t>PAR. 2.11-048-11</t>
  </si>
  <si>
    <t>Verifica Gestione procedimenti con pena sospesa all'interno del cumulo</t>
  </si>
  <si>
    <t>Verifica: Verificare la gestione di un procedimento con pena sospesa coinvolto in cumulo all'interno di una istruttoria cumulo</t>
  </si>
  <si>
    <t>L'utente è posizionanto nella videata Gestione Cumulo dell'istruttoria corrente</t>
  </si>
  <si>
    <t>L'utente ricerca l' istruttoria cumulo del precedente test, inserisce eventualmente un nuovo Titolo con pena detentiva e pecuniaria o seleziona un Titolo con la suddetta pena già presente in istruttoria</t>
  </si>
  <si>
    <t>selezionare la funzione Elenco Titoli Coinvolti</t>
  </si>
  <si>
    <r>
      <t xml:space="preserve">Visualizzazione pagina </t>
    </r>
    <r>
      <rPr>
        <b/>
        <sz val="11"/>
        <rFont val="Calibri"/>
        <family val="2"/>
        <scheme val="minor"/>
      </rPr>
      <t>Elenco Provvedimenti Esecutivi Coinvolti</t>
    </r>
  </si>
  <si>
    <r>
      <t>Visualizzazione pagina</t>
    </r>
    <r>
      <rPr>
        <b/>
        <sz val="11"/>
        <rFont val="Calibri"/>
        <family val="2"/>
        <scheme val="minor"/>
      </rPr>
      <t xml:space="preserve"> Gestione Dati Analitici</t>
    </r>
  </si>
  <si>
    <r>
      <t xml:space="preserve">sulla riga del Titolo di interesse cliccare su icona </t>
    </r>
    <r>
      <rPr>
        <b/>
        <sz val="11"/>
        <rFont val="Calibri"/>
        <family val="2"/>
        <scheme val="minor"/>
      </rPr>
      <t>Dettaglio Dati Analitici</t>
    </r>
  </si>
  <si>
    <r>
      <t xml:space="preserve">Cliccare su voce </t>
    </r>
    <r>
      <rPr>
        <b/>
        <sz val="11"/>
        <rFont val="Calibri"/>
        <family val="2"/>
        <scheme val="minor"/>
      </rPr>
      <t>Dati Analitici</t>
    </r>
  </si>
  <si>
    <r>
      <t xml:space="preserve">Visualizzazione pagina </t>
    </r>
    <r>
      <rPr>
        <b/>
        <sz val="11"/>
        <rFont val="Calibri"/>
        <family val="2"/>
        <scheme val="minor"/>
      </rPr>
      <t>Gestione Dati Analitici con elenco funzionalità disponibili</t>
    </r>
  </si>
  <si>
    <r>
      <t xml:space="preserve">Cliccare su voce </t>
    </r>
    <r>
      <rPr>
        <b/>
        <sz val="11"/>
        <rFont val="Calibri"/>
        <family val="2"/>
        <scheme val="minor"/>
      </rPr>
      <t>Benefici (disposti in sentenza)</t>
    </r>
  </si>
  <si>
    <r>
      <t xml:space="preserve">Visualizzazione pagina </t>
    </r>
    <r>
      <rPr>
        <b/>
        <sz val="11"/>
        <rFont val="Calibri"/>
        <family val="2"/>
        <scheme val="minor"/>
      </rPr>
      <t>Elenco Benefici</t>
    </r>
  </si>
  <si>
    <r>
      <t xml:space="preserve">Cliccare su voce </t>
    </r>
    <r>
      <rPr>
        <b/>
        <sz val="11"/>
        <rFont val="Calibri"/>
        <family val="2"/>
        <scheme val="minor"/>
      </rPr>
      <t>Inserisci Pena Sospesa - Non menzione</t>
    </r>
  </si>
  <si>
    <r>
      <t xml:space="preserve">Visualizzazione pagina </t>
    </r>
    <r>
      <rPr>
        <b/>
        <sz val="11"/>
        <rFont val="Calibri"/>
        <family val="2"/>
        <scheme val="minor"/>
      </rPr>
      <t>Inserimento Beneficio in sentenza</t>
    </r>
  </si>
  <si>
    <r>
      <t xml:space="preserve">Compilare i campi della form selezionando nel Tipo sospensione, </t>
    </r>
    <r>
      <rPr>
        <b/>
        <sz val="11"/>
        <rFont val="Calibri"/>
        <family val="2"/>
        <scheme val="minor"/>
      </rPr>
      <t>la sospensione dell'intera pena</t>
    </r>
    <r>
      <rPr>
        <sz val="11"/>
        <rFont val="Calibri"/>
        <family val="2"/>
        <scheme val="minor"/>
      </rPr>
      <t xml:space="preserve">, indicare la durata, l'eventuale motivazione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</si>
  <si>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>Dettaglio Beneficio</t>
    </r>
  </si>
  <si>
    <r>
      <t xml:space="preserve">Cliccare su </t>
    </r>
    <r>
      <rPr>
        <b/>
        <sz val="11"/>
        <rFont val="Calibri"/>
        <family val="2"/>
        <scheme val="minor"/>
      </rPr>
      <t>Anno/Numero Istruttoria</t>
    </r>
    <r>
      <rPr>
        <sz val="11"/>
        <rFont val="Calibri"/>
        <family val="2"/>
        <scheme val="minor"/>
      </rPr>
      <t xml:space="preserve"> e nella successiva form </t>
    </r>
    <r>
      <rPr>
        <b/>
        <sz val="11"/>
        <rFont val="Calibri"/>
        <family val="2"/>
        <scheme val="minor"/>
      </rPr>
      <t>Dati Finali Cumulo</t>
    </r>
  </si>
  <si>
    <r>
      <t xml:space="preserve">Cliccare su voce </t>
    </r>
    <r>
      <rPr>
        <b/>
        <sz val="11"/>
        <rFont val="Calibri"/>
        <family val="2"/>
        <scheme val="minor"/>
      </rPr>
      <t>Pene Rideterminate</t>
    </r>
    <r>
      <rPr>
        <sz val="11"/>
        <rFont val="Calibri"/>
        <family val="2"/>
        <scheme val="minor"/>
      </rPr>
      <t xml:space="preserve"> e sulla successiva form cliccare su icona </t>
    </r>
    <r>
      <rPr>
        <b/>
        <sz val="11"/>
        <rFont val="Calibri"/>
        <family val="2"/>
        <scheme val="minor"/>
      </rPr>
      <t>Modifica</t>
    </r>
  </si>
  <si>
    <r>
      <t xml:space="preserve">Visualizzazione pagina </t>
    </r>
    <r>
      <rPr>
        <b/>
        <sz val="11"/>
        <rFont val="Calibri"/>
        <family val="2"/>
        <scheme val="minor"/>
      </rPr>
      <t>Dettaglio  Dati Finali Cumulo - Pene Determinate in cumulo</t>
    </r>
  </si>
  <si>
    <t>9</t>
  </si>
  <si>
    <r>
      <t>Cliccare su voce link</t>
    </r>
    <r>
      <rPr>
        <b/>
        <sz val="11"/>
        <rFont val="Calibri"/>
        <family val="2"/>
        <scheme val="minor"/>
      </rPr>
      <t xml:space="preserve"> Dettaglio della pena </t>
    </r>
  </si>
  <si>
    <r>
      <t xml:space="preserve">Visualizzazione pop-up </t>
    </r>
    <r>
      <rPr>
        <b/>
        <sz val="11"/>
        <rFont val="Calibri"/>
        <family val="2"/>
        <scheme val="minor"/>
      </rPr>
      <t>Riepilogo delle Pene</t>
    </r>
  </si>
  <si>
    <r>
      <t>Verificare che, nella sezione Pena Principale, il Titolo con pena sospesa e i relativi quantum di pena siano</t>
    </r>
    <r>
      <rPr>
        <b/>
        <sz val="11"/>
        <rFont val="Calibri"/>
        <family val="2"/>
        <scheme val="minor"/>
      </rPr>
      <t xml:space="preserve"> riportati in grigio</t>
    </r>
    <r>
      <rPr>
        <sz val="11"/>
        <rFont val="Calibri"/>
        <family val="2"/>
        <scheme val="minor"/>
      </rPr>
      <t xml:space="preserve"> e che </t>
    </r>
    <r>
      <rPr>
        <b/>
        <sz val="11"/>
        <rFont val="Calibri"/>
        <family val="2"/>
        <scheme val="minor"/>
      </rPr>
      <t>non vengano sommati nel Totale Pene Temporanee</t>
    </r>
    <r>
      <rPr>
        <sz val="11"/>
        <rFont val="Calibri"/>
        <family val="2"/>
        <scheme val="minor"/>
      </rPr>
      <t xml:space="preserve">. Inoltre puntando il mouse sull'iconcina </t>
    </r>
    <r>
      <rPr>
        <b/>
        <sz val="11"/>
        <rFont val="Calibri"/>
        <family val="2"/>
        <scheme val="minor"/>
      </rPr>
      <t>i,</t>
    </r>
    <r>
      <rPr>
        <sz val="11"/>
        <rFont val="Calibri"/>
        <family val="2"/>
        <scheme val="minor"/>
      </rPr>
      <t xml:space="preserve"> presente accanto agli estremi del Titolo, appaia la motivazione della sospensione </t>
    </r>
  </si>
  <si>
    <t>PAR. 2.12-048-12</t>
  </si>
  <si>
    <t>Verifica Gestione Incongruenza dei dati sulla sentenza in continuazione   (Cumulo)</t>
  </si>
  <si>
    <t>Verifica: Verificare gestione Incongruenza dei dati sulla sentenza in continuazione (Cumulo)</t>
  </si>
  <si>
    <t>L'utente ricerca l' istruttoria cumulo del precedente test, inserisce eventualmente un nuovo Titolo  o seleziona un Titolo già presente in istruttoria</t>
  </si>
  <si>
    <r>
      <t xml:space="preserve">Cliccare su voce </t>
    </r>
    <r>
      <rPr>
        <b/>
        <sz val="11"/>
        <rFont val="Calibri"/>
        <family val="2"/>
        <scheme val="minor"/>
      </rPr>
      <t>Pena Pricipale</t>
    </r>
  </si>
  <si>
    <r>
      <t xml:space="preserve">Visualizzazione pagina </t>
    </r>
    <r>
      <rPr>
        <b/>
        <sz val="11"/>
        <rFont val="Calibri"/>
        <family val="2"/>
        <scheme val="minor"/>
      </rPr>
      <t>Pena Complessiva relativa al Titolo Cumulato</t>
    </r>
  </si>
  <si>
    <r>
      <t xml:space="preserve">Cliccare su voce </t>
    </r>
    <r>
      <rPr>
        <b/>
        <sz val="11"/>
        <rFont val="Calibri"/>
        <family val="2"/>
        <scheme val="minor"/>
      </rPr>
      <t>Inserisci Ulteriore Continuazione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</si>
  <si>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Inserimento Continuazioni con altre sentenze (Cumulo)</t>
    </r>
  </si>
  <si>
    <r>
      <t xml:space="preserve">Visualizzazione pagina </t>
    </r>
    <r>
      <rPr>
        <b/>
        <sz val="11"/>
        <rFont val="Calibri"/>
        <family val="2"/>
        <scheme val="minor"/>
      </rPr>
      <t>Dettaglio Pena Complessiva relativa al Titolo Cumulato</t>
    </r>
    <r>
      <rPr>
        <sz val="11"/>
        <rFont val="Calibri"/>
        <family val="2"/>
        <scheme val="minor"/>
      </rPr>
      <t xml:space="preserve">    con presenza di alert accanto alla continuazione</t>
    </r>
  </si>
  <si>
    <r>
      <t xml:space="preserve">Compilare i campi della form selezionando nel Tipo continuazione, </t>
    </r>
    <r>
      <rPr>
        <b/>
        <sz val="11"/>
        <rFont val="Calibri"/>
        <family val="2"/>
        <scheme val="minor"/>
      </rPr>
      <t>Pena complessiva ritenuta la continuazione</t>
    </r>
    <r>
      <rPr>
        <sz val="11"/>
        <rFont val="Calibri"/>
        <family val="2"/>
        <scheme val="minor"/>
      </rPr>
      <t xml:space="preserve">, gli estremi di un titolo non coinvolto in cumulo e </t>
    </r>
    <r>
      <rPr>
        <b/>
        <sz val="11"/>
        <rFont val="Calibri"/>
        <family val="2"/>
        <scheme val="minor"/>
      </rPr>
      <t>Confermare</t>
    </r>
  </si>
  <si>
    <r>
      <t xml:space="preserve">Verificare che sia presente il seguente alert </t>
    </r>
    <r>
      <rPr>
        <sz val="11"/>
        <color rgb="FFFF0000"/>
        <rFont val="Calibri"/>
        <family val="2"/>
        <scheme val="minor"/>
      </rPr>
      <t xml:space="preserve"> (*) Attenzione! Alcune Continuazioni non sono correttamente associate a un titolo in istruttoria. Selezionare 'modifica' per effettuare l'associazione
Sentenza del 01-01-2022 - CAP FIRENZE (2022/89 PM di TORINO)
Tipo Continuazione: Pena Complessiva ritenuta la continuazione, Sentenza: 2021/66 del 10-10-2021, Tribunale Ordinario di TORINO </t>
    </r>
    <r>
      <rPr>
        <b/>
        <u/>
        <sz val="11"/>
        <color rgb="FFFF0000"/>
        <rFont val="Calibri"/>
        <family val="2"/>
        <scheme val="minor"/>
      </rPr>
      <t>Modifica Continuazione</t>
    </r>
  </si>
  <si>
    <r>
      <t xml:space="preserve">Cliccare su link </t>
    </r>
    <r>
      <rPr>
        <b/>
        <u/>
        <sz val="11"/>
        <color rgb="FFFF0000"/>
        <rFont val="Calibri"/>
        <family val="2"/>
        <scheme val="minor"/>
      </rPr>
      <t>Modifica Continuazione</t>
    </r>
    <r>
      <rPr>
        <sz val="11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</si>
  <si>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Modifica Continuazioni con altre sentenze Relative al Titolo Cumulato </t>
    </r>
  </si>
  <si>
    <r>
      <t xml:space="preserve">Cliccare su link </t>
    </r>
    <r>
      <rPr>
        <b/>
        <sz val="11"/>
        <rFont val="Calibri"/>
        <family val="2"/>
        <scheme val="minor"/>
      </rPr>
      <t>Selezione Titolo in continuazione</t>
    </r>
    <r>
      <rPr>
        <sz val="11"/>
        <rFont val="Calibri"/>
        <family val="2"/>
        <scheme val="minor"/>
      </rPr>
      <t xml:space="preserve">, dalla popup selezionare uno dei titoli coinvolti in cumulo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</si>
  <si>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Pena Complessiva relativa al Titolo Cumulato  </t>
    </r>
    <r>
      <rPr>
        <sz val="11"/>
        <rFont val="Calibri"/>
        <family val="2"/>
        <scheme val="minor"/>
      </rPr>
      <t xml:space="preserve">  </t>
    </r>
  </si>
  <si>
    <t>10</t>
  </si>
  <si>
    <t>Verificare che non sia più presente il precedente messaggio di Alert relativo alle continuazioni</t>
  </si>
  <si>
    <t>PAR. 2.13-048-13</t>
  </si>
  <si>
    <t xml:space="preserve">Verifica Atti pervenuti per competenza al cumulo </t>
  </si>
  <si>
    <t xml:space="preserve">Verifica: Verificare aggiornamenti funzione Atti pervenuti per competenza al cumulo </t>
  </si>
  <si>
    <t>L'utente è nella Home Page di SIEP</t>
  </si>
  <si>
    <r>
      <rPr>
        <sz val="11"/>
        <rFont val="Calibri"/>
        <family val="2"/>
        <scheme val="minor"/>
      </rPr>
      <t>selezionare la funzione</t>
    </r>
    <r>
      <rPr>
        <b/>
        <sz val="11"/>
        <rFont val="Calibri"/>
        <family val="2"/>
        <scheme val="minor"/>
      </rPr>
      <t xml:space="preserve"> Presa in carico Provvedimenti » Atti Ricevuti per Competenza » Elenco atti ricevuti </t>
    </r>
    <r>
      <rPr>
        <sz val="11"/>
        <rFont val="Calibri"/>
        <family val="2"/>
        <scheme val="minor"/>
      </rPr>
      <t xml:space="preserve">oppure cliccare sull'icona </t>
    </r>
    <r>
      <rPr>
        <b/>
        <sz val="11"/>
        <rFont val="Calibri"/>
        <family val="2"/>
        <scheme val="minor"/>
      </rPr>
      <t xml:space="preserve">AP </t>
    </r>
    <r>
      <rPr>
        <sz val="11"/>
        <rFont val="Calibri"/>
        <family val="2"/>
        <scheme val="minor"/>
      </rPr>
      <t>nell'eleco funzioni veloci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</si>
  <si>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Lista Atti Ricevuti per Competenza - in attesa di presa in carico    
</t>
    </r>
  </si>
  <si>
    <t xml:space="preserve">Verificare che siano presenti i seguenti filtri di ricerca:               intervallo Date Ricezione (preimpostato sugli ultimi 2 mesi, ma modificabile); Ufficio Mittente; Procedimento Trasmesso; Procedimento cumulante; Soggetto (Cognome/nome).              Siano inoltre riportati gli estremi dei procedimenti pervenuti negli ultimi 2 mesi (se presenti nella base dati)                                       </t>
  </si>
  <si>
    <r>
      <t xml:space="preserve">Modificare data ricezione iniziale, cliccando ad esempio su  </t>
    </r>
    <r>
      <rPr>
        <b/>
        <sz val="11"/>
        <rFont val="Calibri"/>
        <family val="2"/>
        <scheme val="minor"/>
      </rPr>
      <t xml:space="preserve">Ultimo Anno </t>
    </r>
    <r>
      <rPr>
        <sz val="11"/>
        <rFont val="Calibri"/>
        <family val="2"/>
        <scheme val="minor"/>
      </rPr>
      <t xml:space="preserve">e cliccare su </t>
    </r>
    <r>
      <rPr>
        <b/>
        <sz val="11"/>
        <rFont val="Calibri"/>
        <family val="2"/>
        <scheme val="minor"/>
      </rPr>
      <t>Ricerca</t>
    </r>
  </si>
  <si>
    <t xml:space="preserve">Verificare che l'elenco dei procedimenti si arricchisca di nuovi elementi                                       </t>
  </si>
  <si>
    <r>
      <t xml:space="preserve">Valorizzare i campi Anno/Numero di Procedimento Trasmesso, indicandone uno presente nell'eleco a video, e cliccare su </t>
    </r>
    <r>
      <rPr>
        <b/>
        <sz val="11"/>
        <rFont val="Calibri"/>
        <family val="2"/>
        <scheme val="minor"/>
      </rPr>
      <t>Ricerca</t>
    </r>
  </si>
  <si>
    <t>Verificare che l'elenco dei procedimenti riporti solo il procedimento trasmesso indicato</t>
  </si>
  <si>
    <t>Cliccare sull'icona di Dettaglio del procedimento in elenco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</si>
  <si>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Trasmissione Competenza Ricevuta
</t>
    </r>
  </si>
  <si>
    <t>Verificare che i dati riportati siano quelli del procedimento selezionato</t>
  </si>
  <si>
    <t>PAR. 2.14-048-14</t>
  </si>
  <si>
    <t xml:space="preserve">Verifica gestione delle annotazioni di trasmissione e presa in carico </t>
  </si>
  <si>
    <t xml:space="preserve">Verifica: Verificare gestione delle annotazioni di trasmissione e presa in carico </t>
  </si>
  <si>
    <r>
      <rPr>
        <sz val="11"/>
        <rFont val="Calibri"/>
        <family val="2"/>
        <scheme val="minor"/>
      </rPr>
      <t>selezionare la funzione</t>
    </r>
    <r>
      <rPr>
        <b/>
        <sz val="11"/>
        <rFont val="Calibri"/>
        <family val="2"/>
        <scheme val="minor"/>
      </rPr>
      <t xml:space="preserve"> Istruttorie/Richieste » Riscontro Trasmissioni/Solleciti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</si>
  <si>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Riscontro Trasmissioni/Solleciti    
</t>
    </r>
  </si>
  <si>
    <t>PAR. 2.15-048-15</t>
  </si>
  <si>
    <t>Verifica Trasferimento e chiusura istruttoria cumulo</t>
  </si>
  <si>
    <t>Verifica: Verificare Trasferimento e chiusura istruttoria cumulo</t>
  </si>
  <si>
    <t>L'utente è nella pagina Gestione Cumulo di una delle istruttorie aperte dei precedenti test</t>
  </si>
  <si>
    <r>
      <rPr>
        <sz val="11"/>
        <rFont val="Calibri"/>
        <family val="2"/>
        <scheme val="minor"/>
      </rPr>
      <t xml:space="preserve">selezionare la funzione </t>
    </r>
    <r>
      <rPr>
        <b/>
        <sz val="11"/>
        <rFont val="Calibri"/>
        <family val="2"/>
        <scheme val="minor"/>
      </rPr>
      <t xml:space="preserve">Trasferimento e Chiusura Istruttoria </t>
    </r>
  </si>
  <si>
    <r>
      <t xml:space="preserve">Visualizzazione pagina </t>
    </r>
    <r>
      <rPr>
        <b/>
        <sz val="11"/>
        <rFont val="Calibri"/>
        <family val="2"/>
        <scheme val="minor"/>
      </rPr>
      <t>Trasferimento Istruttoria Cumulo</t>
    </r>
  </si>
  <si>
    <r>
      <t>Digitare</t>
    </r>
    <r>
      <rPr>
        <b/>
        <sz val="11"/>
        <rFont val="Calibri"/>
        <family val="2"/>
        <scheme val="minor"/>
      </rPr>
      <t xml:space="preserve"> Anno e Numero</t>
    </r>
    <r>
      <rPr>
        <sz val="11"/>
        <rFont val="Calibri"/>
        <family val="2"/>
        <scheme val="minor"/>
      </rPr>
      <t xml:space="preserve"> del procedimento proprio ufficio su cui si vogliono trasferire tutti i dati dell'istruttoria corrente e su cui non è già aperta una istruttoria cumulo, e cliccare su</t>
    </r>
    <r>
      <rPr>
        <b/>
        <sz val="11"/>
        <rFont val="Calibri"/>
        <family val="2"/>
        <scheme val="minor"/>
      </rPr>
      <t xml:space="preserve"> Conferma</t>
    </r>
  </si>
  <si>
    <r>
      <t xml:space="preserve">il sistema dopo aver verificato l'esistenza del procedimento indicato visualizza la pagina </t>
    </r>
    <r>
      <rPr>
        <b/>
        <sz val="11"/>
        <rFont val="Calibri"/>
        <family val="2"/>
        <scheme val="minor"/>
      </rPr>
      <t>Trasferimento Istruttoria Cumulo</t>
    </r>
    <r>
      <rPr>
        <sz val="11"/>
        <rFont val="Calibri"/>
        <family val="2"/>
        <scheme val="minor"/>
      </rPr>
      <t xml:space="preserve"> in cui è riportato </t>
    </r>
  </si>
  <si>
    <t>Verificare che è riportato l'elenco dei Titoli coinvolti in cumulo dell'istruttoria corrente e gli estremi del procedimento destinatario del trasferimento</t>
  </si>
  <si>
    <r>
      <t xml:space="preserve">Cliccare su tasto </t>
    </r>
    <r>
      <rPr>
        <b/>
        <sz val="11"/>
        <rFont val="Calibri"/>
        <family val="2"/>
        <scheme val="minor"/>
      </rPr>
      <t>Trasferisci Istruttoria</t>
    </r>
  </si>
  <si>
    <r>
      <t xml:space="preserve">Visualizzazione </t>
    </r>
    <r>
      <rPr>
        <b/>
        <sz val="11"/>
        <rFont val="Calibri"/>
        <family val="2"/>
        <scheme val="minor"/>
      </rPr>
      <t>messaggio per la Conferma</t>
    </r>
    <r>
      <rPr>
        <sz val="11"/>
        <rFont val="Calibri"/>
        <family val="2"/>
        <scheme val="minor"/>
      </rPr>
      <t xml:space="preserve"> a procedere al Trasferimento con tasti OK e Annulla</t>
    </r>
  </si>
  <si>
    <r>
      <t xml:space="preserve">Cliccare su tasto </t>
    </r>
    <r>
      <rPr>
        <b/>
        <sz val="11"/>
        <rFont val="Calibri"/>
        <family val="2"/>
        <scheme val="minor"/>
      </rPr>
      <t>OK</t>
    </r>
  </si>
  <si>
    <r>
      <t xml:space="preserve">Visualizzazione pagina </t>
    </r>
    <r>
      <rPr>
        <b/>
        <sz val="11"/>
        <rFont val="Calibri"/>
        <family val="2"/>
        <scheme val="minor"/>
      </rPr>
      <t>Esito Trasferimento Istruttoria Cumulo</t>
    </r>
  </si>
  <si>
    <r>
      <t xml:space="preserve">Verificare che i dati visualizzati corrispondano a quelli del procedimento da cui si è proceduto al trasferimento, che l'istruttoria trasferita risulti </t>
    </r>
    <r>
      <rPr>
        <b/>
        <sz val="11"/>
        <rFont val="Calibri"/>
        <family val="2"/>
        <scheme val="minor"/>
      </rPr>
      <t>Annullata e Chiusa</t>
    </r>
    <r>
      <rPr>
        <sz val="11"/>
        <rFont val="Calibri"/>
        <family val="2"/>
        <scheme val="minor"/>
      </rPr>
      <t xml:space="preserve"> per trasferimento sul fascicolo indicato, sia presente il tasto </t>
    </r>
    <r>
      <rPr>
        <b/>
        <sz val="11"/>
        <rFont val="Calibri"/>
        <family val="2"/>
        <scheme val="minor"/>
      </rPr>
      <t>Apri Istruttoria</t>
    </r>
  </si>
  <si>
    <r>
      <t xml:space="preserve">Cliccare su tasto </t>
    </r>
    <r>
      <rPr>
        <b/>
        <sz val="11"/>
        <rFont val="Calibri"/>
        <family val="2"/>
        <scheme val="minor"/>
      </rPr>
      <t>Apri Istruttoria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</si>
  <si>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Gestione Cumulo </t>
    </r>
    <r>
      <rPr>
        <sz val="11"/>
        <rFont val="Calibri"/>
        <family val="2"/>
        <scheme val="minor"/>
      </rPr>
      <t>dell'istruttoria aperta a seguito del trasferimento sul procedimento destinatario</t>
    </r>
  </si>
  <si>
    <t>Verificare che nella nuova istruttoria siano presenti tutti i Titoli esecutivi coinvoliti nella istruttoria trasferita</t>
  </si>
  <si>
    <r>
      <t xml:space="preserve">L'utente si trova nella pagina di  </t>
    </r>
    <r>
      <rPr>
        <b/>
        <sz val="11"/>
        <rFont val="Calibri"/>
        <family val="2"/>
        <scheme val="minor"/>
      </rPr>
      <t xml:space="preserve">Dettaglio Procedimento </t>
    </r>
    <r>
      <rPr>
        <sz val="11"/>
        <rFont val="Calibri"/>
        <family val="2"/>
        <scheme val="minor"/>
      </rPr>
      <t>da cui è stato effettuato il Trasferimento istruttoria</t>
    </r>
    <r>
      <rPr>
        <b/>
        <sz val="11"/>
        <rFont val="Calibri"/>
        <family val="2"/>
        <scheme val="minor"/>
      </rPr>
      <t xml:space="preserve"> </t>
    </r>
  </si>
  <si>
    <r>
      <t xml:space="preserve">Verificare che sul procedimento sia riportata la dicitura </t>
    </r>
    <r>
      <rPr>
        <b/>
        <sz val="11"/>
        <rFont val="Calibri"/>
        <family val="2"/>
        <scheme val="minor"/>
      </rPr>
      <t>Iscritto in Istruttoria Cumulo proprio Ufficio per assorbimento in cumulo del gg/mm/aaaa (titolo che determina la competenza  AAAA/NNNNNN)</t>
    </r>
  </si>
  <si>
    <r>
      <t xml:space="preserve">Verificare che sul procedimento l'ultimo evento sia </t>
    </r>
    <r>
      <rPr>
        <b/>
        <sz val="11"/>
        <rFont val="Calibri"/>
        <family val="2"/>
        <scheme val="minor"/>
      </rPr>
      <t>Trasmissione Iscrizione Atti in Istruttoria Cumulo Proprio Ufficio</t>
    </r>
  </si>
  <si>
    <t>L'utente ricerca un procedimento ancora pendente e lo trasmette sul procedimento con istruttoria cumulo aperta di uno dei precedenti test (Trasmissione per Competenza/Seguito Atti), poi lo prende in carico nella istruttoria cumulo.</t>
  </si>
  <si>
    <t xml:space="preserve">Verificare che siano presenti i seguenti filtri di ricerca:               intervallo Date Ricezione (preimpostato sugli ultimi 2 mesi, ma modificabile); Ufficio Mittente; Procedimento Trasmesso; Tipo operazione ( 3 check box. COMUNICAZIONE CUMULO PROCURE COMPETENTI, ESITO TRASFERIMENTO COMPETENZA, ESITO SEGUITO ATTI)             Siano inoltre riportati gli estremi dei procedimenti trasmessi negli ultimi 2 mesi, tra cui il procedimento iscritto in istruttoria                                  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</si>
  <si>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Riscontro Trasmissioni/Solleciti 
</t>
    </r>
  </si>
  <si>
    <t xml:space="preserve">Verificare che l'elenco dei procedimenti si arricchisca di nuovi elementi , se presenti nella base dati                                     </t>
  </si>
  <si>
    <r>
      <t xml:space="preserve">Valorizzare i campi Anno/Numero di Procedimento Trasmesso, indicandone uno presente nell'elenco a video, e cliccare su </t>
    </r>
    <r>
      <rPr>
        <b/>
        <sz val="11"/>
        <rFont val="Calibri"/>
        <family val="2"/>
        <scheme val="minor"/>
      </rPr>
      <t>Ricerca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</si>
  <si>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Riscontro Trasmissioni/Solleciti    
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</si>
  <si>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Esito Trasmissione Competenza
</t>
    </r>
  </si>
  <si>
    <r>
      <t xml:space="preserve">Verificare che oltre ai dettagli di sintesi della Trasmissione, siano presenti i tasti </t>
    </r>
    <r>
      <rPr>
        <b/>
        <sz val="11"/>
        <rFont val="Calibri"/>
        <family val="2"/>
        <scheme val="minor"/>
      </rPr>
      <t>Annotazione Esito, Seguito Atti, Esegui sollecito</t>
    </r>
  </si>
  <si>
    <t>Selezionare Annotazione Esito e nella successiva form annotare motivazione e Confermare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</si>
  <si>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ANNOTAZIONE ESITO ATTI TRASMISSIONI PER COMPETENZA (ex artt. 663 e 665 comma 4 c.p.p.) </t>
    </r>
    <r>
      <rPr>
        <sz val="11"/>
        <rFont val="Calibri"/>
        <family val="2"/>
        <scheme val="minor"/>
      </rPr>
      <t xml:space="preserve">  con icona di Validazione</t>
    </r>
    <r>
      <rPr>
        <b/>
        <sz val="11"/>
        <rFont val="Calibri"/>
        <family val="2"/>
        <scheme val="minor"/>
      </rPr>
      <t xml:space="preserve">
</t>
    </r>
  </si>
  <si>
    <r>
      <t xml:space="preserve">Cliccare su icona di </t>
    </r>
    <r>
      <rPr>
        <b/>
        <sz val="11"/>
        <rFont val="Calibri"/>
        <family val="2"/>
        <scheme val="minor"/>
      </rPr>
      <t>Validazione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</si>
  <si>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DETTAGLIO ANNOTAZIONE ESITO ATTI TRASMISSIONI PER COMPETENZA (ex artt. 663 e 665 comma 4 c.p.p.) </t>
    </r>
    <r>
      <rPr>
        <sz val="11"/>
        <rFont val="Calibri"/>
        <family val="2"/>
        <scheme val="minor"/>
      </rPr>
      <t xml:space="preserve">  </t>
    </r>
  </si>
  <si>
    <r>
      <t xml:space="preserve">Verificare che in </t>
    </r>
    <r>
      <rPr>
        <b/>
        <sz val="11"/>
        <rFont val="Calibri"/>
        <family val="2"/>
        <scheme val="minor"/>
      </rPr>
      <t xml:space="preserve">Riscontro Trasmissioni/Solleciti </t>
    </r>
    <r>
      <rPr>
        <sz val="11"/>
        <rFont val="Calibri"/>
        <family val="2"/>
        <scheme val="minor"/>
      </rPr>
      <t xml:space="preserve">il procedimento non sia più presente, che in Elenco Provvedimenti del PM sia presente l'evento </t>
    </r>
    <r>
      <rPr>
        <b/>
        <sz val="11"/>
        <rFont val="Calibri"/>
        <family val="2"/>
        <scheme val="minor"/>
      </rPr>
      <t xml:space="preserve">Annotazione Esito Trasmissione Atti per competenza (ex artt. 663 e 665 comma 4 c.p.p.) </t>
    </r>
  </si>
  <si>
    <t>PAR. 2.16-048-16</t>
  </si>
  <si>
    <t>Verifica Avviso Cartabia nei provvedimenti di cumulo</t>
  </si>
  <si>
    <t>Verifica: Verificare la presenza dell'Avviso Cartabia in tutti i provvedimenti di cumulo</t>
  </si>
  <si>
    <t>L'utente effettua l'accesso al sistema SIEP come Procura c/o Tribunale ed è posizionato sull'istruttoria cumulo del precedente Test</t>
  </si>
  <si>
    <t>Verificare che fra i reati di tutti i Titoli coinvolti in cumulo sia presente almeno uno con data commesso reato successivo al 30/12/2022. In caso di assenza provvede ad inserirlo su un Titolo esecutivo con la funzione Reati Commessi, presente in Dati Analitici</t>
  </si>
  <si>
    <r>
      <rPr>
        <sz val="11"/>
        <rFont val="Calibri"/>
        <family val="2"/>
        <scheme val="minor"/>
      </rPr>
      <t>selezionare la funzione</t>
    </r>
    <r>
      <rPr>
        <b/>
        <sz val="11"/>
        <rFont val="Calibri"/>
        <family val="2"/>
        <scheme val="minor"/>
      </rPr>
      <t xml:space="preserve"> Emissione Provvedimento in Dati Finali Cumulo</t>
    </r>
  </si>
  <si>
    <r>
      <t xml:space="preserve">Visualizzazione pagina </t>
    </r>
    <r>
      <rPr>
        <b/>
        <sz val="11"/>
        <rFont val="Calibri"/>
        <family val="2"/>
        <scheme val="minor"/>
      </rPr>
      <t>Dati Finali Cumulo - Emissione Provvedimento</t>
    </r>
  </si>
  <si>
    <t>Compilare dati obbligatori della form e Confermare</t>
  </si>
  <si>
    <r>
      <t>Visualizzazione pagina</t>
    </r>
    <r>
      <rPr>
        <b/>
        <sz val="11"/>
        <rFont val="Calibri"/>
        <family val="2"/>
        <scheme val="minor"/>
      </rPr>
      <t xml:space="preserve"> Dettaglio Provvedimento Determinazione Pene Concorrenti </t>
    </r>
  </si>
  <si>
    <t xml:space="preserve">Apertura di una nuova finestra del browser e successiva Visualizzazione a video del documento associato </t>
  </si>
  <si>
    <t xml:space="preserve">Verificare che nella parte finale del documento, prima della data emissione e della firma magistrato, sia riportata la seguente sezione, composta da 4 capoversi, i primi 2 sempre presenti, il terzo presente in caso di presenza di pena pecuniaria espianda, il quarto presente solo se il soggetto è femmina                                                                                                                                                                           </t>
  </si>
  <si>
    <t>PAR. 2.17-048-17</t>
  </si>
  <si>
    <t>Verifica Elenco Richieste del PM al GE</t>
  </si>
  <si>
    <t>Verifica: Verificare aggiornamento della funzione Elenco Richieste del PM al GE</t>
  </si>
  <si>
    <t>L'utente verifica che nell'istruttoria siano già presenti delle Richieste del PM al GE o provvede ad inserirle</t>
  </si>
  <si>
    <r>
      <t xml:space="preserve">Visualizzazione pagina </t>
    </r>
    <r>
      <rPr>
        <b/>
        <sz val="11"/>
        <color theme="1"/>
        <rFont val="Calibri"/>
        <family val="2"/>
        <scheme val="minor"/>
      </rPr>
      <t xml:space="preserve">Gestione Cumulo </t>
    </r>
  </si>
  <si>
    <r>
      <t xml:space="preserve">Cliccare su </t>
    </r>
    <r>
      <rPr>
        <b/>
        <sz val="11"/>
        <rFont val="Calibri"/>
        <family val="2"/>
        <scheme val="minor"/>
      </rPr>
      <t>Richieste del PM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</si>
  <si>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Richieste del PM
</t>
    </r>
  </si>
  <si>
    <r>
      <t xml:space="preserve">Cliccare su </t>
    </r>
    <r>
      <rPr>
        <b/>
        <sz val="11"/>
        <rFont val="Calibri"/>
        <family val="2"/>
        <scheme val="minor"/>
      </rPr>
      <t>Richieste al Giudice dell'Esecuzione</t>
    </r>
  </si>
  <si>
    <r>
      <t xml:space="preserve">Visualizzazione pagina </t>
    </r>
    <r>
      <rPr>
        <b/>
        <sz val="11"/>
        <rFont val="Calibri"/>
        <family val="2"/>
        <scheme val="minor"/>
      </rPr>
      <t>Richieste del PM al GE</t>
    </r>
    <r>
      <rPr>
        <sz val="11"/>
        <rFont val="Calibri"/>
        <family val="2"/>
        <scheme val="minor"/>
      </rPr>
      <t xml:space="preserve">
</t>
    </r>
  </si>
  <si>
    <t xml:space="preserve">Verificare che nella colonna Titoli dell'Elenco delle Richieste già presenti nell'istruttoria oltre all'anno/Numero sia presente anche la data di emissione </t>
  </si>
  <si>
    <t>Verifica Dettaglio Richiesta del PM inviata</t>
  </si>
  <si>
    <t>Verifica: Verificare aggiornamento della funzione Elenco Dettaglio Richiesta del PM inviata</t>
  </si>
  <si>
    <t>L'utente verifica che nell'istruttoria siano già presenti delle Richieste del PM al GE inviate o provvede ad inserirle</t>
  </si>
  <si>
    <r>
      <t xml:space="preserve">Cliccare su </t>
    </r>
    <r>
      <rPr>
        <b/>
        <sz val="11"/>
        <rFont val="Calibri"/>
        <family val="2"/>
        <scheme val="minor"/>
      </rPr>
      <t>Visualizza Richieste Inviate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</si>
  <si>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Richieste del PM Inviate al G.E.</t>
    </r>
    <r>
      <rPr>
        <sz val="11"/>
        <rFont val="Calibri"/>
        <family val="2"/>
        <scheme val="minor"/>
      </rPr>
      <t xml:space="preserve">
</t>
    </r>
  </si>
  <si>
    <r>
      <t xml:space="preserve">Cliccare su icona </t>
    </r>
    <r>
      <rPr>
        <b/>
        <sz val="11"/>
        <rFont val="Calibri"/>
        <family val="2"/>
        <scheme val="minor"/>
      </rPr>
      <t>Dettaglio</t>
    </r>
    <r>
      <rPr>
        <sz val="11"/>
        <rFont val="Calibri"/>
        <family val="2"/>
        <scheme val="minor"/>
      </rPr>
      <t xml:space="preserve"> per una delle richieste in Elenco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</si>
  <si>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Dettaglio Richiesta del PM Inviata  </t>
    </r>
    <r>
      <rPr>
        <sz val="11"/>
        <rFont val="Calibri"/>
        <family val="2"/>
        <scheme val="minor"/>
      </rPr>
      <t xml:space="preserve">
</t>
    </r>
  </si>
  <si>
    <r>
      <t xml:space="preserve">Verificare che nella intestazione della funzione sia presente, oltre alle icone Torna Indietro e Stampa, anche l'icona di </t>
    </r>
    <r>
      <rPr>
        <b/>
        <sz val="11"/>
        <rFont val="Calibri"/>
        <family val="2"/>
        <scheme val="minor"/>
      </rPr>
      <t>Validazione</t>
    </r>
  </si>
  <si>
    <r>
      <t xml:space="preserve">Cliccare su icona </t>
    </r>
    <r>
      <rPr>
        <b/>
        <sz val="11"/>
        <rFont val="Calibri"/>
        <family val="2"/>
        <scheme val="minor"/>
      </rPr>
      <t>Validazione</t>
    </r>
  </si>
  <si>
    <r>
      <t>Visualizzazione messaggio '</t>
    </r>
    <r>
      <rPr>
        <b/>
        <sz val="11"/>
        <rFont val="Calibri"/>
        <family val="2"/>
        <scheme val="minor"/>
      </rPr>
      <t>Aggiornamento Documento avvenuto Correttamen</t>
    </r>
    <r>
      <rPr>
        <sz val="11"/>
        <rFont val="Calibri"/>
        <family val="2"/>
        <scheme val="minor"/>
      </rPr>
      <t xml:space="preserve">te' e successiva Visualizzazione pagina  </t>
    </r>
    <r>
      <rPr>
        <b/>
        <sz val="11"/>
        <rFont val="Calibri"/>
        <family val="2"/>
        <scheme val="minor"/>
      </rPr>
      <t>Dettaglio Richiesta del PM Inviata</t>
    </r>
    <r>
      <rPr>
        <sz val="11"/>
        <rFont val="Calibri"/>
        <family val="2"/>
        <scheme val="minor"/>
      </rPr>
      <t xml:space="preserve">  
</t>
    </r>
  </si>
  <si>
    <r>
      <t xml:space="preserve">Verificare che nella form sia presente solo l'icona </t>
    </r>
    <r>
      <rPr>
        <b/>
        <sz val="11"/>
        <rFont val="Calibri"/>
        <family val="2"/>
        <scheme val="minor"/>
      </rPr>
      <t>Torna Indietro</t>
    </r>
  </si>
  <si>
    <t>Verifica Presofferto in Pene Rideterminate</t>
  </si>
  <si>
    <t>Verifica: Verificare aggiornamento visualizzazione presofferto nella funzione Pene Rideterminate in cumulo</t>
  </si>
  <si>
    <t>L'utente verifica che nell'istruttoria siano già presenti dei periodi di presofferto, anche con periodo continuato, o provvede ad inserirli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</si>
  <si>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Dati Finali Cumulo
</t>
    </r>
  </si>
  <si>
    <r>
      <t xml:space="preserve">Cliccare su </t>
    </r>
    <r>
      <rPr>
        <b/>
        <sz val="11"/>
        <rFont val="Calibri"/>
        <family val="2"/>
        <scheme val="minor"/>
      </rPr>
      <t>Pene Rideterminate</t>
    </r>
  </si>
  <si>
    <r>
      <t xml:space="preserve">Visualizzazione pagina </t>
    </r>
    <r>
      <rPr>
        <b/>
        <sz val="11"/>
        <rFont val="Calibri"/>
        <family val="2"/>
        <scheme val="minor"/>
      </rPr>
      <t>Dati Finali Cumulo - Pene Determinate in cumulo</t>
    </r>
    <r>
      <rPr>
        <sz val="11"/>
        <rFont val="Calibri"/>
        <family val="2"/>
        <scheme val="minor"/>
      </rPr>
      <t xml:space="preserve">
</t>
    </r>
  </si>
  <si>
    <r>
      <t xml:space="preserve">Cliccare su </t>
    </r>
    <r>
      <rPr>
        <b/>
        <sz val="11"/>
        <rFont val="Calibri"/>
        <family val="2"/>
        <scheme val="minor"/>
      </rPr>
      <t>icona di Modifica</t>
    </r>
    <r>
      <rPr>
        <sz val="11"/>
        <rFont val="Calibri"/>
        <family val="2"/>
        <scheme val="minor"/>
      </rPr>
      <t xml:space="preserve"> e poi su link </t>
    </r>
    <r>
      <rPr>
        <b/>
        <sz val="11"/>
        <rFont val="Calibri"/>
        <family val="2"/>
        <scheme val="minor"/>
      </rPr>
      <t>Dettaglio della Pena</t>
    </r>
  </si>
  <si>
    <r>
      <t xml:space="preserve">Apertura popup con Visualizzazione pagina </t>
    </r>
    <r>
      <rPr>
        <b/>
        <sz val="11"/>
        <rFont val="Calibri"/>
        <family val="2"/>
        <scheme val="minor"/>
      </rPr>
      <t xml:space="preserve"> Riepilogo delle Pena</t>
    </r>
    <r>
      <rPr>
        <sz val="11"/>
        <rFont val="Calibri"/>
        <family val="2"/>
        <scheme val="minor"/>
      </rPr>
      <t xml:space="preserve">
</t>
    </r>
  </si>
  <si>
    <r>
      <t xml:space="preserve">Verificare che nella sezione </t>
    </r>
    <r>
      <rPr>
        <b/>
        <sz val="11"/>
        <rFont val="Calibri"/>
        <family val="2"/>
        <scheme val="minor"/>
      </rPr>
      <t xml:space="preserve">Dedotti i Periodi di carcerazione sofferti: </t>
    </r>
    <r>
      <rPr>
        <sz val="11"/>
        <rFont val="Calibri"/>
        <family val="2"/>
        <scheme val="minor"/>
      </rPr>
      <t>i periodi risultino ordinati in maniera crescente sulla data inizio; i periodi che eventualmente si sovrappongono su Titoli esecutivi diversi vengo evidenziati in rosso; se sullo stesso titoli vi sono periodi continuativi sono evidenziati con la dicitura Periodo Continuativo</t>
    </r>
  </si>
  <si>
    <t>UC04</t>
  </si>
  <si>
    <t>Verifica inserimento Alert misure sicurezza in Dati Finali Cumulo</t>
  </si>
  <si>
    <t>Verifica: Verificare presenza alert in Dati Finali Cumulo su presenza Misure sicurezza con mancata indicazione gestionale da parte operatore</t>
  </si>
  <si>
    <t>L'utente verifica che nell'istruttoria sia già presente almeno una Misure Sicurezza o provvede ad inserirla</t>
  </si>
  <si>
    <r>
      <t xml:space="preserve">Verificare presenza triangolo giallo su tasto Ulteriori Sanzioni e dicitura in rosso  </t>
    </r>
    <r>
      <rPr>
        <b/>
        <sz val="11"/>
        <color rgb="FFFF0000"/>
        <rFont val="Calibri"/>
        <family val="2"/>
        <scheme val="minor"/>
      </rPr>
      <t>(*)  Non è stato ancora indicato se le Misure di Sicurezza selezionate vanno o meno iscritte in un fascicolo</t>
    </r>
    <r>
      <rPr>
        <sz val="11"/>
        <rFont val="Calibri"/>
        <family val="2"/>
        <scheme val="minor"/>
      </rPr>
      <t xml:space="preserve"> </t>
    </r>
  </si>
  <si>
    <r>
      <t xml:space="preserve">Cliccare su tasto </t>
    </r>
    <r>
      <rPr>
        <b/>
        <sz val="11"/>
        <rFont val="Calibri"/>
        <family val="2"/>
        <scheme val="minor"/>
      </rPr>
      <t>Ulteriori Sanzioni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</si>
  <si>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Dati Finali Cumulo </t>
    </r>
    <r>
      <rPr>
        <sz val="11"/>
        <rFont val="Calibri"/>
        <family val="2"/>
        <scheme val="minor"/>
      </rPr>
      <t>con Dettaglio Misure Sicurezza</t>
    </r>
  </si>
  <si>
    <t>Cliccare su tasto Seleziona Misura Sicurezza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</si>
  <si>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Elenco Misure Sicurezza Sui Titoli Coinvolti  </t>
    </r>
    <r>
      <rPr>
        <sz val="11"/>
        <rFont val="Calibri"/>
        <family val="2"/>
        <scheme val="minor"/>
      </rPr>
      <t xml:space="preserve">
</t>
    </r>
  </si>
  <si>
    <r>
      <t xml:space="preserve">Per la Misura Sicurezza già spuntata, </t>
    </r>
    <r>
      <rPr>
        <b/>
        <sz val="11"/>
        <rFont val="Calibri"/>
        <family val="2"/>
        <scheme val="minor"/>
      </rPr>
      <t>spuntare</t>
    </r>
    <r>
      <rPr>
        <sz val="11"/>
        <rFont val="Calibri"/>
        <family val="2"/>
        <scheme val="minor"/>
      </rPr>
      <t xml:space="preserve"> uno dei due </t>
    </r>
    <r>
      <rPr>
        <b/>
        <sz val="11"/>
        <rFont val="Calibri"/>
        <family val="2"/>
        <scheme val="minor"/>
      </rPr>
      <t>check box</t>
    </r>
    <r>
      <rPr>
        <sz val="11"/>
        <rFont val="Calibri"/>
        <family val="2"/>
        <scheme val="minor"/>
      </rPr>
      <t xml:space="preserve"> per indicare se la MS va iscritta in un nuovo procedimento di classe 4 o rimane all'interno del procedimento corrente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</si>
  <si>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>Dati Finali Cumulo</t>
    </r>
    <r>
      <rPr>
        <sz val="11"/>
        <rFont val="Calibri"/>
        <family val="2"/>
        <scheme val="minor"/>
      </rPr>
      <t xml:space="preserve"> con Dettaglio Misure Sicurezza</t>
    </r>
  </si>
  <si>
    <t>Verificare che non è più presente il messaggio di Alert riferito alla Misura Sicurezza</t>
  </si>
  <si>
    <t>Verifica Richiesta Benefici al GE</t>
  </si>
  <si>
    <t>PAR. 2.10-048-10</t>
  </si>
  <si>
    <t>Verifica: Verificare funzione Richiesta Benefici al GE all'interno di Dati Analitici/Attività del PM</t>
  </si>
  <si>
    <t>L'utente ricerca l'istruttoria cumulo del precedente test, posizionandosi nella videata Gestione Cumulo dell'istruttoria seleziona un Titolo Esecutivo  in Elenco Titoli Coinvolti</t>
  </si>
  <si>
    <r>
      <t xml:space="preserve">Cliccare su </t>
    </r>
    <r>
      <rPr>
        <b/>
        <sz val="11"/>
        <rFont val="Calibri"/>
        <family val="2"/>
        <scheme val="minor"/>
      </rPr>
      <t>Attività del PM</t>
    </r>
  </si>
  <si>
    <r>
      <t xml:space="preserve"> Visualizzazione pagina </t>
    </r>
    <r>
      <rPr>
        <b/>
        <sz val="11"/>
        <rFont val="Calibri"/>
        <family val="2"/>
        <scheme val="minor"/>
      </rPr>
      <t>Gestione Dati Analitici</t>
    </r>
    <r>
      <rPr>
        <sz val="11"/>
        <rFont val="Calibri"/>
        <family val="2"/>
        <scheme val="minor"/>
      </rPr>
      <t xml:space="preserve"> con funzionalità Attività del PM</t>
    </r>
  </si>
  <si>
    <r>
      <t xml:space="preserve">Cliccare su </t>
    </r>
    <r>
      <rPr>
        <b/>
        <sz val="11"/>
        <rFont val="Calibri"/>
        <family val="2"/>
        <scheme val="minor"/>
      </rPr>
      <t xml:space="preserve">Richieste Benefici al GE   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</t>
    </r>
  </si>
  <si>
    <r>
      <t xml:space="preserve">Cliccare su </t>
    </r>
    <r>
      <rPr>
        <b/>
        <sz val="11"/>
        <rFont val="Calibri"/>
        <family val="2"/>
        <scheme val="minor"/>
      </rPr>
      <t>Inserisci Nuovo Provvedimento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</si>
  <si>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 Inserimento Richieste al GE Applicazione/Revoca Benefici</t>
    </r>
  </si>
  <si>
    <r>
      <t xml:space="preserve">Compilare i campi obbligatori della form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</si>
  <si>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 </t>
    </r>
    <r>
      <rPr>
        <b/>
        <sz val="11"/>
        <rFont val="Calibri"/>
        <family val="2"/>
        <scheme val="minor"/>
      </rPr>
      <t xml:space="preserve">Richieste al GE Applicazione/Revoca Benefici </t>
    </r>
  </si>
  <si>
    <t>Verificare che  i dati riportati a video siano quelli appena inseriti.</t>
  </si>
  <si>
    <r>
      <t xml:space="preserve">Cliccare su </t>
    </r>
    <r>
      <rPr>
        <b/>
        <sz val="11"/>
        <rFont val="Calibri"/>
        <family val="2"/>
        <scheme val="minor"/>
      </rPr>
      <t>icona Torna Indietro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</t>
    </r>
  </si>
  <si>
    <r>
      <t>Visualizzazione pagina</t>
    </r>
    <r>
      <rPr>
        <b/>
        <sz val="11"/>
        <rFont val="Calibri"/>
        <family val="2"/>
        <scheme val="minor"/>
      </rPr>
      <t xml:space="preserve">    Elenco Provvedimenti Richieste al GE Amnistia/Indulto/ Depenelizzazione/Incostituzionalita'   </t>
    </r>
  </si>
  <si>
    <r>
      <t>Visualizzazione pagina</t>
    </r>
    <r>
      <rPr>
        <b/>
        <sz val="11"/>
        <rFont val="Calibri"/>
        <family val="2"/>
        <scheme val="minor"/>
      </rPr>
      <t xml:space="preserve">    Elenco Provvedimenti Richieste al GE Amnistia/Indulto/ Depenelizzazione/Incostituzionalita'   </t>
    </r>
    <r>
      <rPr>
        <sz val="11"/>
        <rFont val="Calibri"/>
        <family val="2"/>
        <scheme val="minor"/>
      </rPr>
      <t>con estremi della richiesta appena inserita</t>
    </r>
  </si>
  <si>
    <r>
      <t xml:space="preserve">Cliccare su </t>
    </r>
    <r>
      <rPr>
        <b/>
        <sz val="11"/>
        <rFont val="Calibri"/>
        <family val="2"/>
        <scheme val="minor"/>
      </rPr>
      <t>icona Modifica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</si>
  <si>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  Modifica Richieste al GE Applicazione/Revoca Benefici   </t>
    </r>
  </si>
  <si>
    <r>
      <rPr>
        <b/>
        <sz val="11"/>
        <rFont val="Calibri"/>
        <family val="2"/>
        <scheme val="minor"/>
      </rPr>
      <t>Modificare</t>
    </r>
    <r>
      <rPr>
        <sz val="11"/>
        <rFont val="Calibri"/>
        <family val="2"/>
        <scheme val="minor"/>
      </rPr>
      <t xml:space="preserve"> alcuni dei campi presenti a video e </t>
    </r>
    <r>
      <rPr>
        <b/>
        <sz val="11"/>
        <rFont val="Calibri"/>
        <family val="2"/>
        <scheme val="minor"/>
      </rPr>
      <t>Confermare</t>
    </r>
  </si>
  <si>
    <t>Verificare che  i dati riportati a video siano quelli appena modificati</t>
  </si>
  <si>
    <r>
      <t>Visualizzazione pagina</t>
    </r>
    <r>
      <rPr>
        <b/>
        <sz val="11"/>
        <rFont val="Calibri"/>
        <family val="2"/>
        <scheme val="minor"/>
      </rPr>
      <t xml:space="preserve">    Elenco Provvedimenti Richieste al GE Amnistia/Indulto/ Depenelizzazione/Incostituzionalita'   </t>
    </r>
    <r>
      <rPr>
        <sz val="11"/>
        <rFont val="Calibri"/>
        <family val="2"/>
        <scheme val="minor"/>
      </rPr>
      <t>con estremi della richiesta appena modificata</t>
    </r>
  </si>
  <si>
    <r>
      <t xml:space="preserve">Cliccare su </t>
    </r>
    <r>
      <rPr>
        <b/>
        <sz val="11"/>
        <rFont val="Calibri"/>
        <family val="2"/>
        <scheme val="minor"/>
      </rPr>
      <t>icona Cancellazione</t>
    </r>
  </si>
  <si>
    <t>Visualizzazione messaggio di conferma a procedere alla cancellazione</t>
  </si>
  <si>
    <r>
      <t xml:space="preserve">Cliccare su </t>
    </r>
    <r>
      <rPr>
        <b/>
        <sz val="11"/>
        <rFont val="Calibri"/>
        <family val="2"/>
        <scheme val="minor"/>
      </rPr>
      <t>OK</t>
    </r>
  </si>
  <si>
    <t>Verificare che non sia più presente la Richiesta cancellata</t>
  </si>
  <si>
    <t>Verifica Ricerca soggetto da Iscrizione proprio titolo (Cumulo)</t>
  </si>
  <si>
    <t>Verifica: Verificare aggiornamento della funzione Ricerca soggetto da Iscrizione proprio titolo (Cumulo)</t>
  </si>
  <si>
    <t>L'utente è nella pagina Elenco Titolo Coinvolti di una delle istruttorie Cumulo dei precenti test</t>
  </si>
  <si>
    <r>
      <rPr>
        <sz val="11"/>
        <rFont val="Calibri"/>
        <family val="2"/>
        <scheme val="minor"/>
      </rPr>
      <t xml:space="preserve">selezionare la funzione </t>
    </r>
    <r>
      <rPr>
        <b/>
        <sz val="11"/>
        <rFont val="Calibri"/>
        <family val="2"/>
        <scheme val="minor"/>
      </rPr>
      <t xml:space="preserve">Iscrizione Proprio Procedimento </t>
    </r>
  </si>
  <si>
    <t>Verificare che nella form di Ricerca: tutti i campi di ricerca per soggetto siano precompilati con i dati del soggetto del titolo cumulante e che accanto ad ognuno sia riportato un check box, che se spuntato lo esclude dai parametri di ricerca; che siano presenti nuovi campi per poter effettuare la ricerca per anno e numero procedimento SIEP, alternativa a quella per dati del soggetto</t>
  </si>
  <si>
    <r>
      <t xml:space="preserve">Visualizzazione pagina </t>
    </r>
    <r>
      <rPr>
        <b/>
        <sz val="11"/>
        <rFont val="Calibri"/>
        <family val="2"/>
        <scheme val="minor"/>
      </rPr>
      <t>Ricerca Procedimenti per Titolo e Soggetto</t>
    </r>
    <r>
      <rPr>
        <sz val="11"/>
        <rFont val="Calibri"/>
        <family val="2"/>
        <scheme val="minor"/>
      </rPr>
      <t xml:space="preserve">        (in presenza di codice CUI, la ricerca viene effettuta con questo parametro)</t>
    </r>
  </si>
  <si>
    <t>Selezionare il check box Ricerca per Procedimento e digitare Anno e Numero di un procedimento del proprio ufficio e cliccare su Ricerca</t>
  </si>
  <si>
    <r>
      <t xml:space="preserve">Visualizzazione pagina </t>
    </r>
    <r>
      <rPr>
        <b/>
        <sz val="11"/>
        <rFont val="Calibri"/>
        <family val="2"/>
        <scheme val="minor"/>
      </rPr>
      <t>Ricerca Procedimenti per Titolo e Soggetto</t>
    </r>
    <r>
      <rPr>
        <sz val="11"/>
        <rFont val="Calibri"/>
        <family val="2"/>
        <scheme val="minor"/>
      </rPr>
      <t xml:space="preserve">   </t>
    </r>
  </si>
  <si>
    <t>Verificare che nell'Elenco Procedimenti Trovati siano riportati gli estremi del procedimento richiesto</t>
  </si>
  <si>
    <t>PAR. 2.18-048-18</t>
  </si>
  <si>
    <t>PAR. 2.19-048-19</t>
  </si>
  <si>
    <t>Verifica Obbligo valorizzazione Difensore in istruttoria cumulo</t>
  </si>
  <si>
    <t>Verifica: Verificare aggiornamento Obbligo valorizzazione Difensore in istruttoria cumulo</t>
  </si>
  <si>
    <t>L'utente ricerca o iscrive e valida un procedimento SIEP privo di Difensore</t>
  </si>
  <si>
    <r>
      <rPr>
        <sz val="11"/>
        <rFont val="Calibri"/>
        <family val="2"/>
        <scheme val="minor"/>
      </rPr>
      <t xml:space="preserve">selezionare la </t>
    </r>
    <r>
      <rPr>
        <b/>
        <sz val="11"/>
        <rFont val="Calibri"/>
        <family val="2"/>
        <scheme val="minor"/>
      </rPr>
      <t xml:space="preserve">funzione Cumulo (icona C) </t>
    </r>
    <r>
      <rPr>
        <sz val="11"/>
        <rFont val="Calibri"/>
        <family val="2"/>
        <scheme val="minor"/>
      </rPr>
      <t xml:space="preserve">nell'elenco funzioni veloci </t>
    </r>
  </si>
  <si>
    <r>
      <t xml:space="preserve">Visualizzazione pagina </t>
    </r>
    <r>
      <rPr>
        <b/>
        <sz val="11"/>
        <rFont val="Calibri"/>
        <family val="2"/>
        <scheme val="minor"/>
      </rPr>
      <t>Gestione Cumulo</t>
    </r>
  </si>
  <si>
    <r>
      <t>Visualizzazione pagina</t>
    </r>
    <r>
      <rPr>
        <b/>
        <sz val="11"/>
        <rFont val="Calibri"/>
        <family val="2"/>
        <scheme val="minor"/>
      </rPr>
      <t xml:space="preserve"> Apertura Istrttoria Cumulo</t>
    </r>
  </si>
  <si>
    <r>
      <t xml:space="preserve">Cliccare su funzione </t>
    </r>
    <r>
      <rPr>
        <b/>
        <sz val="11"/>
        <rFont val="Calibri"/>
        <family val="2"/>
        <scheme val="minor"/>
      </rPr>
      <t>Apertura Istruttoria</t>
    </r>
  </si>
  <si>
    <t>Verificare che il sistema, diversamente da prima, non ha bloccato l'apertura dell'istruttoria, richiedendo obbligatoriamente la valorizzazione del difensore</t>
  </si>
  <si>
    <t>selezionare la funzione Dati Finali Cumulo</t>
  </si>
  <si>
    <r>
      <t xml:space="preserve">Visualizzazione messaggio bloccante </t>
    </r>
    <r>
      <rPr>
        <b/>
        <sz val="11"/>
        <rFont val="Calibri"/>
        <family val="2"/>
        <scheme val="minor"/>
      </rPr>
      <t>Nessun avvocato associato al fascicolo. Impossibile finalizzare l'istruttoria cumulo</t>
    </r>
    <r>
      <rPr>
        <sz val="11"/>
        <rFont val="Calibri"/>
        <family val="2"/>
        <scheme val="minor"/>
      </rPr>
      <t>.</t>
    </r>
  </si>
  <si>
    <t>Cliccare su ok</t>
  </si>
  <si>
    <r>
      <t xml:space="preserve">Visualizzazione form </t>
    </r>
    <r>
      <rPr>
        <b/>
        <sz val="11"/>
        <rFont val="Calibri"/>
        <family val="2"/>
        <scheme val="minor"/>
      </rPr>
      <t>Inserimento Difensore</t>
    </r>
  </si>
  <si>
    <t>Procedere con inserimento Difensore e selezionare nuovamente Dati Finali Cumulo</t>
  </si>
  <si>
    <t>Verificare che l'avvenuto inserimento del difensore abbia sbloccato l'operatività sull'istruttoria cumulo</t>
  </si>
  <si>
    <t>SIES/SIUS</t>
  </si>
  <si>
    <t>Verifica aggiunta nuovo esito Dispone conversione pena irrogata dal Giudice di pace in permanenza domiciliare</t>
  </si>
  <si>
    <t>Verifica: Verificare gestione nuovo esito Dispone conversione pena irrogata dal Giudice di pace in permanenza domiciliare</t>
  </si>
  <si>
    <t>PAR. 3.1-048-20</t>
  </si>
  <si>
    <t xml:space="preserve">L'utente ricerca o inserisce un procedimento con contenuto "Conversione pene pecuniarie principali per mancato pagamento (artt. 102 - 103 L. 689/81 - 55 d. lgs. 274/00)" e con uno dei due oggetti previsti per questo contenuto </t>
  </si>
  <si>
    <t>Selezionare funzione Ordinanze/Emissione Ordinanza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</si>
  <si>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Conversione Pene Pecuniarie Principali per mancato pagamento </t>
    </r>
  </si>
  <si>
    <r>
      <t xml:space="preserve">Selezionare. nella combo box degli esiti, il nuovo esito </t>
    </r>
    <r>
      <rPr>
        <b/>
        <sz val="11"/>
        <rFont val="Calibri"/>
        <family val="2"/>
        <scheme val="minor"/>
      </rPr>
      <t>Dispone conversione pena irrogata dal Giudice di pace in permanenza domiciliare</t>
    </r>
  </si>
  <si>
    <t>Visualizzazione seconda parte della form con campi per acquisire importo Covertito e quantum e tipologia di pena sostitutiva applicata a seguito conversione</t>
  </si>
  <si>
    <r>
      <t xml:space="preserve">Compilare dati obbligatori della form e </t>
    </r>
    <r>
      <rPr>
        <b/>
        <sz val="11"/>
        <rFont val="Calibri"/>
        <family val="2"/>
        <scheme val="minor"/>
      </rPr>
      <t>Confermare</t>
    </r>
  </si>
  <si>
    <r>
      <t xml:space="preserve">Visualizzazione pagina </t>
    </r>
    <r>
      <rPr>
        <b/>
        <sz val="11"/>
        <rFont val="Calibri"/>
        <family val="2"/>
        <scheme val="minor"/>
      </rPr>
      <t>Dettaglio Ordinanza</t>
    </r>
  </si>
  <si>
    <t>Digitare Anno e Numero del procedimento corrente e Confermare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</si>
  <si>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Ordinanza con campi Anno /Numero procedimento </t>
    </r>
  </si>
  <si>
    <r>
      <t xml:space="preserve">L'utente si trova nella pagina di  </t>
    </r>
    <r>
      <rPr>
        <b/>
        <sz val="11"/>
        <rFont val="Calibri"/>
        <family val="2"/>
        <scheme val="minor"/>
      </rPr>
      <t>Dettaglio Ordinanza</t>
    </r>
    <r>
      <rPr>
        <sz val="11"/>
        <rFont val="Calibri"/>
        <family val="2"/>
        <scheme val="minor"/>
      </rPr>
      <t xml:space="preserve">  di Tipo </t>
    </r>
    <r>
      <rPr>
        <b/>
        <sz val="11"/>
        <rFont val="Calibri"/>
        <family val="2"/>
        <scheme val="minor"/>
      </rPr>
      <t>Conversione Pene Pecuniarie Principali per mancato pagamento</t>
    </r>
  </si>
  <si>
    <t>PAR. 3.2-048-21</t>
  </si>
  <si>
    <t xml:space="preserve">Verifica Scadenzario monitoraggio misure alternative espiate </t>
  </si>
  <si>
    <t>Verifica: Verificare nel sottosistema SIUS l'utilizzo della funzione Scadenzario monitoraggio misure alternative espiate</t>
  </si>
  <si>
    <t>Esecuzione Misure Alternative &gt;&gt; Ricerca Data Scadenza Procedimenti Esecuzione M.A.</t>
  </si>
  <si>
    <r>
      <t xml:space="preserve">Visualizzazione pagina </t>
    </r>
    <r>
      <rPr>
        <b/>
        <sz val="11"/>
        <rFont val="Calibri"/>
        <family val="2"/>
        <scheme val="minor"/>
      </rPr>
      <t>Ricerca Data Scadenza Procedimenti Esecuzione M.A.</t>
    </r>
  </si>
  <si>
    <t xml:space="preserve">Verificare che siano presenti i seguenti filtri di ricerca: Intervallo Estremi Procedimenti (non obbligatorio); Intervallo Date Iscrizione (non obbligatorio); Criteri di ricerca (Tutti, In scadenza entro periodo, in scadenza oggi, scaduti) obbligatorio </t>
  </si>
  <si>
    <r>
      <t xml:space="preserve">Valorizzare </t>
    </r>
    <r>
      <rPr>
        <b/>
        <sz val="11"/>
        <rFont val="Calibri"/>
        <family val="2"/>
        <scheme val="minor"/>
      </rPr>
      <t>Intervallo Estremi Procedimenti, Tutti</t>
    </r>
    <r>
      <rPr>
        <sz val="11"/>
        <rFont val="Calibri"/>
        <family val="2"/>
        <scheme val="minor"/>
      </rPr>
      <t xml:space="preserve"> e cliccare su</t>
    </r>
    <r>
      <rPr>
        <b/>
        <sz val="11"/>
        <rFont val="Calibri"/>
        <family val="2"/>
        <scheme val="minor"/>
      </rPr>
      <t xml:space="preserve"> Ricerca</t>
    </r>
  </si>
  <si>
    <r>
      <t xml:space="preserve">Visualizzazione pagina </t>
    </r>
    <r>
      <rPr>
        <b/>
        <sz val="11"/>
        <rFont val="Calibri"/>
        <family val="2"/>
        <scheme val="minor"/>
      </rPr>
      <t>Elenco Procedimenti di Esecuzione Misure Alternative con Data Scadenza</t>
    </r>
  </si>
  <si>
    <t>Verificare che la form sia impaginata e presenti 20 risultati per pagina, per ciascuna riga siano riportati: Anno e Numero procedimento SIUS, Stato Procedimento, Cognome e Nome soggetto, estremi Ordinanza di concessione misura, tipo misura, Data inizio misura, Data Fine Misura, giorni residui alla scadenza dalla data odierna, Anno e Numero procedimento SIEP</t>
  </si>
  <si>
    <r>
      <t xml:space="preserve">Visualizzazione pagina </t>
    </r>
    <r>
      <rPr>
        <b/>
        <sz val="11"/>
        <rFont val="Calibri"/>
        <family val="2"/>
        <scheme val="minor"/>
      </rPr>
      <t>Dettaglio Procedimento SIUS di EMA</t>
    </r>
  </si>
  <si>
    <r>
      <t>Per uno degli elementi della lista</t>
    </r>
    <r>
      <rPr>
        <b/>
        <sz val="11"/>
        <rFont val="Calibri"/>
        <family val="2"/>
        <scheme val="minor"/>
      </rPr>
      <t xml:space="preserve"> cliccare</t>
    </r>
    <r>
      <rPr>
        <sz val="11"/>
        <rFont val="Calibri"/>
        <family val="2"/>
        <scheme val="minor"/>
      </rPr>
      <t xml:space="preserve"> su </t>
    </r>
    <r>
      <rPr>
        <b/>
        <sz val="11"/>
        <rFont val="Calibri"/>
        <family val="2"/>
        <scheme val="minor"/>
      </rPr>
      <t>Anno e Numero procedimento SIUS</t>
    </r>
    <r>
      <rPr>
        <sz val="11"/>
        <rFont val="Calibri"/>
        <family val="2"/>
        <scheme val="minor"/>
      </rPr>
      <t xml:space="preserve"> </t>
    </r>
  </si>
  <si>
    <t xml:space="preserve">Per uno degli elementi della lista cliccare su Anno e Numero procedimento SIEP </t>
  </si>
  <si>
    <r>
      <t xml:space="preserve">Visualizzazione pagina </t>
    </r>
    <r>
      <rPr>
        <b/>
        <sz val="11"/>
        <rFont val="Calibri"/>
        <family val="2"/>
        <scheme val="minor"/>
      </rPr>
      <t>Dettaglio Procedimento SIEP</t>
    </r>
    <r>
      <rPr>
        <sz val="11"/>
        <rFont val="Calibri"/>
        <family val="2"/>
        <scheme val="minor"/>
      </rPr>
      <t xml:space="preserve"> a cui è collegato il procedimento SIUS</t>
    </r>
  </si>
  <si>
    <t xml:space="preserve">Verificare che i dati riportati nei due dettagli corrispondano ai procedimenti selezionati </t>
  </si>
  <si>
    <r>
      <t xml:space="preserve">Valorizzare </t>
    </r>
    <r>
      <rPr>
        <b/>
        <sz val="11"/>
        <rFont val="Calibri"/>
        <family val="2"/>
        <scheme val="minor"/>
      </rPr>
      <t>Intervallo Estremi Procedimenti, In scadenza entro 1 anno</t>
    </r>
    <r>
      <rPr>
        <sz val="11"/>
        <rFont val="Calibri"/>
        <family val="2"/>
        <scheme val="minor"/>
      </rPr>
      <t xml:space="preserve"> e cliccare su</t>
    </r>
    <r>
      <rPr>
        <b/>
        <sz val="11"/>
        <rFont val="Calibri"/>
        <family val="2"/>
        <scheme val="minor"/>
      </rPr>
      <t xml:space="preserve"> Ricerca</t>
    </r>
  </si>
  <si>
    <t>Verificare che tutti i procedimenti estratti abbiano una data scadenza futura e non superiore ad 1 anno</t>
  </si>
  <si>
    <t>PAR. 3.3-048-22</t>
  </si>
  <si>
    <t>Verifica Gestione Permessi</t>
  </si>
  <si>
    <t xml:space="preserve">L'utente ricerca o inserisce un procedimento con contenuto "Permesso" e con uno dei due oggetti previsti per questo contenuto </t>
  </si>
  <si>
    <t>Selezionare funzione Decreti/Emissione Decreto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</si>
  <si>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Emissione Decreto con campi Anno /Numero procedimento </t>
    </r>
  </si>
  <si>
    <r>
      <t xml:space="preserve">Visualizzazione pagina </t>
    </r>
    <r>
      <rPr>
        <b/>
        <sz val="11"/>
        <rFont val="Calibri"/>
        <family val="2"/>
        <scheme val="minor"/>
      </rPr>
      <t>Emissione Decreto Pemesso</t>
    </r>
  </si>
  <si>
    <r>
      <t xml:space="preserve">Verificare che nella form siano presenti i due nuovi check box </t>
    </r>
    <r>
      <rPr>
        <b/>
        <sz val="11"/>
        <rFont val="Calibri"/>
        <family val="2"/>
        <scheme val="minor"/>
      </rPr>
      <t xml:space="preserve">Condannato per Delitti art. 51, commi 3 bis e 3 quater c.p.p. </t>
    </r>
    <r>
      <rPr>
        <sz val="11"/>
        <rFont val="Calibri"/>
        <family val="2"/>
        <scheme val="minor"/>
      </rPr>
      <t xml:space="preserve">e </t>
    </r>
    <r>
      <rPr>
        <b/>
        <sz val="11"/>
        <rFont val="Calibri"/>
        <family val="2"/>
        <scheme val="minor"/>
      </rPr>
      <t>Detenuto in Regime di 41 bis O.P.</t>
    </r>
    <r>
      <rPr>
        <sz val="11"/>
        <rFont val="Calibri"/>
        <family val="2"/>
        <scheme val="minor"/>
      </rPr>
      <t xml:space="preserve">   </t>
    </r>
  </si>
  <si>
    <r>
      <t xml:space="preserve">Selezionare. nella combo box degli esiti, l'esito Concede, spuntare uno dei suddetti check box, compilare gli altri campi della form e </t>
    </r>
    <r>
      <rPr>
        <b/>
        <sz val="11"/>
        <rFont val="Calibri"/>
        <family val="2"/>
        <scheme val="minor"/>
      </rPr>
      <t>Confermare</t>
    </r>
    <r>
      <rPr>
        <sz val="11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</si>
  <si>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1"/>
        <rFont val="Calibri"/>
        <family val="2"/>
        <scheme val="minor"/>
      </rPr>
      <t>Dettaglio Decreto Permesso</t>
    </r>
  </si>
  <si>
    <t>Verifica: Verificare nel sottosistema SIUS modifiche alla funzione Emissione decreto permesso</t>
  </si>
  <si>
    <t>Verifica: Verificare nel sottosistema SIUS modifiche alla funzione Relazione Trimestrale</t>
  </si>
  <si>
    <t>L'utente ricerca un paio di procedimenti di permesso e inserisce i relativi decreti, valorizzando i check box di cui al precedente test</t>
  </si>
  <si>
    <t>Selezionare funzione Gestione Permessi e Licenze/Relazione Trimestrale</t>
  </si>
  <si>
    <r>
      <t>Visualizzazione pagina</t>
    </r>
    <r>
      <rPr>
        <b/>
        <sz val="11"/>
        <rFont val="Calibri"/>
        <family val="2"/>
        <scheme val="minor"/>
      </rPr>
      <t xml:space="preserve"> Ricerca Provvedimenti Concessione Permessi/Licenza </t>
    </r>
  </si>
  <si>
    <r>
      <t xml:space="preserve">Verificare che: nella sezione Totali per le righe </t>
    </r>
    <r>
      <rPr>
        <b/>
        <sz val="11"/>
        <rFont val="Calibri"/>
        <family val="2"/>
        <scheme val="minor"/>
      </rPr>
      <t>Totale Permessi Necessità e Permessi Premio</t>
    </r>
    <r>
      <rPr>
        <sz val="11"/>
        <rFont val="Calibri"/>
        <family val="2"/>
        <scheme val="minor"/>
      </rPr>
      <t xml:space="preserve"> siano riportati i totali per soggetto condannato per per art. 51 c. 3 bis e 3 quater c.p.p. o detenuto per art. 41 bis O.P;    nel sottostante Elenco Procedimenti sia stata eliminata la colonna Esito, ma siano presenti le colonne </t>
    </r>
    <r>
      <rPr>
        <b/>
        <sz val="11"/>
        <rFont val="Calibri"/>
        <family val="2"/>
        <scheme val="minor"/>
      </rPr>
      <t xml:space="preserve">Reati 51 c. 3 bis e 3 quater c.p.p. e Regime 41 bis O.P.  </t>
    </r>
  </si>
  <si>
    <r>
      <t xml:space="preserve">Digitare Data iniziale e Data Finale di deposito dei Decreti di concessione, impostare radio button Permesso/Tutti e cliccare su </t>
    </r>
    <r>
      <rPr>
        <b/>
        <sz val="11"/>
        <rFont val="Calibri"/>
        <family val="2"/>
        <scheme val="minor"/>
      </rPr>
      <t>Ricerca</t>
    </r>
  </si>
  <si>
    <t>Cliccare sull'icona di Stampa</t>
  </si>
  <si>
    <t>Apertura di una nuova finestra del browser e successiva Visualizzazione a video del documento associato alla Relazione</t>
  </si>
  <si>
    <r>
      <t xml:space="preserve">Verificare che venga prodotto il template </t>
    </r>
    <r>
      <rPr>
        <b/>
        <sz val="11"/>
        <rFont val="Calibri"/>
        <family val="2"/>
        <scheme val="minor"/>
      </rPr>
      <t>SIUS_ST_RELTRIMPERMESSI.rtf</t>
    </r>
    <r>
      <rPr>
        <sz val="11"/>
        <rFont val="Calibri"/>
        <family val="2"/>
        <scheme val="minor"/>
      </rPr>
      <t xml:space="preserve"> e che siano presenti le informazioni di cui alla precedente verifica</t>
    </r>
  </si>
  <si>
    <t>PAR. 3.4-048-23</t>
  </si>
  <si>
    <t>Verifica aggiunta nuovo oggetto per contenuto Sospensione Esecuzione Pene Sostitutive</t>
  </si>
  <si>
    <t>Verifica: Verificare nel sottosistema SIUS aggiunta nuovo oggetto per contenuto Sospensione Esecuzione Pene Sostitutive</t>
  </si>
  <si>
    <t xml:space="preserve">L'utente ricerca un procedimento pendente con contenuto "Sospensione Esecuzione Pene Sostitutive" </t>
  </si>
  <si>
    <r>
      <t xml:space="preserve">Cliccare su icona </t>
    </r>
    <r>
      <rPr>
        <b/>
        <sz val="11"/>
        <rFont val="Calibri"/>
        <family val="2"/>
        <scheme val="minor"/>
      </rPr>
      <t>Modifica</t>
    </r>
  </si>
  <si>
    <r>
      <t>Visualizzazione pagina</t>
    </r>
    <r>
      <rPr>
        <b/>
        <sz val="11"/>
        <rFont val="Calibri"/>
        <family val="2"/>
        <scheme val="minor"/>
      </rPr>
      <t xml:space="preserve"> Modifica Procedimento </t>
    </r>
  </si>
  <si>
    <t>Cliccare su icona Cartella "Oggetti per ilcontenuto selezionato" presente sul campo Oggetto</t>
  </si>
  <si>
    <r>
      <t xml:space="preserve">Apertura popup con Visualizzazione pagina </t>
    </r>
    <r>
      <rPr>
        <b/>
        <sz val="11"/>
        <rFont val="Calibri"/>
        <family val="2"/>
        <scheme val="minor"/>
      </rPr>
      <t xml:space="preserve">Elenco oggetti previsti per il Contenuto </t>
    </r>
    <r>
      <rPr>
        <sz val="11"/>
        <rFont val="Calibri"/>
        <family val="2"/>
        <scheme val="minor"/>
      </rPr>
      <t>corrente</t>
    </r>
  </si>
  <si>
    <t>Verificare che nell'Elenco  vi sia il nuovo oggetto "Sospensione pena sostituiva per arresto o fermo di condannato (art. 68 L. 689/1981) - art. 68 L. 689/1981"</t>
  </si>
  <si>
    <t>PAR. 3.5-048-24</t>
  </si>
  <si>
    <t>Verifica: Verificare che nel sottosistema SIUS l'utilizzo della funzione Elenco procedimenti assegnati al magistrato</t>
  </si>
  <si>
    <t>L'utente collegato al sistema SIUS come Ufficio di Sorveglianza</t>
  </si>
  <si>
    <t>L'utente si trova nell'Home Page di SIUS</t>
  </si>
  <si>
    <r>
      <rPr>
        <sz val="11"/>
        <rFont val="Calibri"/>
        <family val="2"/>
        <scheme val="minor"/>
      </rPr>
      <t>selezionare</t>
    </r>
    <r>
      <rPr>
        <b/>
        <sz val="11"/>
        <rFont val="Calibri"/>
        <family val="2"/>
        <scheme val="minor"/>
      </rPr>
      <t xml:space="preserve"> Funzioni Amministrative » Gestione Magistrati » Elenco Procedimenti Sorveglianza Assegnati</t>
    </r>
    <r>
      <rPr>
        <sz val="11"/>
        <rFont val="Calibri"/>
        <family val="2"/>
        <scheme val="minor"/>
      </rPr>
      <t xml:space="preserve"> 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</si>
  <si>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Elenco procedimenti Assegnati</t>
    </r>
  </si>
  <si>
    <r>
      <t xml:space="preserve">Visualizzazione pagina </t>
    </r>
    <r>
      <rPr>
        <b/>
        <sz val="11"/>
        <rFont val="Calibri"/>
        <family val="2"/>
        <scheme val="minor"/>
      </rPr>
      <t xml:space="preserve"> Elenco Procedimenti Assegnati</t>
    </r>
  </si>
  <si>
    <r>
      <t xml:space="preserve">Visualizzazione pagina </t>
    </r>
    <r>
      <rPr>
        <b/>
        <sz val="11"/>
        <rFont val="Calibri"/>
        <family val="2"/>
        <scheme val="minor"/>
      </rPr>
      <t>Cambio Magistrato Relatore</t>
    </r>
  </si>
  <si>
    <r>
      <t xml:space="preserve">Visualizzazione pagina </t>
    </r>
    <r>
      <rPr>
        <b/>
        <sz val="11"/>
        <rFont val="Calibri"/>
        <family val="2"/>
        <scheme val="minor"/>
      </rPr>
      <t>Esito Cambio Magistrato Relatore</t>
    </r>
  </si>
  <si>
    <t>PAR. 3.6-048-25</t>
  </si>
  <si>
    <t>Verifica: Verificare nel sottosistema SIEP l'utilizzo della funzione "Richiesta Certificato penale"</t>
  </si>
  <si>
    <t xml:space="preserve">L'utente, già abilitato su NSC, effettua l'accesso al sistema SIUS come Ufficio di Sorveglianza </t>
  </si>
  <si>
    <t>L'utente si trova nell'Home Page di SIUS e si trova nel Dettaglio Procedimento SIUS</t>
  </si>
  <si>
    <r>
      <rPr>
        <sz val="11"/>
        <rFont val="Calibri"/>
        <family val="2"/>
        <scheme val="minor"/>
      </rPr>
      <t>selezionare la funzione</t>
    </r>
    <r>
      <rPr>
        <b/>
        <sz val="11"/>
        <rFont val="Calibri"/>
        <family val="2"/>
        <scheme val="minor"/>
      </rPr>
      <t xml:space="preserve"> Richiesta Ceritificato Penale </t>
    </r>
    <r>
      <rPr>
        <sz val="11"/>
        <rFont val="Calibri"/>
        <family val="2"/>
        <scheme val="minor"/>
      </rPr>
      <t>nella tool bar delle funzioni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</si>
</sst>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8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210">
    <xf numFmtId="0" fontId="0" fillId="0" borderId="0" xfId="0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2" xfId="1" applyNumberFormat="1" applyFont="1" applyFill="1" applyBorder="1" applyAlignment="1">
      <alignment horizontal="center" vertical="center" wrapText="1"/>
    </xf>
    <xf numFmtId="49" fontId="3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1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9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8" xfId="2" applyFont="1" applyFill="1" applyBorder="1" applyAlignment="1">
      <alignment horizontal="center" vertical="center" wrapText="1"/>
    </xf>
    <xf numFmtId="0" fontId="13" fillId="9" borderId="22" xfId="2" applyFont="1" applyFill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0" fontId="15" fillId="0" borderId="28" xfId="2" applyFont="1" applyBorder="1" applyAlignment="1">
      <alignment horizontal="center" vertical="center" wrapText="1"/>
    </xf>
    <xf numFmtId="0" fontId="13" fillId="9" borderId="27" xfId="2" applyFont="1" applyFill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13" fillId="11" borderId="28" xfId="2" applyFont="1" applyFill="1" applyBorder="1" applyAlignment="1">
      <alignment horizontal="center" vertical="center" wrapText="1"/>
    </xf>
    <xf numFmtId="0" fontId="13" fillId="11" borderId="22" xfId="2" applyFont="1" applyFill="1" applyBorder="1" applyAlignment="1">
      <alignment horizontal="center" vertical="center" wrapText="1"/>
    </xf>
    <xf numFmtId="0" fontId="14" fillId="11" borderId="27" xfId="2" applyFont="1" applyFill="1" applyBorder="1" applyAlignment="1">
      <alignment horizontal="center" vertical="center" wrapText="1"/>
    </xf>
    <xf numFmtId="1" fontId="0" fillId="0" borderId="28" xfId="2" applyNumberFormat="1" applyFont="1" applyBorder="1" applyAlignment="1" applyProtection="1">
      <alignment horizontal="center" vertical="center" wrapText="1"/>
      <protection hidden="1"/>
    </xf>
    <xf numFmtId="0" fontId="13" fillId="11" borderId="27" xfId="2" applyFont="1" applyFill="1" applyBorder="1" applyAlignment="1">
      <alignment horizontal="center" vertical="center" wrapText="1"/>
    </xf>
    <xf numFmtId="0" fontId="14" fillId="11" borderId="29" xfId="2" applyFont="1" applyFill="1" applyBorder="1" applyAlignment="1">
      <alignment horizontal="center" vertical="center" wrapText="1"/>
    </xf>
    <xf numFmtId="49" fontId="0" fillId="0" borderId="36" xfId="0" applyNumberFormat="1" applyBorder="1" applyAlignment="1">
      <alignment horizontal="center" vertical="center" wrapText="1"/>
    </xf>
    <xf numFmtId="49" fontId="0" fillId="0" borderId="35" xfId="0" applyNumberFormat="1" applyBorder="1" applyAlignment="1">
      <alignment horizontal="center" vertical="center" wrapText="1"/>
    </xf>
    <xf numFmtId="0" fontId="18" fillId="14" borderId="43" xfId="0" applyFont="1" applyFill="1" applyBorder="1" applyAlignment="1">
      <alignment horizontal="center" vertical="center" wrapText="1"/>
    </xf>
    <xf numFmtId="0" fontId="18" fillId="14" borderId="4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14" borderId="49" xfId="0" applyFont="1" applyFill="1" applyBorder="1" applyAlignment="1">
      <alignment horizontal="center" vertical="center" wrapText="1"/>
    </xf>
    <xf numFmtId="0" fontId="18" fillId="14" borderId="11" xfId="0" applyFont="1" applyFill="1" applyBorder="1" applyAlignment="1">
      <alignment horizontal="center" vertical="center" wrapText="1"/>
    </xf>
    <xf numFmtId="0" fontId="18" fillId="14" borderId="38" xfId="0" applyFont="1" applyFill="1" applyBorder="1" applyAlignment="1">
      <alignment horizontal="center" vertical="center" wrapText="1"/>
    </xf>
    <xf numFmtId="0" fontId="18" fillId="14" borderId="52" xfId="0" applyFont="1" applyFill="1" applyBorder="1" applyAlignment="1">
      <alignment horizontal="center" vertical="center" wrapText="1"/>
    </xf>
    <xf numFmtId="0" fontId="18" fillId="14" borderId="54" xfId="0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49" fontId="9" fillId="0" borderId="3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3" fillId="15" borderId="11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8" fillId="12" borderId="40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18" fillId="12" borderId="51" xfId="0" applyFont="1" applyFill="1" applyBorder="1" applyAlignment="1">
      <alignment horizontal="center" vertical="center" wrapText="1"/>
    </xf>
    <xf numFmtId="0" fontId="3" fillId="18" borderId="53" xfId="0" applyFont="1" applyFill="1" applyBorder="1" applyAlignment="1">
      <alignment horizontal="center" vertical="center" wrapText="1"/>
    </xf>
    <xf numFmtId="0" fontId="3" fillId="18" borderId="13" xfId="0" applyFont="1" applyFill="1" applyBorder="1" applyAlignment="1">
      <alignment horizontal="center" vertical="center" wrapText="1"/>
    </xf>
    <xf numFmtId="49" fontId="3" fillId="16" borderId="34" xfId="0" applyNumberFormat="1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3" fillId="17" borderId="34" xfId="0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3" fillId="18" borderId="41" xfId="0" applyFont="1" applyFill="1" applyBorder="1" applyAlignment="1">
      <alignment horizontal="center" vertical="center" wrapText="1"/>
    </xf>
    <xf numFmtId="0" fontId="3" fillId="18" borderId="57" xfId="0" applyFont="1" applyFill="1" applyBorder="1" applyAlignment="1">
      <alignment horizontal="center" vertical="center" wrapText="1"/>
    </xf>
    <xf numFmtId="49" fontId="3" fillId="15" borderId="54" xfId="0" applyNumberFormat="1" applyFont="1" applyFill="1" applyBorder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 wrapText="1"/>
    </xf>
    <xf numFmtId="49" fontId="3" fillId="3" borderId="56" xfId="0" applyNumberFormat="1" applyFont="1" applyFill="1" applyBorder="1" applyAlignment="1">
      <alignment horizontal="center" vertical="center" wrapText="1"/>
    </xf>
    <xf numFmtId="49" fontId="3" fillId="3" borderId="61" xfId="0" applyNumberFormat="1" applyFont="1" applyFill="1" applyBorder="1" applyAlignment="1">
      <alignment horizontal="center" vertical="center" wrapText="1"/>
    </xf>
    <xf numFmtId="49" fontId="3" fillId="4" borderId="61" xfId="0" applyNumberFormat="1" applyFont="1" applyFill="1" applyBorder="1" applyAlignment="1">
      <alignment horizontal="center" vertical="center" wrapText="1"/>
    </xf>
    <xf numFmtId="49" fontId="3" fillId="6" borderId="61" xfId="0" applyNumberFormat="1" applyFont="1" applyFill="1" applyBorder="1" applyAlignment="1">
      <alignment horizontal="center" vertical="center" wrapText="1"/>
    </xf>
    <xf numFmtId="49" fontId="3" fillId="5" borderId="61" xfId="0" applyNumberFormat="1" applyFont="1" applyFill="1" applyBorder="1" applyAlignment="1">
      <alignment horizontal="center" vertical="center" wrapText="1"/>
    </xf>
    <xf numFmtId="0" fontId="3" fillId="5" borderId="61" xfId="0" applyFont="1" applyFill="1" applyBorder="1" applyAlignment="1">
      <alignment horizontal="center" vertical="center" wrapText="1"/>
    </xf>
    <xf numFmtId="0" fontId="3" fillId="6" borderId="62" xfId="0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3" fillId="17" borderId="57" xfId="0" applyFont="1" applyFill="1" applyBorder="1" applyAlignment="1">
      <alignment horizontal="center" vertical="center" wrapText="1"/>
    </xf>
    <xf numFmtId="0" fontId="3" fillId="17" borderId="41" xfId="0" applyFont="1" applyFill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18" borderId="18" xfId="0" applyFont="1" applyFill="1" applyBorder="1" applyAlignment="1">
      <alignment horizontal="center" vertical="center" wrapText="1"/>
    </xf>
    <xf numFmtId="0" fontId="0" fillId="13" borderId="69" xfId="0" applyFill="1" applyBorder="1" applyAlignment="1">
      <alignment horizontal="center" vertical="center" wrapText="1"/>
    </xf>
    <xf numFmtId="49" fontId="3" fillId="17" borderId="34" xfId="0" applyNumberFormat="1" applyFont="1" applyFill="1" applyBorder="1" applyAlignment="1">
      <alignment horizontal="center" vertical="center" wrapText="1"/>
    </xf>
    <xf numFmtId="0" fontId="18" fillId="14" borderId="70" xfId="0" applyFont="1" applyFill="1" applyBorder="1" applyAlignment="1">
      <alignment horizontal="center" vertical="center" wrapText="1"/>
    </xf>
    <xf numFmtId="0" fontId="18" fillId="14" borderId="71" xfId="0" applyFont="1" applyFill="1" applyBorder="1" applyAlignment="1">
      <alignment horizontal="center" vertical="center" wrapText="1"/>
    </xf>
    <xf numFmtId="0" fontId="0" fillId="13" borderId="37" xfId="0" applyFill="1" applyBorder="1" applyAlignment="1">
      <alignment horizontal="center" vertical="center" wrapText="1"/>
    </xf>
    <xf numFmtId="0" fontId="0" fillId="13" borderId="42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" fillId="4" borderId="73" xfId="0" applyNumberFormat="1" applyFont="1" applyFill="1" applyBorder="1" applyAlignment="1">
      <alignment horizontal="center" vertical="center" wrapText="1"/>
    </xf>
    <xf numFmtId="0" fontId="3" fillId="6" borderId="74" xfId="0" applyFont="1" applyFill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12" borderId="39" xfId="0" applyFont="1" applyFill="1" applyBorder="1" applyAlignment="1">
      <alignment horizontal="center" vertical="center" wrapText="1"/>
    </xf>
    <xf numFmtId="0" fontId="0" fillId="13" borderId="55" xfId="0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0" fillId="0" borderId="67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3" fillId="2" borderId="55" xfId="0" applyFont="1" applyFill="1" applyBorder="1" applyAlignment="1" applyProtection="1">
      <alignment horizontal="center" vertical="center" wrapText="1"/>
      <protection locked="0"/>
    </xf>
    <xf numFmtId="1" fontId="0" fillId="13" borderId="45" xfId="0" applyNumberFormat="1" applyFill="1" applyBorder="1" applyAlignment="1">
      <alignment horizontal="center" vertical="center" wrapText="1"/>
    </xf>
    <xf numFmtId="0" fontId="0" fillId="13" borderId="46" xfId="0" applyFill="1" applyBorder="1" applyAlignment="1">
      <alignment horizontal="center" vertical="center" wrapText="1"/>
    </xf>
    <xf numFmtId="0" fontId="0" fillId="13" borderId="47" xfId="0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18" fillId="12" borderId="55" xfId="0" applyFont="1" applyFill="1" applyBorder="1" applyAlignment="1">
      <alignment horizontal="center" vertical="center" wrapText="1"/>
    </xf>
    <xf numFmtId="0" fontId="18" fillId="12" borderId="37" xfId="0" applyFont="1" applyFill="1" applyBorder="1" applyAlignment="1">
      <alignment horizontal="center" vertical="center" wrapText="1"/>
    </xf>
    <xf numFmtId="0" fontId="18" fillId="12" borderId="39" xfId="0" applyFont="1" applyFill="1" applyBorder="1" applyAlignment="1">
      <alignment horizontal="center" vertical="center" wrapText="1"/>
    </xf>
    <xf numFmtId="0" fontId="0" fillId="13" borderId="45" xfId="0" applyFill="1" applyBorder="1" applyAlignment="1">
      <alignment horizontal="center" vertical="center" wrapText="1"/>
    </xf>
    <xf numFmtId="1" fontId="0" fillId="13" borderId="68" xfId="0" applyNumberFormat="1" applyFill="1" applyBorder="1" applyAlignment="1">
      <alignment horizontal="center" vertical="center" wrapText="1"/>
    </xf>
    <xf numFmtId="1" fontId="0" fillId="13" borderId="46" xfId="0" applyNumberForma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13" borderId="55" xfId="0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8" fillId="12" borderId="42" xfId="0" applyFont="1" applyFill="1" applyBorder="1" applyAlignment="1">
      <alignment horizontal="center" vertical="center" wrapText="1"/>
    </xf>
    <xf numFmtId="0" fontId="0" fillId="13" borderId="50" xfId="0" applyFill="1" applyBorder="1" applyAlignment="1">
      <alignment horizontal="center" vertical="center" wrapText="1"/>
    </xf>
    <xf numFmtId="0" fontId="0" fillId="13" borderId="59" xfId="0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13" borderId="58" xfId="0" applyFill="1" applyBorder="1" applyAlignment="1">
      <alignment horizontal="center" vertical="center" wrapText="1"/>
    </xf>
    <xf numFmtId="49" fontId="0" fillId="0" borderId="55" xfId="0" applyNumberForma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3" fillId="15" borderId="58" xfId="0" applyFont="1" applyFill="1" applyBorder="1" applyAlignment="1">
      <alignment horizontal="center" vertical="center" wrapText="1"/>
    </xf>
    <xf numFmtId="0" fontId="3" fillId="15" borderId="59" xfId="0" applyFont="1" applyFill="1" applyBorder="1" applyAlignment="1">
      <alignment horizontal="center" vertical="center" wrapText="1"/>
    </xf>
    <xf numFmtId="0" fontId="3" fillId="15" borderId="60" xfId="0" applyFont="1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1" fontId="0" fillId="13" borderId="58" xfId="0" applyNumberFormat="1" applyFill="1" applyBorder="1" applyAlignment="1">
      <alignment horizontal="center" vertical="center" wrapText="1"/>
    </xf>
    <xf numFmtId="1" fontId="0" fillId="13" borderId="55" xfId="0" applyNumberFormat="1" applyFill="1" applyBorder="1" applyAlignment="1">
      <alignment horizontal="center" vertical="center" wrapText="1"/>
    </xf>
    <xf numFmtId="0" fontId="0" fillId="13" borderId="72" xfId="0" applyFill="1" applyBorder="1" applyAlignment="1">
      <alignment horizontal="center" vertical="center" wrapText="1"/>
    </xf>
    <xf numFmtId="0" fontId="0" fillId="0" borderId="72" xfId="0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0" xfId="2" applyFont="1" applyFill="1" applyBorder="1" applyAlignment="1">
      <alignment horizontal="center" vertical="center"/>
    </xf>
    <xf numFmtId="0" fontId="8" fillId="10" borderId="16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  <xf numFmtId="0" fontId="3" fillId="8" borderId="31" xfId="2" applyFont="1" applyFill="1" applyBorder="1" applyAlignment="1">
      <alignment horizontal="left" vertical="center" wrapText="1"/>
    </xf>
    <xf numFmtId="0" fontId="3" fillId="8" borderId="27" xfId="2" applyFont="1" applyFill="1" applyBorder="1" applyAlignment="1">
      <alignment horizontal="left" vertical="center" wrapText="1"/>
    </xf>
    <xf numFmtId="0" fontId="12" fillId="8" borderId="32" xfId="2" applyFont="1" applyFill="1" applyBorder="1" applyAlignment="1">
      <alignment horizontal="center" vertical="center" wrapText="1"/>
    </xf>
    <xf numFmtId="0" fontId="12" fillId="8" borderId="21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8" fillId="7" borderId="33" xfId="2" applyFont="1" applyFill="1" applyBorder="1" applyAlignment="1">
      <alignment horizontal="center" vertical="center"/>
    </xf>
    <xf numFmtId="0" fontId="8" fillId="7" borderId="21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3" fillId="8" borderId="23" xfId="2" applyFont="1" applyFill="1" applyBorder="1" applyAlignment="1">
      <alignment horizontal="left" vertical="center" wrapText="1"/>
    </xf>
    <xf numFmtId="0" fontId="12" fillId="8" borderId="24" xfId="2" applyFont="1" applyFill="1" applyBorder="1" applyAlignment="1">
      <alignment horizontal="center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49" fontId="3" fillId="4" borderId="37" xfId="0" applyNumberFormat="1" applyFont="1" applyFill="1" applyBorder="1" applyAlignment="1">
      <alignment horizontal="center" vertical="center" wrapText="1"/>
    </xf>
    <xf numFmtId="0" fontId="0" fillId="0" borderId="66" xfId="0" applyFill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7" fillId="0" borderId="76" xfId="0" applyFont="1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1" fontId="0" fillId="0" borderId="64" xfId="0" applyNumberFormat="1" applyBorder="1" applyAlignment="1">
      <alignment horizontal="center" vertical="center" wrapText="1"/>
    </xf>
    <xf numFmtId="1" fontId="0" fillId="0" borderId="35" xfId="0" applyNumberFormat="1" applyBorder="1" applyAlignment="1">
      <alignment horizontal="center" vertical="center" wrapText="1"/>
    </xf>
    <xf numFmtId="1" fontId="0" fillId="0" borderId="35" xfId="0" applyNumberForma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" fontId="0" fillId="0" borderId="76" xfId="0" applyNumberFormat="1" applyBorder="1" applyAlignment="1">
      <alignment horizontal="center" vertical="center" wrapText="1"/>
    </xf>
    <xf numFmtId="0" fontId="18" fillId="12" borderId="41" xfId="0" applyFont="1" applyFill="1" applyBorder="1" applyAlignment="1">
      <alignment horizontal="center" vertical="center" wrapText="1"/>
    </xf>
    <xf numFmtId="0" fontId="18" fillId="12" borderId="78" xfId="0" applyFont="1" applyFill="1" applyBorder="1" applyAlignment="1">
      <alignment horizontal="center" vertical="center" wrapText="1"/>
    </xf>
    <xf numFmtId="0" fontId="18" fillId="12" borderId="79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3" fillId="17" borderId="58" xfId="0" applyNumberFormat="1" applyFont="1" applyFill="1" applyBorder="1" applyAlignment="1">
      <alignment horizontal="center" vertical="center" wrapText="1"/>
    </xf>
    <xf numFmtId="0" fontId="3" fillId="17" borderId="59" xfId="0" applyFont="1" applyFill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 wrapText="1"/>
    </xf>
    <xf numFmtId="0" fontId="18" fillId="12" borderId="6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xmlns="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xmlns="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xmlns="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3343275</xdr:colOff>
      <xdr:row>0</xdr:row>
      <xdr:rowOff>180975</xdr:rowOff>
    </xdr:from>
    <xdr:to>
      <xdr:col>1</xdr:col>
      <xdr:colOff>5772150</xdr:colOff>
      <xdr:row>0</xdr:row>
      <xdr:rowOff>600075</xdr:rowOff>
    </xdr:to>
    <xdr:pic>
      <xdr:nvPicPr>
        <xdr:cNvPr id="13" name="Picture 4" descr="Text&#10;&#10;Description automatically generated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180975"/>
          <a:ext cx="24288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438150</xdr:colOff>
      <xdr:row>0</xdr:row>
      <xdr:rowOff>123825</xdr:rowOff>
    </xdr:from>
    <xdr:to>
      <xdr:col>1</xdr:col>
      <xdr:colOff>847725</xdr:colOff>
      <xdr:row>0</xdr:row>
      <xdr:rowOff>657225</xdr:rowOff>
    </xdr:to>
    <xdr:pic>
      <xdr:nvPicPr>
        <xdr:cNvPr id="14" name="Picture 6" descr="Graphical user interface, text&#10;&#10;Description automatically generated with medium confidence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3825"/>
          <a:ext cx="24574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1562100</xdr:colOff>
      <xdr:row>0</xdr:row>
      <xdr:rowOff>28575</xdr:rowOff>
    </xdr:from>
    <xdr:to>
      <xdr:col>1</xdr:col>
      <xdr:colOff>2714625</xdr:colOff>
      <xdr:row>0</xdr:row>
      <xdr:rowOff>742950</xdr:rowOff>
    </xdr:to>
    <xdr:pic>
      <xdr:nvPicPr>
        <xdr:cNvPr id="15" name="Picture 5" descr="A picture containing text&#10;&#10;Description automatically generated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28575"/>
          <a:ext cx="11525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714375</xdr:colOff>
      <xdr:row>10</xdr:row>
      <xdr:rowOff>57149</xdr:rowOff>
    </xdr:from>
    <xdr:to>
      <xdr:col>0</xdr:col>
      <xdr:colOff>1133475</xdr:colOff>
      <xdr:row>10</xdr:row>
      <xdr:rowOff>1476375</xdr:rowOff>
    </xdr:to>
    <xdr:pic>
      <xdr:nvPicPr>
        <xdr:cNvPr id="19" name="Immagine 18" descr="A blue and white circular logo&#10;&#10;Description automatically generated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819649"/>
          <a:ext cx="419100" cy="141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sqref="A1:XFD1048576"/>
    </sheetView>
  </sheetViews>
  <sheetFormatPr defaultRowHeight="120.75" customHeight="1" x14ac:dyDescent="0.25"/>
  <cols>
    <col min="1" max="1" width="30.7109375" style="31" customWidth="1"/>
    <col min="2" max="2" width="90.7109375" style="31" customWidth="1"/>
    <col min="3" max="3" width="51.7109375" style="31" customWidth="1"/>
    <col min="4" max="253" width="9.140625" style="31"/>
    <col min="254" max="254" width="1.42578125" style="31" customWidth="1"/>
    <col min="255" max="255" width="31.28515625" style="31" customWidth="1"/>
    <col min="256" max="256" width="83.5703125" style="31" bestFit="1" customWidth="1"/>
    <col min="257" max="257" width="51.7109375" style="31" customWidth="1"/>
    <col min="258" max="509" width="9.140625" style="31"/>
    <col min="510" max="510" width="1.42578125" style="31" customWidth="1"/>
    <col min="511" max="511" width="31.28515625" style="31" customWidth="1"/>
    <col min="512" max="512" width="83.5703125" style="31" bestFit="1" customWidth="1"/>
    <col min="513" max="513" width="51.7109375" style="31" customWidth="1"/>
    <col min="514" max="765" width="9.140625" style="31"/>
    <col min="766" max="766" width="1.42578125" style="31" customWidth="1"/>
    <col min="767" max="767" width="31.28515625" style="31" customWidth="1"/>
    <col min="768" max="768" width="83.5703125" style="31" bestFit="1" customWidth="1"/>
    <col min="769" max="769" width="51.7109375" style="31" customWidth="1"/>
    <col min="770" max="1021" width="9.140625" style="31"/>
    <col min="1022" max="1022" width="1.42578125" style="31" customWidth="1"/>
    <col min="1023" max="1023" width="31.28515625" style="31" customWidth="1"/>
    <col min="1024" max="1024" width="83.5703125" style="31" bestFit="1" customWidth="1"/>
    <col min="1025" max="1025" width="51.7109375" style="31" customWidth="1"/>
    <col min="1026" max="1277" width="9.140625" style="31"/>
    <col min="1278" max="1278" width="1.42578125" style="31" customWidth="1"/>
    <col min="1279" max="1279" width="31.28515625" style="31" customWidth="1"/>
    <col min="1280" max="1280" width="83.5703125" style="31" bestFit="1" customWidth="1"/>
    <col min="1281" max="1281" width="51.7109375" style="31" customWidth="1"/>
    <col min="1282" max="1533" width="9.140625" style="31"/>
    <col min="1534" max="1534" width="1.42578125" style="31" customWidth="1"/>
    <col min="1535" max="1535" width="31.28515625" style="31" customWidth="1"/>
    <col min="1536" max="1536" width="83.5703125" style="31" bestFit="1" customWidth="1"/>
    <col min="1537" max="1537" width="51.7109375" style="31" customWidth="1"/>
    <col min="1538" max="1789" width="9.140625" style="31"/>
    <col min="1790" max="1790" width="1.42578125" style="31" customWidth="1"/>
    <col min="1791" max="1791" width="31.28515625" style="31" customWidth="1"/>
    <col min="1792" max="1792" width="83.5703125" style="31" bestFit="1" customWidth="1"/>
    <col min="1793" max="1793" width="51.7109375" style="31" customWidth="1"/>
    <col min="1794" max="2045" width="9.140625" style="31"/>
    <col min="2046" max="2046" width="1.42578125" style="31" customWidth="1"/>
    <col min="2047" max="2047" width="31.28515625" style="31" customWidth="1"/>
    <col min="2048" max="2048" width="83.5703125" style="31" bestFit="1" customWidth="1"/>
    <col min="2049" max="2049" width="51.7109375" style="31" customWidth="1"/>
    <col min="2050" max="2301" width="9.140625" style="31"/>
    <col min="2302" max="2302" width="1.42578125" style="31" customWidth="1"/>
    <col min="2303" max="2303" width="31.28515625" style="31" customWidth="1"/>
    <col min="2304" max="2304" width="83.5703125" style="31" bestFit="1" customWidth="1"/>
    <col min="2305" max="2305" width="51.7109375" style="31" customWidth="1"/>
    <col min="2306" max="2557" width="9.140625" style="31"/>
    <col min="2558" max="2558" width="1.42578125" style="31" customWidth="1"/>
    <col min="2559" max="2559" width="31.28515625" style="31" customWidth="1"/>
    <col min="2560" max="2560" width="83.5703125" style="31" bestFit="1" customWidth="1"/>
    <col min="2561" max="2561" width="51.7109375" style="31" customWidth="1"/>
    <col min="2562" max="2813" width="9.140625" style="31"/>
    <col min="2814" max="2814" width="1.42578125" style="31" customWidth="1"/>
    <col min="2815" max="2815" width="31.28515625" style="31" customWidth="1"/>
    <col min="2816" max="2816" width="83.5703125" style="31" bestFit="1" customWidth="1"/>
    <col min="2817" max="2817" width="51.7109375" style="31" customWidth="1"/>
    <col min="2818" max="3069" width="9.140625" style="31"/>
    <col min="3070" max="3070" width="1.42578125" style="31" customWidth="1"/>
    <col min="3071" max="3071" width="31.28515625" style="31" customWidth="1"/>
    <col min="3072" max="3072" width="83.5703125" style="31" bestFit="1" customWidth="1"/>
    <col min="3073" max="3073" width="51.7109375" style="31" customWidth="1"/>
    <col min="3074" max="3325" width="9.140625" style="31"/>
    <col min="3326" max="3326" width="1.42578125" style="31" customWidth="1"/>
    <col min="3327" max="3327" width="31.28515625" style="31" customWidth="1"/>
    <col min="3328" max="3328" width="83.5703125" style="31" bestFit="1" customWidth="1"/>
    <col min="3329" max="3329" width="51.7109375" style="31" customWidth="1"/>
    <col min="3330" max="3581" width="9.140625" style="31"/>
    <col min="3582" max="3582" width="1.42578125" style="31" customWidth="1"/>
    <col min="3583" max="3583" width="31.28515625" style="31" customWidth="1"/>
    <col min="3584" max="3584" width="83.5703125" style="31" bestFit="1" customWidth="1"/>
    <col min="3585" max="3585" width="51.7109375" style="31" customWidth="1"/>
    <col min="3586" max="3837" width="9.140625" style="31"/>
    <col min="3838" max="3838" width="1.42578125" style="31" customWidth="1"/>
    <col min="3839" max="3839" width="31.28515625" style="31" customWidth="1"/>
    <col min="3840" max="3840" width="83.5703125" style="31" bestFit="1" customWidth="1"/>
    <col min="3841" max="3841" width="51.7109375" style="31" customWidth="1"/>
    <col min="3842" max="4093" width="9.140625" style="31"/>
    <col min="4094" max="4094" width="1.42578125" style="31" customWidth="1"/>
    <col min="4095" max="4095" width="31.28515625" style="31" customWidth="1"/>
    <col min="4096" max="4096" width="83.5703125" style="31" bestFit="1" customWidth="1"/>
    <col min="4097" max="4097" width="51.7109375" style="31" customWidth="1"/>
    <col min="4098" max="4349" width="9.140625" style="31"/>
    <col min="4350" max="4350" width="1.42578125" style="31" customWidth="1"/>
    <col min="4351" max="4351" width="31.28515625" style="31" customWidth="1"/>
    <col min="4352" max="4352" width="83.5703125" style="31" bestFit="1" customWidth="1"/>
    <col min="4353" max="4353" width="51.7109375" style="31" customWidth="1"/>
    <col min="4354" max="4605" width="9.140625" style="31"/>
    <col min="4606" max="4606" width="1.42578125" style="31" customWidth="1"/>
    <col min="4607" max="4607" width="31.28515625" style="31" customWidth="1"/>
    <col min="4608" max="4608" width="83.5703125" style="31" bestFit="1" customWidth="1"/>
    <col min="4609" max="4609" width="51.7109375" style="31" customWidth="1"/>
    <col min="4610" max="4861" width="9.140625" style="31"/>
    <col min="4862" max="4862" width="1.42578125" style="31" customWidth="1"/>
    <col min="4863" max="4863" width="31.28515625" style="31" customWidth="1"/>
    <col min="4864" max="4864" width="83.5703125" style="31" bestFit="1" customWidth="1"/>
    <col min="4865" max="4865" width="51.7109375" style="31" customWidth="1"/>
    <col min="4866" max="5117" width="9.140625" style="31"/>
    <col min="5118" max="5118" width="1.42578125" style="31" customWidth="1"/>
    <col min="5119" max="5119" width="31.28515625" style="31" customWidth="1"/>
    <col min="5120" max="5120" width="83.5703125" style="31" bestFit="1" customWidth="1"/>
    <col min="5121" max="5121" width="51.7109375" style="31" customWidth="1"/>
    <col min="5122" max="5373" width="9.140625" style="31"/>
    <col min="5374" max="5374" width="1.42578125" style="31" customWidth="1"/>
    <col min="5375" max="5375" width="31.28515625" style="31" customWidth="1"/>
    <col min="5376" max="5376" width="83.5703125" style="31" bestFit="1" customWidth="1"/>
    <col min="5377" max="5377" width="51.7109375" style="31" customWidth="1"/>
    <col min="5378" max="5629" width="9.140625" style="31"/>
    <col min="5630" max="5630" width="1.42578125" style="31" customWidth="1"/>
    <col min="5631" max="5631" width="31.28515625" style="31" customWidth="1"/>
    <col min="5632" max="5632" width="83.5703125" style="31" bestFit="1" customWidth="1"/>
    <col min="5633" max="5633" width="51.7109375" style="31" customWidth="1"/>
    <col min="5634" max="5885" width="9.140625" style="31"/>
    <col min="5886" max="5886" width="1.42578125" style="31" customWidth="1"/>
    <col min="5887" max="5887" width="31.28515625" style="31" customWidth="1"/>
    <col min="5888" max="5888" width="83.5703125" style="31" bestFit="1" customWidth="1"/>
    <col min="5889" max="5889" width="51.7109375" style="31" customWidth="1"/>
    <col min="5890" max="6141" width="9.140625" style="31"/>
    <col min="6142" max="6142" width="1.42578125" style="31" customWidth="1"/>
    <col min="6143" max="6143" width="31.28515625" style="31" customWidth="1"/>
    <col min="6144" max="6144" width="83.5703125" style="31" bestFit="1" customWidth="1"/>
    <col min="6145" max="6145" width="51.7109375" style="31" customWidth="1"/>
    <col min="6146" max="6397" width="9.140625" style="31"/>
    <col min="6398" max="6398" width="1.42578125" style="31" customWidth="1"/>
    <col min="6399" max="6399" width="31.28515625" style="31" customWidth="1"/>
    <col min="6400" max="6400" width="83.5703125" style="31" bestFit="1" customWidth="1"/>
    <col min="6401" max="6401" width="51.7109375" style="31" customWidth="1"/>
    <col min="6402" max="6653" width="9.140625" style="31"/>
    <col min="6654" max="6654" width="1.42578125" style="31" customWidth="1"/>
    <col min="6655" max="6655" width="31.28515625" style="31" customWidth="1"/>
    <col min="6656" max="6656" width="83.5703125" style="31" bestFit="1" customWidth="1"/>
    <col min="6657" max="6657" width="51.7109375" style="31" customWidth="1"/>
    <col min="6658" max="6909" width="9.140625" style="31"/>
    <col min="6910" max="6910" width="1.42578125" style="31" customWidth="1"/>
    <col min="6911" max="6911" width="31.28515625" style="31" customWidth="1"/>
    <col min="6912" max="6912" width="83.5703125" style="31" bestFit="1" customWidth="1"/>
    <col min="6913" max="6913" width="51.7109375" style="31" customWidth="1"/>
    <col min="6914" max="7165" width="9.140625" style="31"/>
    <col min="7166" max="7166" width="1.42578125" style="31" customWidth="1"/>
    <col min="7167" max="7167" width="31.28515625" style="31" customWidth="1"/>
    <col min="7168" max="7168" width="83.5703125" style="31" bestFit="1" customWidth="1"/>
    <col min="7169" max="7169" width="51.7109375" style="31" customWidth="1"/>
    <col min="7170" max="7421" width="9.140625" style="31"/>
    <col min="7422" max="7422" width="1.42578125" style="31" customWidth="1"/>
    <col min="7423" max="7423" width="31.28515625" style="31" customWidth="1"/>
    <col min="7424" max="7424" width="83.5703125" style="31" bestFit="1" customWidth="1"/>
    <col min="7425" max="7425" width="51.7109375" style="31" customWidth="1"/>
    <col min="7426" max="7677" width="9.140625" style="31"/>
    <col min="7678" max="7678" width="1.42578125" style="31" customWidth="1"/>
    <col min="7679" max="7679" width="31.28515625" style="31" customWidth="1"/>
    <col min="7680" max="7680" width="83.5703125" style="31" bestFit="1" customWidth="1"/>
    <col min="7681" max="7681" width="51.7109375" style="31" customWidth="1"/>
    <col min="7682" max="7933" width="9.140625" style="31"/>
    <col min="7934" max="7934" width="1.42578125" style="31" customWidth="1"/>
    <col min="7935" max="7935" width="31.28515625" style="31" customWidth="1"/>
    <col min="7936" max="7936" width="83.5703125" style="31" bestFit="1" customWidth="1"/>
    <col min="7937" max="7937" width="51.7109375" style="31" customWidth="1"/>
    <col min="7938" max="8189" width="9.140625" style="31"/>
    <col min="8190" max="8190" width="1.42578125" style="31" customWidth="1"/>
    <col min="8191" max="8191" width="31.28515625" style="31" customWidth="1"/>
    <col min="8192" max="8192" width="83.5703125" style="31" bestFit="1" customWidth="1"/>
    <col min="8193" max="8193" width="51.7109375" style="31" customWidth="1"/>
    <col min="8194" max="8445" width="9.140625" style="31"/>
    <col min="8446" max="8446" width="1.42578125" style="31" customWidth="1"/>
    <col min="8447" max="8447" width="31.28515625" style="31" customWidth="1"/>
    <col min="8448" max="8448" width="83.5703125" style="31" bestFit="1" customWidth="1"/>
    <col min="8449" max="8449" width="51.7109375" style="31" customWidth="1"/>
    <col min="8450" max="8701" width="9.140625" style="31"/>
    <col min="8702" max="8702" width="1.42578125" style="31" customWidth="1"/>
    <col min="8703" max="8703" width="31.28515625" style="31" customWidth="1"/>
    <col min="8704" max="8704" width="83.5703125" style="31" bestFit="1" customWidth="1"/>
    <col min="8705" max="8705" width="51.7109375" style="31" customWidth="1"/>
    <col min="8706" max="8957" width="9.140625" style="31"/>
    <col min="8958" max="8958" width="1.42578125" style="31" customWidth="1"/>
    <col min="8959" max="8959" width="31.28515625" style="31" customWidth="1"/>
    <col min="8960" max="8960" width="83.5703125" style="31" bestFit="1" customWidth="1"/>
    <col min="8961" max="8961" width="51.7109375" style="31" customWidth="1"/>
    <col min="8962" max="9213" width="9.140625" style="31"/>
    <col min="9214" max="9214" width="1.42578125" style="31" customWidth="1"/>
    <col min="9215" max="9215" width="31.28515625" style="31" customWidth="1"/>
    <col min="9216" max="9216" width="83.5703125" style="31" bestFit="1" customWidth="1"/>
    <col min="9217" max="9217" width="51.7109375" style="31" customWidth="1"/>
    <col min="9218" max="9469" width="9.140625" style="31"/>
    <col min="9470" max="9470" width="1.42578125" style="31" customWidth="1"/>
    <col min="9471" max="9471" width="31.28515625" style="31" customWidth="1"/>
    <col min="9472" max="9472" width="83.5703125" style="31" bestFit="1" customWidth="1"/>
    <col min="9473" max="9473" width="51.7109375" style="31" customWidth="1"/>
    <col min="9474" max="9725" width="9.140625" style="31"/>
    <col min="9726" max="9726" width="1.42578125" style="31" customWidth="1"/>
    <col min="9727" max="9727" width="31.28515625" style="31" customWidth="1"/>
    <col min="9728" max="9728" width="83.5703125" style="31" bestFit="1" customWidth="1"/>
    <col min="9729" max="9729" width="51.7109375" style="31" customWidth="1"/>
    <col min="9730" max="9981" width="9.140625" style="31"/>
    <col min="9982" max="9982" width="1.42578125" style="31" customWidth="1"/>
    <col min="9983" max="9983" width="31.28515625" style="31" customWidth="1"/>
    <col min="9984" max="9984" width="83.5703125" style="31" bestFit="1" customWidth="1"/>
    <col min="9985" max="9985" width="51.7109375" style="31" customWidth="1"/>
    <col min="9986" max="10237" width="9.140625" style="31"/>
    <col min="10238" max="10238" width="1.42578125" style="31" customWidth="1"/>
    <col min="10239" max="10239" width="31.28515625" style="31" customWidth="1"/>
    <col min="10240" max="10240" width="83.5703125" style="31" bestFit="1" customWidth="1"/>
    <col min="10241" max="10241" width="51.7109375" style="31" customWidth="1"/>
    <col min="10242" max="10493" width="9.140625" style="31"/>
    <col min="10494" max="10494" width="1.42578125" style="31" customWidth="1"/>
    <col min="10495" max="10495" width="31.28515625" style="31" customWidth="1"/>
    <col min="10496" max="10496" width="83.5703125" style="31" bestFit="1" customWidth="1"/>
    <col min="10497" max="10497" width="51.7109375" style="31" customWidth="1"/>
    <col min="10498" max="10749" width="9.140625" style="31"/>
    <col min="10750" max="10750" width="1.42578125" style="31" customWidth="1"/>
    <col min="10751" max="10751" width="31.28515625" style="31" customWidth="1"/>
    <col min="10752" max="10752" width="83.5703125" style="31" bestFit="1" customWidth="1"/>
    <col min="10753" max="10753" width="51.7109375" style="31" customWidth="1"/>
    <col min="10754" max="11005" width="9.140625" style="31"/>
    <col min="11006" max="11006" width="1.42578125" style="31" customWidth="1"/>
    <col min="11007" max="11007" width="31.28515625" style="31" customWidth="1"/>
    <col min="11008" max="11008" width="83.5703125" style="31" bestFit="1" customWidth="1"/>
    <col min="11009" max="11009" width="51.7109375" style="31" customWidth="1"/>
    <col min="11010" max="11261" width="9.140625" style="31"/>
    <col min="11262" max="11262" width="1.42578125" style="31" customWidth="1"/>
    <col min="11263" max="11263" width="31.28515625" style="31" customWidth="1"/>
    <col min="11264" max="11264" width="83.5703125" style="31" bestFit="1" customWidth="1"/>
    <col min="11265" max="11265" width="51.7109375" style="31" customWidth="1"/>
    <col min="11266" max="11517" width="9.140625" style="31"/>
    <col min="11518" max="11518" width="1.42578125" style="31" customWidth="1"/>
    <col min="11519" max="11519" width="31.28515625" style="31" customWidth="1"/>
    <col min="11520" max="11520" width="83.5703125" style="31" bestFit="1" customWidth="1"/>
    <col min="11521" max="11521" width="51.7109375" style="31" customWidth="1"/>
    <col min="11522" max="11773" width="9.140625" style="31"/>
    <col min="11774" max="11774" width="1.42578125" style="31" customWidth="1"/>
    <col min="11775" max="11775" width="31.28515625" style="31" customWidth="1"/>
    <col min="11776" max="11776" width="83.5703125" style="31" bestFit="1" customWidth="1"/>
    <col min="11777" max="11777" width="51.7109375" style="31" customWidth="1"/>
    <col min="11778" max="12029" width="9.140625" style="31"/>
    <col min="12030" max="12030" width="1.42578125" style="31" customWidth="1"/>
    <col min="12031" max="12031" width="31.28515625" style="31" customWidth="1"/>
    <col min="12032" max="12032" width="83.5703125" style="31" bestFit="1" customWidth="1"/>
    <col min="12033" max="12033" width="51.7109375" style="31" customWidth="1"/>
    <col min="12034" max="12285" width="9.140625" style="31"/>
    <col min="12286" max="12286" width="1.42578125" style="31" customWidth="1"/>
    <col min="12287" max="12287" width="31.28515625" style="31" customWidth="1"/>
    <col min="12288" max="12288" width="83.5703125" style="31" bestFit="1" customWidth="1"/>
    <col min="12289" max="12289" width="51.7109375" style="31" customWidth="1"/>
    <col min="12290" max="12541" width="9.140625" style="31"/>
    <col min="12542" max="12542" width="1.42578125" style="31" customWidth="1"/>
    <col min="12543" max="12543" width="31.28515625" style="31" customWidth="1"/>
    <col min="12544" max="12544" width="83.5703125" style="31" bestFit="1" customWidth="1"/>
    <col min="12545" max="12545" width="51.7109375" style="31" customWidth="1"/>
    <col min="12546" max="12797" width="9.140625" style="31"/>
    <col min="12798" max="12798" width="1.42578125" style="31" customWidth="1"/>
    <col min="12799" max="12799" width="31.28515625" style="31" customWidth="1"/>
    <col min="12800" max="12800" width="83.5703125" style="31" bestFit="1" customWidth="1"/>
    <col min="12801" max="12801" width="51.7109375" style="31" customWidth="1"/>
    <col min="12802" max="13053" width="9.140625" style="31"/>
    <col min="13054" max="13054" width="1.42578125" style="31" customWidth="1"/>
    <col min="13055" max="13055" width="31.28515625" style="31" customWidth="1"/>
    <col min="13056" max="13056" width="83.5703125" style="31" bestFit="1" customWidth="1"/>
    <col min="13057" max="13057" width="51.7109375" style="31" customWidth="1"/>
    <col min="13058" max="13309" width="9.140625" style="31"/>
    <col min="13310" max="13310" width="1.42578125" style="31" customWidth="1"/>
    <col min="13311" max="13311" width="31.28515625" style="31" customWidth="1"/>
    <col min="13312" max="13312" width="83.5703125" style="31" bestFit="1" customWidth="1"/>
    <col min="13313" max="13313" width="51.7109375" style="31" customWidth="1"/>
    <col min="13314" max="13565" width="9.140625" style="31"/>
    <col min="13566" max="13566" width="1.42578125" style="31" customWidth="1"/>
    <col min="13567" max="13567" width="31.28515625" style="31" customWidth="1"/>
    <col min="13568" max="13568" width="83.5703125" style="31" bestFit="1" customWidth="1"/>
    <col min="13569" max="13569" width="51.7109375" style="31" customWidth="1"/>
    <col min="13570" max="13821" width="9.140625" style="31"/>
    <col min="13822" max="13822" width="1.42578125" style="31" customWidth="1"/>
    <col min="13823" max="13823" width="31.28515625" style="31" customWidth="1"/>
    <col min="13824" max="13824" width="83.5703125" style="31" bestFit="1" customWidth="1"/>
    <col min="13825" max="13825" width="51.7109375" style="31" customWidth="1"/>
    <col min="13826" max="14077" width="9.140625" style="31"/>
    <col min="14078" max="14078" width="1.42578125" style="31" customWidth="1"/>
    <col min="14079" max="14079" width="31.28515625" style="31" customWidth="1"/>
    <col min="14080" max="14080" width="83.5703125" style="31" bestFit="1" customWidth="1"/>
    <col min="14081" max="14081" width="51.7109375" style="31" customWidth="1"/>
    <col min="14082" max="14333" width="9.140625" style="31"/>
    <col min="14334" max="14334" width="1.42578125" style="31" customWidth="1"/>
    <col min="14335" max="14335" width="31.28515625" style="31" customWidth="1"/>
    <col min="14336" max="14336" width="83.5703125" style="31" bestFit="1" customWidth="1"/>
    <col min="14337" max="14337" width="51.7109375" style="31" customWidth="1"/>
    <col min="14338" max="14589" width="9.140625" style="31"/>
    <col min="14590" max="14590" width="1.42578125" style="31" customWidth="1"/>
    <col min="14591" max="14591" width="31.28515625" style="31" customWidth="1"/>
    <col min="14592" max="14592" width="83.5703125" style="31" bestFit="1" customWidth="1"/>
    <col min="14593" max="14593" width="51.7109375" style="31" customWidth="1"/>
    <col min="14594" max="14845" width="9.140625" style="31"/>
    <col min="14846" max="14846" width="1.42578125" style="31" customWidth="1"/>
    <col min="14847" max="14847" width="31.28515625" style="31" customWidth="1"/>
    <col min="14848" max="14848" width="83.5703125" style="31" bestFit="1" customWidth="1"/>
    <col min="14849" max="14849" width="51.7109375" style="31" customWidth="1"/>
    <col min="14850" max="15101" width="9.140625" style="31"/>
    <col min="15102" max="15102" width="1.42578125" style="31" customWidth="1"/>
    <col min="15103" max="15103" width="31.28515625" style="31" customWidth="1"/>
    <col min="15104" max="15104" width="83.5703125" style="31" bestFit="1" customWidth="1"/>
    <col min="15105" max="15105" width="51.7109375" style="31" customWidth="1"/>
    <col min="15106" max="15357" width="9.140625" style="31"/>
    <col min="15358" max="15358" width="1.42578125" style="31" customWidth="1"/>
    <col min="15359" max="15359" width="31.28515625" style="31" customWidth="1"/>
    <col min="15360" max="15360" width="83.5703125" style="31" bestFit="1" customWidth="1"/>
    <col min="15361" max="15361" width="51.7109375" style="31" customWidth="1"/>
    <col min="15362" max="15613" width="9.140625" style="31"/>
    <col min="15614" max="15614" width="1.42578125" style="31" customWidth="1"/>
    <col min="15615" max="15615" width="31.28515625" style="31" customWidth="1"/>
    <col min="15616" max="15616" width="83.5703125" style="31" bestFit="1" customWidth="1"/>
    <col min="15617" max="15617" width="51.7109375" style="31" customWidth="1"/>
    <col min="15618" max="15869" width="9.140625" style="31"/>
    <col min="15870" max="15870" width="1.42578125" style="31" customWidth="1"/>
    <col min="15871" max="15871" width="31.28515625" style="31" customWidth="1"/>
    <col min="15872" max="15872" width="83.5703125" style="31" bestFit="1" customWidth="1"/>
    <col min="15873" max="15873" width="51.7109375" style="31" customWidth="1"/>
    <col min="15874" max="16125" width="9.140625" style="31"/>
    <col min="16126" max="16126" width="1.42578125" style="31" customWidth="1"/>
    <col min="16127" max="16127" width="31.28515625" style="31" customWidth="1"/>
    <col min="16128" max="16128" width="83.5703125" style="31" bestFit="1" customWidth="1"/>
    <col min="16129" max="16129" width="51.7109375" style="31" customWidth="1"/>
    <col min="16130" max="16384" width="9.140625" style="31"/>
  </cols>
  <sheetData>
    <row r="1" spans="1:14" ht="60" customHeight="1" x14ac:dyDescent="0.25">
      <c r="A1" s="108"/>
      <c r="B1" s="108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</row>
    <row r="2" spans="1:14" ht="60" customHeight="1" x14ac:dyDescent="0.25">
      <c r="A2" s="112" t="s">
        <v>112</v>
      </c>
      <c r="B2" s="112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 spans="1:14" ht="15" customHeight="1" x14ac:dyDescent="0.25">
      <c r="A3" s="112"/>
      <c r="B3" s="112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</row>
    <row r="4" spans="1:14" ht="15" customHeight="1" x14ac:dyDescent="0.25">
      <c r="A4" s="40" t="s">
        <v>0</v>
      </c>
      <c r="B4" s="95" t="s">
        <v>110</v>
      </c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</row>
    <row r="5" spans="1:14" ht="15" customHeight="1" x14ac:dyDescent="0.25">
      <c r="A5" s="40" t="s">
        <v>1</v>
      </c>
      <c r="B5" s="95" t="s">
        <v>111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</row>
    <row r="6" spans="1:14" ht="15" customHeight="1" x14ac:dyDescent="0.25">
      <c r="A6" s="40" t="s">
        <v>2</v>
      </c>
      <c r="B6" s="41" t="s">
        <v>113</v>
      </c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</row>
    <row r="7" spans="1:14" ht="15" customHeight="1" x14ac:dyDescent="0.25">
      <c r="A7" s="40" t="s">
        <v>3</v>
      </c>
      <c r="B7" s="42">
        <v>46013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</row>
    <row r="8" spans="1:14" ht="15" customHeight="1" x14ac:dyDescent="0.25">
      <c r="A8" s="40" t="s">
        <v>4</v>
      </c>
      <c r="B8" s="41" t="s">
        <v>109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</row>
    <row r="9" spans="1:14" ht="15" customHeight="1" x14ac:dyDescent="0.25">
      <c r="A9" s="40" t="s">
        <v>5</v>
      </c>
      <c r="B9" s="41" t="s">
        <v>78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</row>
    <row r="10" spans="1:14" ht="90" customHeight="1" x14ac:dyDescent="0.25">
      <c r="A10" s="107" t="s">
        <v>6</v>
      </c>
      <c r="B10" s="107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</row>
    <row r="11" spans="1:14" ht="120" customHeight="1" x14ac:dyDescent="0.25">
      <c r="A11" s="109" t="s">
        <v>114</v>
      </c>
      <c r="B11" s="110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</row>
    <row r="12" spans="1:14" ht="120.75" customHeight="1" x14ac:dyDescent="0.25">
      <c r="A12" s="108"/>
      <c r="B12" s="108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</row>
    <row r="61" ht="15" x14ac:dyDescent="0.25"/>
  </sheetData>
  <mergeCells count="6">
    <mergeCell ref="A10:B10"/>
    <mergeCell ref="A1:B1"/>
    <mergeCell ref="A11:B11"/>
    <mergeCell ref="C1:N12"/>
    <mergeCell ref="A12:B12"/>
    <mergeCell ref="A2:B3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2.7109375" style="100" customWidth="1"/>
    <col min="2" max="3" width="20.7109375" style="100" customWidth="1"/>
    <col min="4" max="4" width="10.7109375" style="100" customWidth="1"/>
    <col min="5" max="5" width="30.7109375" style="100" customWidth="1"/>
    <col min="6" max="6" width="10.7109375" style="100" customWidth="1"/>
    <col min="7" max="7" width="45.7109375" style="100" customWidth="1"/>
    <col min="8" max="8" width="11.7109375" style="100" customWidth="1"/>
    <col min="9" max="9" width="16.7109375" style="100" customWidth="1"/>
    <col min="10" max="10" width="5.7109375" style="100" customWidth="1"/>
    <col min="11" max="11" width="11.28515625" style="100" bestFit="1" customWidth="1"/>
    <col min="12" max="12" width="9.7109375" style="100" bestFit="1" customWidth="1"/>
    <col min="13" max="16384" width="9.140625" style="100"/>
  </cols>
  <sheetData>
    <row r="1" spans="1:11" s="100" customFormat="1" ht="30" customHeight="1" thickBot="1" x14ac:dyDescent="0.3">
      <c r="A1" s="114" t="s">
        <v>4</v>
      </c>
      <c r="B1" s="114"/>
      <c r="C1" s="113" t="str">
        <f>Copertina!B8</f>
        <v>MEV 2025_48 PNRR Scheda Intervento Evolutive di SIES v1.0</v>
      </c>
      <c r="D1" s="113"/>
      <c r="E1" s="113"/>
      <c r="F1" s="113"/>
      <c r="G1" s="113"/>
      <c r="H1" s="113"/>
      <c r="I1" s="113"/>
      <c r="J1" s="113"/>
    </row>
    <row r="2" spans="1:11" s="100" customFormat="1" ht="30" customHeight="1" thickBot="1" x14ac:dyDescent="0.3">
      <c r="A2" s="114" t="s">
        <v>11</v>
      </c>
      <c r="B2" s="114"/>
      <c r="C2" s="113" t="str">
        <f>Copertina!B4</f>
        <v>B6437AAAEB-2025-48_PNRR_Allegato_al_Piano_dei_Test_Evolutive_di_SIES_v1.0.xlsx</v>
      </c>
      <c r="D2" s="113"/>
      <c r="E2" s="113"/>
      <c r="F2" s="113"/>
      <c r="G2" s="113"/>
      <c r="H2" s="113"/>
      <c r="I2" s="113"/>
      <c r="J2" s="113"/>
    </row>
    <row r="3" spans="1:11" s="100" customFormat="1" ht="30" customHeight="1" thickBot="1" x14ac:dyDescent="0.3">
      <c r="A3" s="67" t="s">
        <v>7</v>
      </c>
      <c r="B3" s="68" t="s">
        <v>82</v>
      </c>
      <c r="C3" s="69" t="s">
        <v>30</v>
      </c>
      <c r="D3" s="96" t="s">
        <v>83</v>
      </c>
      <c r="E3" s="188" t="s">
        <v>84</v>
      </c>
      <c r="F3" s="97" t="s">
        <v>8</v>
      </c>
      <c r="G3" s="70" t="s">
        <v>28</v>
      </c>
      <c r="H3" s="71" t="s">
        <v>9</v>
      </c>
      <c r="I3" s="72" t="s">
        <v>81</v>
      </c>
      <c r="J3" s="73" t="s">
        <v>10</v>
      </c>
    </row>
    <row r="4" spans="1:11" s="100" customFormat="1" ht="75" customHeight="1" x14ac:dyDescent="0.25">
      <c r="A4" s="74" t="s">
        <v>115</v>
      </c>
      <c r="B4" s="194" t="s">
        <v>116</v>
      </c>
      <c r="C4" s="194" t="s">
        <v>116</v>
      </c>
      <c r="D4" s="75" t="s">
        <v>75</v>
      </c>
      <c r="E4" s="75" t="s">
        <v>117</v>
      </c>
      <c r="F4" s="75" t="str">
        <f t="shared" ref="F4:F30" si="0">CONCATENATE("TF0",MID(B4,LEN(B4)-1,2),".",D4)</f>
        <v>TF001.UC01</v>
      </c>
      <c r="G4" s="76" t="s">
        <v>118</v>
      </c>
      <c r="H4" s="75">
        <v>3</v>
      </c>
      <c r="I4" s="75" t="s">
        <v>25</v>
      </c>
      <c r="J4" s="77"/>
      <c r="K4" s="99"/>
    </row>
    <row r="5" spans="1:11" s="100" customFormat="1" ht="45" customHeight="1" x14ac:dyDescent="0.25">
      <c r="A5" s="78" t="s">
        <v>115</v>
      </c>
      <c r="B5" s="195" t="s">
        <v>156</v>
      </c>
      <c r="C5" s="195" t="s">
        <v>156</v>
      </c>
      <c r="D5" s="79" t="s">
        <v>75</v>
      </c>
      <c r="E5" s="80" t="s">
        <v>133</v>
      </c>
      <c r="F5" s="79" t="str">
        <f t="shared" si="0"/>
        <v>TF002.UC01</v>
      </c>
      <c r="G5" s="80" t="s">
        <v>134</v>
      </c>
      <c r="H5" s="79">
        <v>2</v>
      </c>
      <c r="I5" s="79" t="s">
        <v>24</v>
      </c>
      <c r="J5" s="81"/>
      <c r="K5" s="99"/>
    </row>
    <row r="6" spans="1:11" s="100" customFormat="1" ht="45" customHeight="1" x14ac:dyDescent="0.25">
      <c r="A6" s="78" t="s">
        <v>115</v>
      </c>
      <c r="B6" s="195" t="s">
        <v>157</v>
      </c>
      <c r="C6" s="195" t="str">
        <f>B6</f>
        <v>PAR. 2.3-048-03</v>
      </c>
      <c r="D6" s="79" t="s">
        <v>75</v>
      </c>
      <c r="E6" s="79" t="s">
        <v>158</v>
      </c>
      <c r="F6" s="79" t="str">
        <f t="shared" si="0"/>
        <v>TF003.UC01</v>
      </c>
      <c r="G6" s="80" t="s">
        <v>159</v>
      </c>
      <c r="H6" s="79">
        <v>3</v>
      </c>
      <c r="I6" s="79" t="s">
        <v>25</v>
      </c>
      <c r="J6" s="81"/>
      <c r="K6" s="99"/>
    </row>
    <row r="7" spans="1:11" s="100" customFormat="1" ht="45" customHeight="1" x14ac:dyDescent="0.25">
      <c r="A7" s="78" t="s">
        <v>115</v>
      </c>
      <c r="B7" s="195" t="s">
        <v>168</v>
      </c>
      <c r="C7" s="195" t="str">
        <f>B7</f>
        <v>PAR. 2.4-048-04</v>
      </c>
      <c r="D7" s="79" t="s">
        <v>75</v>
      </c>
      <c r="E7" s="80" t="s">
        <v>169</v>
      </c>
      <c r="F7" s="79" t="str">
        <f t="shared" si="0"/>
        <v>TF004.UC01</v>
      </c>
      <c r="G7" s="80" t="s">
        <v>170</v>
      </c>
      <c r="H7" s="79">
        <v>2</v>
      </c>
      <c r="I7" s="79" t="s">
        <v>24</v>
      </c>
      <c r="J7" s="81"/>
      <c r="K7" s="99"/>
    </row>
    <row r="8" spans="1:11" s="100" customFormat="1" ht="45" customHeight="1" x14ac:dyDescent="0.25">
      <c r="A8" s="78" t="s">
        <v>115</v>
      </c>
      <c r="B8" s="195" t="s">
        <v>180</v>
      </c>
      <c r="C8" s="195" t="str">
        <f>B8</f>
        <v>PAR. 2.5-048-05</v>
      </c>
      <c r="D8" s="79" t="s">
        <v>75</v>
      </c>
      <c r="E8" s="80" t="s">
        <v>181</v>
      </c>
      <c r="F8" s="79" t="str">
        <f t="shared" si="0"/>
        <v>TF005.UC01</v>
      </c>
      <c r="G8" s="80" t="s">
        <v>517</v>
      </c>
      <c r="H8" s="79">
        <v>2</v>
      </c>
      <c r="I8" s="79" t="s">
        <v>24</v>
      </c>
      <c r="J8" s="81"/>
      <c r="K8" s="99"/>
    </row>
    <row r="9" spans="1:11" s="100" customFormat="1" ht="60" customHeight="1" x14ac:dyDescent="0.25">
      <c r="A9" s="78" t="s">
        <v>115</v>
      </c>
      <c r="B9" s="195" t="s">
        <v>190</v>
      </c>
      <c r="C9" s="195" t="str">
        <f>B9</f>
        <v>PAR. 2.6-048-06</v>
      </c>
      <c r="D9" s="79" t="s">
        <v>75</v>
      </c>
      <c r="E9" s="80" t="s">
        <v>191</v>
      </c>
      <c r="F9" s="79" t="str">
        <f t="shared" si="0"/>
        <v>TF006.UC01</v>
      </c>
      <c r="G9" s="80" t="s">
        <v>192</v>
      </c>
      <c r="H9" s="79">
        <v>3</v>
      </c>
      <c r="I9" s="79" t="s">
        <v>25</v>
      </c>
      <c r="J9" s="81"/>
      <c r="K9" s="99"/>
    </row>
    <row r="10" spans="1:11" s="100" customFormat="1" ht="45" customHeight="1" x14ac:dyDescent="0.25">
      <c r="A10" s="78" t="s">
        <v>115</v>
      </c>
      <c r="B10" s="195" t="s">
        <v>211</v>
      </c>
      <c r="C10" s="195" t="s">
        <v>211</v>
      </c>
      <c r="D10" s="79" t="s">
        <v>75</v>
      </c>
      <c r="E10" s="80" t="s">
        <v>212</v>
      </c>
      <c r="F10" s="79" t="str">
        <f t="shared" si="0"/>
        <v>TF007.UC01</v>
      </c>
      <c r="G10" s="80" t="s">
        <v>213</v>
      </c>
      <c r="H10" s="79">
        <v>3</v>
      </c>
      <c r="I10" s="79" t="s">
        <v>25</v>
      </c>
      <c r="J10" s="81"/>
      <c r="K10" s="99"/>
    </row>
    <row r="11" spans="1:11" s="100" customFormat="1" ht="45" customHeight="1" x14ac:dyDescent="0.25">
      <c r="A11" s="78" t="s">
        <v>115</v>
      </c>
      <c r="B11" s="195" t="s">
        <v>223</v>
      </c>
      <c r="C11" s="195" t="s">
        <v>223</v>
      </c>
      <c r="D11" s="79" t="s">
        <v>75</v>
      </c>
      <c r="E11" s="80" t="s">
        <v>236</v>
      </c>
      <c r="F11" s="79" t="str">
        <f t="shared" si="0"/>
        <v>TF008.UC01</v>
      </c>
      <c r="G11" s="80" t="s">
        <v>237</v>
      </c>
      <c r="H11" s="79">
        <v>2</v>
      </c>
      <c r="I11" s="79" t="s">
        <v>24</v>
      </c>
      <c r="J11" s="81"/>
      <c r="K11" s="99"/>
    </row>
    <row r="12" spans="1:11" s="100" customFormat="1" ht="45" customHeight="1" x14ac:dyDescent="0.25">
      <c r="A12" s="78" t="s">
        <v>115</v>
      </c>
      <c r="B12" s="195" t="s">
        <v>223</v>
      </c>
      <c r="C12" s="195" t="s">
        <v>223</v>
      </c>
      <c r="D12" s="79" t="s">
        <v>76</v>
      </c>
      <c r="E12" s="80" t="s">
        <v>236</v>
      </c>
      <c r="F12" s="79" t="str">
        <f t="shared" si="0"/>
        <v>TF008.UC02</v>
      </c>
      <c r="G12" s="80" t="s">
        <v>241</v>
      </c>
      <c r="H12" s="79">
        <v>2</v>
      </c>
      <c r="I12" s="79" t="s">
        <v>24</v>
      </c>
      <c r="J12" s="81"/>
      <c r="K12" s="99"/>
    </row>
    <row r="13" spans="1:11" s="100" customFormat="1" ht="45" customHeight="1" x14ac:dyDescent="0.25">
      <c r="A13" s="78" t="s">
        <v>115</v>
      </c>
      <c r="B13" s="195" t="s">
        <v>223</v>
      </c>
      <c r="C13" s="195" t="s">
        <v>223</v>
      </c>
      <c r="D13" s="79" t="s">
        <v>77</v>
      </c>
      <c r="E13" s="80" t="s">
        <v>236</v>
      </c>
      <c r="F13" s="79" t="str">
        <f t="shared" si="0"/>
        <v>TF008.UC03</v>
      </c>
      <c r="G13" s="80" t="s">
        <v>242</v>
      </c>
      <c r="H13" s="79">
        <v>2</v>
      </c>
      <c r="I13" s="79" t="s">
        <v>24</v>
      </c>
      <c r="J13" s="81"/>
      <c r="K13" s="99"/>
    </row>
    <row r="14" spans="1:11" s="100" customFormat="1" ht="45" customHeight="1" x14ac:dyDescent="0.25">
      <c r="A14" s="78" t="s">
        <v>115</v>
      </c>
      <c r="B14" s="195" t="s">
        <v>245</v>
      </c>
      <c r="C14" s="195" t="s">
        <v>245</v>
      </c>
      <c r="D14" s="79" t="s">
        <v>75</v>
      </c>
      <c r="E14" s="80" t="s">
        <v>246</v>
      </c>
      <c r="F14" s="79" t="str">
        <f t="shared" si="0"/>
        <v>TF009.UC01</v>
      </c>
      <c r="G14" s="80" t="s">
        <v>247</v>
      </c>
      <c r="H14" s="79">
        <v>3</v>
      </c>
      <c r="I14" s="79" t="s">
        <v>25</v>
      </c>
      <c r="J14" s="81"/>
      <c r="K14" s="99"/>
    </row>
    <row r="15" spans="1:11" s="100" customFormat="1" ht="45" customHeight="1" x14ac:dyDescent="0.25">
      <c r="A15" s="78" t="s">
        <v>115</v>
      </c>
      <c r="B15" s="195" t="s">
        <v>401</v>
      </c>
      <c r="C15" s="195" t="s">
        <v>401</v>
      </c>
      <c r="D15" s="79" t="s">
        <v>75</v>
      </c>
      <c r="E15" s="80" t="s">
        <v>400</v>
      </c>
      <c r="F15" s="79" t="str">
        <f t="shared" ref="F15" si="1">CONCATENATE("TF0",MID(B15,LEN(B15)-1,2),".",D15)</f>
        <v>TF010.UC01</v>
      </c>
      <c r="G15" s="80" t="s">
        <v>402</v>
      </c>
      <c r="H15" s="79">
        <v>2</v>
      </c>
      <c r="I15" s="79" t="s">
        <v>24</v>
      </c>
      <c r="J15" s="81"/>
      <c r="K15" s="99"/>
    </row>
    <row r="16" spans="1:11" s="100" customFormat="1" ht="45" customHeight="1" x14ac:dyDescent="0.25">
      <c r="A16" s="78" t="s">
        <v>115</v>
      </c>
      <c r="B16" s="195" t="s">
        <v>254</v>
      </c>
      <c r="C16" s="195" t="s">
        <v>254</v>
      </c>
      <c r="D16" s="79" t="s">
        <v>75</v>
      </c>
      <c r="E16" s="80" t="s">
        <v>255</v>
      </c>
      <c r="F16" s="79" t="str">
        <f t="shared" si="0"/>
        <v>TF011.UC01</v>
      </c>
      <c r="G16" s="80" t="s">
        <v>256</v>
      </c>
      <c r="H16" s="79">
        <v>2</v>
      </c>
      <c r="I16" s="79" t="s">
        <v>24</v>
      </c>
      <c r="J16" s="81"/>
    </row>
    <row r="17" spans="1:11" s="100" customFormat="1" ht="45" customHeight="1" x14ac:dyDescent="0.25">
      <c r="A17" s="78" t="s">
        <v>115</v>
      </c>
      <c r="B17" s="195" t="s">
        <v>278</v>
      </c>
      <c r="C17" s="195" t="s">
        <v>278</v>
      </c>
      <c r="D17" s="79" t="s">
        <v>75</v>
      </c>
      <c r="E17" s="80" t="s">
        <v>279</v>
      </c>
      <c r="F17" s="79" t="str">
        <f t="shared" si="0"/>
        <v>TF012.UC01</v>
      </c>
      <c r="G17" s="80" t="s">
        <v>280</v>
      </c>
      <c r="H17" s="79">
        <v>2</v>
      </c>
      <c r="I17" s="98" t="s">
        <v>24</v>
      </c>
      <c r="J17" s="81"/>
    </row>
    <row r="18" spans="1:11" s="100" customFormat="1" ht="45" customHeight="1" x14ac:dyDescent="0.25">
      <c r="A18" s="78" t="s">
        <v>115</v>
      </c>
      <c r="B18" s="195" t="s">
        <v>295</v>
      </c>
      <c r="C18" s="195" t="s">
        <v>295</v>
      </c>
      <c r="D18" s="79" t="s">
        <v>75</v>
      </c>
      <c r="E18" s="80" t="s">
        <v>296</v>
      </c>
      <c r="F18" s="79" t="str">
        <f t="shared" si="0"/>
        <v>TF013.UC01</v>
      </c>
      <c r="G18" s="80" t="s">
        <v>297</v>
      </c>
      <c r="H18" s="79">
        <v>2</v>
      </c>
      <c r="I18" s="79" t="s">
        <v>24</v>
      </c>
      <c r="J18" s="81"/>
      <c r="K18" s="99"/>
    </row>
    <row r="19" spans="1:11" s="198" customFormat="1" ht="45" customHeight="1" x14ac:dyDescent="0.25">
      <c r="A19" s="189" t="s">
        <v>115</v>
      </c>
      <c r="B19" s="196" t="s">
        <v>309</v>
      </c>
      <c r="C19" s="196" t="s">
        <v>309</v>
      </c>
      <c r="D19" s="104" t="s">
        <v>75</v>
      </c>
      <c r="E19" s="105" t="s">
        <v>310</v>
      </c>
      <c r="F19" s="104" t="str">
        <f t="shared" si="0"/>
        <v>TF014.UC01</v>
      </c>
      <c r="G19" s="105" t="s">
        <v>311</v>
      </c>
      <c r="H19" s="104">
        <v>2</v>
      </c>
      <c r="I19" s="104" t="s">
        <v>24</v>
      </c>
      <c r="J19" s="106"/>
      <c r="K19" s="197"/>
    </row>
    <row r="20" spans="1:11" s="100" customFormat="1" ht="45" customHeight="1" x14ac:dyDescent="0.25">
      <c r="A20" s="78" t="s">
        <v>115</v>
      </c>
      <c r="B20" s="195" t="s">
        <v>314</v>
      </c>
      <c r="C20" s="195" t="s">
        <v>314</v>
      </c>
      <c r="D20" s="79" t="s">
        <v>75</v>
      </c>
      <c r="E20" s="80" t="s">
        <v>315</v>
      </c>
      <c r="F20" s="79" t="str">
        <f t="shared" si="0"/>
        <v>TF015.UC01</v>
      </c>
      <c r="G20" s="80" t="s">
        <v>316</v>
      </c>
      <c r="H20" s="79">
        <v>2</v>
      </c>
      <c r="I20" s="79" t="s">
        <v>24</v>
      </c>
      <c r="J20" s="81"/>
      <c r="K20" s="99"/>
    </row>
    <row r="21" spans="1:11" s="100" customFormat="1" ht="45" customHeight="1" x14ac:dyDescent="0.25">
      <c r="A21" s="78" t="s">
        <v>115</v>
      </c>
      <c r="B21" s="195" t="s">
        <v>347</v>
      </c>
      <c r="C21" s="195" t="s">
        <v>347</v>
      </c>
      <c r="D21" s="79" t="s">
        <v>75</v>
      </c>
      <c r="E21" s="80" t="s">
        <v>348</v>
      </c>
      <c r="F21" s="79" t="str">
        <f t="shared" si="0"/>
        <v>TF016.UC01</v>
      </c>
      <c r="G21" s="80" t="s">
        <v>349</v>
      </c>
      <c r="H21" s="79">
        <v>3</v>
      </c>
      <c r="I21" s="79" t="s">
        <v>25</v>
      </c>
      <c r="J21" s="81"/>
      <c r="K21" s="99"/>
    </row>
    <row r="22" spans="1:11" s="100" customFormat="1" ht="45" customHeight="1" x14ac:dyDescent="0.25">
      <c r="A22" s="78" t="s">
        <v>115</v>
      </c>
      <c r="B22" s="195" t="s">
        <v>358</v>
      </c>
      <c r="C22" s="195" t="str">
        <f>B22</f>
        <v>PAR. 2.17-048-17</v>
      </c>
      <c r="D22" s="79" t="s">
        <v>75</v>
      </c>
      <c r="E22" s="80" t="s">
        <v>359</v>
      </c>
      <c r="F22" s="79" t="str">
        <f t="shared" si="0"/>
        <v>TF017.UC01</v>
      </c>
      <c r="G22" s="80" t="s">
        <v>360</v>
      </c>
      <c r="H22" s="79">
        <v>3</v>
      </c>
      <c r="I22" s="79" t="s">
        <v>25</v>
      </c>
      <c r="J22" s="81"/>
    </row>
    <row r="23" spans="1:11" s="100" customFormat="1" ht="45" customHeight="1" x14ac:dyDescent="0.25">
      <c r="A23" s="78" t="s">
        <v>115</v>
      </c>
      <c r="B23" s="195" t="s">
        <v>358</v>
      </c>
      <c r="C23" s="195" t="str">
        <f>B23</f>
        <v>PAR. 2.17-048-17</v>
      </c>
      <c r="D23" s="79" t="s">
        <v>76</v>
      </c>
      <c r="E23" s="80" t="s">
        <v>368</v>
      </c>
      <c r="F23" s="79" t="str">
        <f t="shared" si="0"/>
        <v>TF017.UC02</v>
      </c>
      <c r="G23" s="80" t="s">
        <v>369</v>
      </c>
      <c r="H23" s="79">
        <v>2</v>
      </c>
      <c r="I23" s="79" t="s">
        <v>24</v>
      </c>
      <c r="J23" s="81"/>
    </row>
    <row r="24" spans="1:11" s="100" customFormat="1" ht="45" customHeight="1" x14ac:dyDescent="0.25">
      <c r="A24" s="78" t="s">
        <v>115</v>
      </c>
      <c r="B24" s="195" t="s">
        <v>358</v>
      </c>
      <c r="C24" s="195" t="s">
        <v>358</v>
      </c>
      <c r="D24" s="79" t="s">
        <v>77</v>
      </c>
      <c r="E24" s="80" t="s">
        <v>379</v>
      </c>
      <c r="F24" s="79" t="str">
        <f t="shared" si="0"/>
        <v>TF017.UC03</v>
      </c>
      <c r="G24" s="80" t="s">
        <v>380</v>
      </c>
      <c r="H24" s="79">
        <v>2</v>
      </c>
      <c r="I24" s="79" t="s">
        <v>24</v>
      </c>
      <c r="J24" s="81"/>
    </row>
    <row r="25" spans="1:11" s="100" customFormat="1" ht="45" customHeight="1" x14ac:dyDescent="0.25">
      <c r="A25" s="78" t="s">
        <v>115</v>
      </c>
      <c r="B25" s="195" t="s">
        <v>358</v>
      </c>
      <c r="C25" s="195" t="s">
        <v>358</v>
      </c>
      <c r="D25" s="79" t="s">
        <v>388</v>
      </c>
      <c r="E25" s="80" t="s">
        <v>389</v>
      </c>
      <c r="F25" s="79" t="str">
        <f t="shared" si="0"/>
        <v>TF017.UC04</v>
      </c>
      <c r="G25" s="80" t="s">
        <v>390</v>
      </c>
      <c r="H25" s="79">
        <v>2</v>
      </c>
      <c r="I25" s="79" t="s">
        <v>24</v>
      </c>
      <c r="J25" s="81"/>
    </row>
    <row r="26" spans="1:11" s="100" customFormat="1" ht="45" customHeight="1" x14ac:dyDescent="0.25">
      <c r="A26" s="78" t="s">
        <v>115</v>
      </c>
      <c r="B26" s="195" t="s">
        <v>433</v>
      </c>
      <c r="C26" s="195" t="s">
        <v>433</v>
      </c>
      <c r="D26" s="79" t="s">
        <v>75</v>
      </c>
      <c r="E26" s="80" t="s">
        <v>424</v>
      </c>
      <c r="F26" s="79" t="str">
        <f t="shared" si="0"/>
        <v>TF018.UC01</v>
      </c>
      <c r="G26" s="80" t="s">
        <v>425</v>
      </c>
      <c r="H26" s="79">
        <v>3</v>
      </c>
      <c r="I26" s="79" t="s">
        <v>25</v>
      </c>
      <c r="J26" s="81"/>
    </row>
    <row r="27" spans="1:11" s="100" customFormat="1" ht="45" customHeight="1" x14ac:dyDescent="0.25">
      <c r="A27" s="78" t="s">
        <v>115</v>
      </c>
      <c r="B27" s="195" t="s">
        <v>434</v>
      </c>
      <c r="C27" s="195" t="s">
        <v>434</v>
      </c>
      <c r="D27" s="79" t="s">
        <v>75</v>
      </c>
      <c r="E27" s="80" t="s">
        <v>435</v>
      </c>
      <c r="F27" s="79" t="str">
        <f t="shared" si="0"/>
        <v>TF019.UC01</v>
      </c>
      <c r="G27" s="80" t="s">
        <v>436</v>
      </c>
      <c r="H27" s="79">
        <v>3</v>
      </c>
      <c r="I27" s="79" t="s">
        <v>25</v>
      </c>
      <c r="J27" s="81"/>
    </row>
    <row r="28" spans="1:11" s="100" customFormat="1" ht="45" customHeight="1" x14ac:dyDescent="0.25">
      <c r="A28" s="78" t="s">
        <v>449</v>
      </c>
      <c r="B28" s="195" t="s">
        <v>452</v>
      </c>
      <c r="C28" s="195" t="str">
        <f t="shared" ref="C28:C30" si="2">B28</f>
        <v>PAR. 3.1-048-20</v>
      </c>
      <c r="D28" s="79" t="s">
        <v>75</v>
      </c>
      <c r="E28" s="80" t="s">
        <v>450</v>
      </c>
      <c r="F28" s="79" t="str">
        <f t="shared" si="0"/>
        <v>TF020.UC01</v>
      </c>
      <c r="G28" s="80" t="s">
        <v>451</v>
      </c>
      <c r="H28" s="79">
        <v>2</v>
      </c>
      <c r="I28" s="79" t="s">
        <v>24</v>
      </c>
      <c r="J28" s="81"/>
    </row>
    <row r="29" spans="1:11" s="100" customFormat="1" ht="45" customHeight="1" x14ac:dyDescent="0.25">
      <c r="A29" s="78" t="s">
        <v>449</v>
      </c>
      <c r="B29" s="195" t="s">
        <v>463</v>
      </c>
      <c r="C29" s="195" t="str">
        <f t="shared" ref="C29" si="3">B29</f>
        <v>PAR. 3.2-048-21</v>
      </c>
      <c r="D29" s="79" t="s">
        <v>75</v>
      </c>
      <c r="E29" s="80" t="s">
        <v>464</v>
      </c>
      <c r="F29" s="79" t="str">
        <f t="shared" si="0"/>
        <v>TF021.UC01</v>
      </c>
      <c r="G29" s="80" t="s">
        <v>465</v>
      </c>
      <c r="H29" s="79">
        <v>3</v>
      </c>
      <c r="I29" s="79" t="s">
        <v>25</v>
      </c>
      <c r="J29" s="81"/>
    </row>
    <row r="30" spans="1:11" s="100" customFormat="1" ht="45" customHeight="1" x14ac:dyDescent="0.25">
      <c r="A30" s="78" t="s">
        <v>449</v>
      </c>
      <c r="B30" s="195" t="s">
        <v>479</v>
      </c>
      <c r="C30" s="195" t="str">
        <f t="shared" si="2"/>
        <v>PAR. 3.3-048-22</v>
      </c>
      <c r="D30" s="79" t="s">
        <v>75</v>
      </c>
      <c r="E30" s="80" t="s">
        <v>480</v>
      </c>
      <c r="F30" s="79" t="str">
        <f t="shared" si="0"/>
        <v>TF022.UC01</v>
      </c>
      <c r="G30" s="80" t="s">
        <v>488</v>
      </c>
      <c r="H30" s="79">
        <v>3</v>
      </c>
      <c r="I30" s="79" t="s">
        <v>25</v>
      </c>
      <c r="J30" s="81"/>
    </row>
    <row r="31" spans="1:11" s="100" customFormat="1" ht="45" customHeight="1" x14ac:dyDescent="0.25">
      <c r="A31" s="78" t="s">
        <v>449</v>
      </c>
      <c r="B31" s="195" t="s">
        <v>479</v>
      </c>
      <c r="C31" s="195" t="str">
        <f t="shared" ref="C31" si="4">B31</f>
        <v>PAR. 3.3-048-22</v>
      </c>
      <c r="D31" s="79" t="s">
        <v>76</v>
      </c>
      <c r="E31" s="80" t="s">
        <v>480</v>
      </c>
      <c r="F31" s="79" t="str">
        <f t="shared" ref="F31" si="5">CONCATENATE("TF0",MID(B31,LEN(B31)-1,2),".",D31)</f>
        <v>TF022.UC02</v>
      </c>
      <c r="G31" s="80" t="s">
        <v>489</v>
      </c>
      <c r="H31" s="79">
        <v>3</v>
      </c>
      <c r="I31" s="79" t="s">
        <v>25</v>
      </c>
      <c r="J31" s="81"/>
    </row>
    <row r="32" spans="1:11" s="100" customFormat="1" ht="45" customHeight="1" x14ac:dyDescent="0.25">
      <c r="A32" s="78" t="s">
        <v>449</v>
      </c>
      <c r="B32" s="195" t="s">
        <v>498</v>
      </c>
      <c r="C32" s="195" t="str">
        <f t="shared" ref="C32" si="6">B32</f>
        <v>PAR. 3.4-048-23</v>
      </c>
      <c r="D32" s="79" t="s">
        <v>75</v>
      </c>
      <c r="E32" s="80" t="s">
        <v>499</v>
      </c>
      <c r="F32" s="79" t="str">
        <f t="shared" ref="F32:F34" si="7">CONCATENATE("TF0",MID(B32,LEN(B32)-1,2),".",D32)</f>
        <v>TF023.UC01</v>
      </c>
      <c r="G32" s="80" t="s">
        <v>500</v>
      </c>
      <c r="H32" s="79">
        <v>3</v>
      </c>
      <c r="I32" s="79" t="s">
        <v>25</v>
      </c>
      <c r="J32" s="81"/>
    </row>
    <row r="33" spans="1:10" s="100" customFormat="1" ht="45" customHeight="1" x14ac:dyDescent="0.25">
      <c r="A33" s="78" t="s">
        <v>449</v>
      </c>
      <c r="B33" s="195" t="s">
        <v>507</v>
      </c>
      <c r="C33" s="195" t="str">
        <f>B33</f>
        <v>PAR. 3.5-048-24</v>
      </c>
      <c r="D33" s="79" t="s">
        <v>75</v>
      </c>
      <c r="E33" s="79" t="s">
        <v>158</v>
      </c>
      <c r="F33" s="79" t="str">
        <f t="shared" si="7"/>
        <v>TF024.UC01</v>
      </c>
      <c r="G33" s="80" t="s">
        <v>508</v>
      </c>
      <c r="H33" s="79">
        <v>2</v>
      </c>
      <c r="I33" s="79" t="s">
        <v>24</v>
      </c>
      <c r="J33" s="81"/>
    </row>
    <row r="34" spans="1:10" s="100" customFormat="1" ht="45" customHeight="1" thickBot="1" x14ac:dyDescent="0.3">
      <c r="A34" s="190" t="s">
        <v>449</v>
      </c>
      <c r="B34" s="199" t="s">
        <v>516</v>
      </c>
      <c r="C34" s="199" t="str">
        <f>B34</f>
        <v>PAR. 3.6-048-25</v>
      </c>
      <c r="D34" s="191" t="s">
        <v>75</v>
      </c>
      <c r="E34" s="192" t="s">
        <v>181</v>
      </c>
      <c r="F34" s="191" t="str">
        <f t="shared" si="7"/>
        <v>TF025.UC01</v>
      </c>
      <c r="G34" s="192" t="s">
        <v>182</v>
      </c>
      <c r="H34" s="191">
        <v>3</v>
      </c>
      <c r="I34" s="191" t="s">
        <v>25</v>
      </c>
      <c r="J34" s="193"/>
    </row>
  </sheetData>
  <mergeCells count="4">
    <mergeCell ref="C1:J1"/>
    <mergeCell ref="C2:J2"/>
    <mergeCell ref="A1:B1"/>
    <mergeCell ref="A2:B2"/>
  </mergeCells>
  <phoneticPr fontId="20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Z353"/>
  <sheetViews>
    <sheetView zoomScaleNormal="100" workbookViewId="0">
      <selection sqref="A1:XFD1048576"/>
    </sheetView>
  </sheetViews>
  <sheetFormatPr defaultColWidth="5.7109375" defaultRowHeight="15" x14ac:dyDescent="0.25"/>
  <cols>
    <col min="1" max="1" width="20.7109375" style="100" customWidth="1"/>
    <col min="2" max="2" width="10.7109375" style="100" customWidth="1"/>
    <col min="3" max="3" width="20.7109375" style="100" customWidth="1"/>
    <col min="4" max="4" width="50.7109375" style="100" customWidth="1"/>
    <col min="5" max="5" width="30.7109375" style="100" customWidth="1"/>
    <col min="6" max="6" width="45.7109375" style="100" customWidth="1"/>
    <col min="7" max="7" width="5.7109375" style="100" customWidth="1"/>
    <col min="8" max="16384" width="5.7109375" style="100"/>
  </cols>
  <sheetData>
    <row r="1" spans="1:208" ht="30" customHeight="1" thickBot="1" x14ac:dyDescent="0.3">
      <c r="A1" s="114" t="s">
        <v>4</v>
      </c>
      <c r="B1" s="135"/>
      <c r="C1" s="129"/>
      <c r="D1" s="113" t="str">
        <f>Copertina!B8</f>
        <v>MEV 2025_48 PNRR Scheda Intervento Evolutive di SIES v1.0</v>
      </c>
      <c r="E1" s="113"/>
      <c r="F1" s="113"/>
      <c r="G1" s="113"/>
    </row>
    <row r="2" spans="1:208" ht="30" customHeight="1" thickBot="1" x14ac:dyDescent="0.3">
      <c r="A2" s="114" t="s">
        <v>11</v>
      </c>
      <c r="B2" s="136"/>
      <c r="C2" s="137"/>
      <c r="D2" s="113" t="str">
        <f>Copertina!B4</f>
        <v>B6437AAAEB-2025-48_PNRR_Allegato_al_Piano_dei_Test_Evolutive_di_SIES_v1.0.xlsx</v>
      </c>
      <c r="E2" s="113"/>
      <c r="F2" s="113"/>
      <c r="G2" s="113"/>
    </row>
    <row r="3" spans="1:208" ht="30" customHeight="1" thickBot="1" x14ac:dyDescent="0.3">
      <c r="A3" s="66" t="s">
        <v>12</v>
      </c>
      <c r="B3" s="138" t="s">
        <v>27</v>
      </c>
      <c r="C3" s="139"/>
      <c r="D3" s="139" t="s">
        <v>29</v>
      </c>
      <c r="E3" s="139"/>
      <c r="F3" s="139" t="s">
        <v>28</v>
      </c>
      <c r="G3" s="140"/>
    </row>
    <row r="4" spans="1:208" ht="15.75" thickBot="1" x14ac:dyDescent="0.3">
      <c r="A4" s="93" t="str">
        <f>TabellaTest!F4</f>
        <v>TF001.UC01</v>
      </c>
      <c r="B4" s="142" t="str">
        <f>TabellaTest!C4</f>
        <v>PAR. 2.1-048-01</v>
      </c>
      <c r="C4" s="132"/>
      <c r="D4" s="132" t="str">
        <f>TabellaTest!E4</f>
        <v>Annotazione revoca beneficio ex art.168 c.p. - 674 c.p.p. – pene sospese</v>
      </c>
      <c r="E4" s="133"/>
      <c r="F4" s="132" t="str">
        <f>TabellaTest!G4</f>
        <v>Verifica: Verificare che nel sottosistema SIEP la funzione Annotazione revoca beneficio ex art.168 c.p. - 674 c.p.p. – pene sospese consenta di selezionare la classe di destinazione in cui iscrivere il nuovo procedimento</v>
      </c>
      <c r="G4" s="141"/>
    </row>
    <row r="5" spans="1:208" ht="30" customHeight="1" x14ac:dyDescent="0.25">
      <c r="A5" s="121"/>
      <c r="B5" s="65" t="s">
        <v>31</v>
      </c>
      <c r="C5" s="43" t="s">
        <v>32</v>
      </c>
      <c r="D5" s="29" t="s">
        <v>33</v>
      </c>
      <c r="E5" s="29" t="s">
        <v>34</v>
      </c>
      <c r="F5" s="29" t="s">
        <v>35</v>
      </c>
      <c r="G5" s="30" t="s">
        <v>10</v>
      </c>
    </row>
    <row r="6" spans="1:208" ht="30" customHeight="1" x14ac:dyDescent="0.25">
      <c r="A6" s="122"/>
      <c r="B6" s="54" t="s">
        <v>36</v>
      </c>
      <c r="C6" s="44" t="s">
        <v>37</v>
      </c>
      <c r="D6" s="45" t="s">
        <v>119</v>
      </c>
      <c r="E6" s="45" t="s">
        <v>183</v>
      </c>
      <c r="F6" s="45"/>
      <c r="G6" s="46"/>
    </row>
    <row r="7" spans="1:208" ht="30" x14ac:dyDescent="0.25">
      <c r="A7" s="122"/>
      <c r="B7" s="54" t="s">
        <v>36</v>
      </c>
      <c r="C7" s="44" t="s">
        <v>38</v>
      </c>
      <c r="D7" s="45" t="s">
        <v>120</v>
      </c>
      <c r="E7" s="45"/>
      <c r="F7" s="60" t="s">
        <v>121</v>
      </c>
      <c r="G7" s="46"/>
    </row>
    <row r="8" spans="1:208" ht="45" x14ac:dyDescent="0.25">
      <c r="A8" s="122"/>
      <c r="B8" s="55">
        <v>1</v>
      </c>
      <c r="C8" s="47" t="s">
        <v>39</v>
      </c>
      <c r="D8" s="48" t="s">
        <v>122</v>
      </c>
      <c r="E8" s="49"/>
      <c r="F8" s="45" t="s">
        <v>123</v>
      </c>
      <c r="G8" s="46"/>
    </row>
    <row r="9" spans="1:208" ht="60" x14ac:dyDescent="0.25">
      <c r="A9" s="122"/>
      <c r="B9" s="59">
        <v>2</v>
      </c>
      <c r="C9" s="50" t="s">
        <v>40</v>
      </c>
      <c r="D9" s="45" t="s">
        <v>139</v>
      </c>
      <c r="E9" s="60"/>
      <c r="F9" s="45" t="s">
        <v>124</v>
      </c>
      <c r="G9" s="46"/>
    </row>
    <row r="10" spans="1:208" ht="45" customHeight="1" x14ac:dyDescent="0.25">
      <c r="A10" s="122"/>
      <c r="B10" s="57">
        <v>3</v>
      </c>
      <c r="C10" s="50" t="s">
        <v>40</v>
      </c>
      <c r="D10" s="45" t="s">
        <v>125</v>
      </c>
      <c r="E10" s="49"/>
      <c r="F10" s="45" t="s">
        <v>126</v>
      </c>
      <c r="G10" s="46"/>
    </row>
    <row r="11" spans="1:208" ht="45" customHeight="1" x14ac:dyDescent="0.25">
      <c r="A11" s="122"/>
      <c r="B11" s="57">
        <v>4</v>
      </c>
      <c r="C11" s="50" t="s">
        <v>40</v>
      </c>
      <c r="D11" s="45" t="s">
        <v>127</v>
      </c>
      <c r="E11" s="49"/>
      <c r="F11" s="45" t="s">
        <v>128</v>
      </c>
      <c r="G11" s="46"/>
    </row>
    <row r="12" spans="1:208" ht="90" x14ac:dyDescent="0.25">
      <c r="A12" s="122"/>
      <c r="B12" s="64" t="s">
        <v>79</v>
      </c>
      <c r="C12" s="63" t="s">
        <v>80</v>
      </c>
      <c r="D12" s="58" t="s">
        <v>129</v>
      </c>
      <c r="E12" s="62"/>
      <c r="F12" s="58"/>
      <c r="G12" s="51"/>
    </row>
    <row r="13" spans="1:208" ht="30" x14ac:dyDescent="0.25">
      <c r="A13" s="122"/>
      <c r="B13" s="57">
        <v>5</v>
      </c>
      <c r="C13" s="50" t="s">
        <v>40</v>
      </c>
      <c r="D13" s="45" t="s">
        <v>130</v>
      </c>
      <c r="E13" s="49"/>
      <c r="F13" s="45" t="s">
        <v>131</v>
      </c>
      <c r="G13" s="46"/>
      <c r="GZ13" s="100" t="s">
        <v>99</v>
      </c>
    </row>
    <row r="14" spans="1:208" ht="58.15" customHeight="1" thickBot="1" x14ac:dyDescent="0.3">
      <c r="A14" s="130"/>
      <c r="B14" s="64" t="s">
        <v>79</v>
      </c>
      <c r="C14" s="63" t="s">
        <v>80</v>
      </c>
      <c r="D14" s="58" t="s">
        <v>132</v>
      </c>
      <c r="E14" s="62"/>
      <c r="F14" s="58"/>
      <c r="G14" s="51"/>
    </row>
    <row r="15" spans="1:208" ht="30" customHeight="1" thickBot="1" x14ac:dyDescent="0.3">
      <c r="A15" s="94" t="str">
        <f>TabellaTest!F5</f>
        <v>TF002.UC01</v>
      </c>
      <c r="B15" s="142" t="str">
        <f>TabellaTest!C5</f>
        <v>PAR. 2.2-048-02</v>
      </c>
      <c r="C15" s="132"/>
      <c r="D15" s="132" t="str">
        <f>TabellaTest!E5</f>
        <v>Archiviazione procedimento per passaggio di classe</v>
      </c>
      <c r="E15" s="133"/>
      <c r="F15" s="132" t="str">
        <f>TabellaTest!E5</f>
        <v>Archiviazione procedimento per passaggio di classe</v>
      </c>
      <c r="G15" s="141"/>
    </row>
    <row r="16" spans="1:208" ht="30" customHeight="1" x14ac:dyDescent="0.25">
      <c r="A16" s="121"/>
      <c r="B16" s="65" t="s">
        <v>31</v>
      </c>
      <c r="C16" s="43" t="s">
        <v>32</v>
      </c>
      <c r="D16" s="29" t="s">
        <v>33</v>
      </c>
      <c r="E16" s="29" t="s">
        <v>34</v>
      </c>
      <c r="F16" s="29" t="s">
        <v>35</v>
      </c>
      <c r="G16" s="30" t="s">
        <v>10</v>
      </c>
    </row>
    <row r="17" spans="1:7" ht="30" x14ac:dyDescent="0.25">
      <c r="A17" s="122"/>
      <c r="B17" s="54" t="s">
        <v>36</v>
      </c>
      <c r="C17" s="44" t="s">
        <v>37</v>
      </c>
      <c r="D17" s="45" t="s">
        <v>119</v>
      </c>
      <c r="E17" s="45" t="s">
        <v>183</v>
      </c>
      <c r="F17" s="45"/>
      <c r="G17" s="46"/>
    </row>
    <row r="18" spans="1:7" ht="30" x14ac:dyDescent="0.25">
      <c r="A18" s="122"/>
      <c r="B18" s="54" t="s">
        <v>36</v>
      </c>
      <c r="C18" s="44" t="s">
        <v>38</v>
      </c>
      <c r="D18" s="45" t="s">
        <v>135</v>
      </c>
      <c r="E18" s="45"/>
      <c r="F18" s="60" t="s">
        <v>121</v>
      </c>
      <c r="G18" s="46"/>
    </row>
    <row r="19" spans="1:7" ht="30" x14ac:dyDescent="0.25">
      <c r="A19" s="122"/>
      <c r="B19" s="55">
        <v>1</v>
      </c>
      <c r="C19" s="47" t="s">
        <v>39</v>
      </c>
      <c r="D19" s="48" t="s">
        <v>136</v>
      </c>
      <c r="E19" s="49"/>
      <c r="F19" s="45" t="s">
        <v>137</v>
      </c>
      <c r="G19" s="46"/>
    </row>
    <row r="20" spans="1:7" ht="30" x14ac:dyDescent="0.25">
      <c r="A20" s="122"/>
      <c r="B20" s="90" t="s">
        <v>95</v>
      </c>
      <c r="C20" s="50" t="s">
        <v>40</v>
      </c>
      <c r="D20" s="45" t="s">
        <v>138</v>
      </c>
      <c r="E20" s="60"/>
      <c r="F20" s="45" t="s">
        <v>145</v>
      </c>
      <c r="G20" s="46"/>
    </row>
    <row r="21" spans="1:7" ht="60" x14ac:dyDescent="0.25">
      <c r="A21" s="122"/>
      <c r="B21" s="90" t="s">
        <v>94</v>
      </c>
      <c r="C21" s="50" t="s">
        <v>40</v>
      </c>
      <c r="D21" s="45" t="s">
        <v>127</v>
      </c>
      <c r="E21" s="49"/>
      <c r="F21" s="45" t="s">
        <v>140</v>
      </c>
      <c r="G21" s="46"/>
    </row>
    <row r="22" spans="1:7" ht="30" x14ac:dyDescent="0.25">
      <c r="A22" s="122"/>
      <c r="B22" s="90" t="s">
        <v>93</v>
      </c>
      <c r="C22" s="50" t="s">
        <v>40</v>
      </c>
      <c r="D22" s="45" t="s">
        <v>125</v>
      </c>
      <c r="F22" s="45" t="s">
        <v>141</v>
      </c>
      <c r="G22" s="46"/>
    </row>
    <row r="23" spans="1:7" ht="75.75" thickBot="1" x14ac:dyDescent="0.3">
      <c r="A23" s="122"/>
      <c r="B23" s="52" t="s">
        <v>79</v>
      </c>
      <c r="C23" s="53" t="s">
        <v>80</v>
      </c>
      <c r="D23" s="103" t="s">
        <v>142</v>
      </c>
      <c r="E23" s="61"/>
      <c r="F23" s="103"/>
      <c r="G23" s="56"/>
    </row>
    <row r="24" spans="1:7" ht="30" x14ac:dyDescent="0.25">
      <c r="A24" s="122"/>
      <c r="B24" s="54" t="s">
        <v>36</v>
      </c>
      <c r="C24" s="44" t="s">
        <v>38</v>
      </c>
      <c r="D24" s="45" t="s">
        <v>143</v>
      </c>
      <c r="E24" s="45"/>
      <c r="F24" s="60"/>
      <c r="G24" s="46"/>
    </row>
    <row r="25" spans="1:7" ht="45" x14ac:dyDescent="0.25">
      <c r="A25" s="122"/>
      <c r="B25" s="90" t="s">
        <v>92</v>
      </c>
      <c r="C25" s="50" t="s">
        <v>40</v>
      </c>
      <c r="D25" s="45" t="s">
        <v>89</v>
      </c>
      <c r="E25" s="49"/>
      <c r="F25" s="45" t="s">
        <v>88</v>
      </c>
      <c r="G25" s="46"/>
    </row>
    <row r="26" spans="1:7" ht="45.75" thickBot="1" x14ac:dyDescent="0.3">
      <c r="A26" s="122"/>
      <c r="B26" s="52" t="s">
        <v>79</v>
      </c>
      <c r="C26" s="53" t="s">
        <v>80</v>
      </c>
      <c r="D26" s="103" t="s">
        <v>144</v>
      </c>
      <c r="E26" s="61"/>
      <c r="F26" s="45" t="s">
        <v>146</v>
      </c>
      <c r="G26" s="56"/>
    </row>
    <row r="27" spans="1:7" ht="45" x14ac:dyDescent="0.25">
      <c r="A27" s="122"/>
      <c r="B27" s="54" t="s">
        <v>36</v>
      </c>
      <c r="C27" s="44" t="s">
        <v>38</v>
      </c>
      <c r="D27" s="45" t="s">
        <v>147</v>
      </c>
      <c r="E27" s="45"/>
      <c r="F27" s="60"/>
      <c r="G27" s="46"/>
    </row>
    <row r="28" spans="1:7" ht="30" customHeight="1" x14ac:dyDescent="0.25">
      <c r="A28" s="122"/>
      <c r="B28" s="90" t="s">
        <v>90</v>
      </c>
      <c r="C28" s="50" t="s">
        <v>40</v>
      </c>
      <c r="D28" s="45" t="s">
        <v>148</v>
      </c>
      <c r="E28" s="49"/>
      <c r="F28" s="45" t="s">
        <v>149</v>
      </c>
      <c r="G28" s="46"/>
    </row>
    <row r="29" spans="1:7" ht="45" x14ac:dyDescent="0.25">
      <c r="A29" s="122"/>
      <c r="B29" s="90" t="s">
        <v>87</v>
      </c>
      <c r="C29" s="50" t="s">
        <v>40</v>
      </c>
      <c r="D29" s="45" t="s">
        <v>98</v>
      </c>
      <c r="E29" s="49"/>
      <c r="F29" s="45" t="s">
        <v>150</v>
      </c>
      <c r="G29" s="46"/>
    </row>
    <row r="30" spans="1:7" ht="60.75" thickBot="1" x14ac:dyDescent="0.3">
      <c r="A30" s="122"/>
      <c r="B30" s="52" t="s">
        <v>79</v>
      </c>
      <c r="C30" s="53" t="s">
        <v>80</v>
      </c>
      <c r="D30" s="45" t="s">
        <v>154</v>
      </c>
      <c r="E30" s="61"/>
      <c r="F30" s="103"/>
      <c r="G30" s="56"/>
    </row>
    <row r="31" spans="1:7" ht="30" x14ac:dyDescent="0.25">
      <c r="A31" s="122"/>
      <c r="B31" s="54" t="s">
        <v>36</v>
      </c>
      <c r="C31" s="44" t="s">
        <v>38</v>
      </c>
      <c r="D31" s="45" t="s">
        <v>155</v>
      </c>
      <c r="E31" s="45"/>
      <c r="F31" s="60"/>
      <c r="G31" s="46"/>
    </row>
    <row r="32" spans="1:7" ht="30" customHeight="1" x14ac:dyDescent="0.25">
      <c r="A32" s="122"/>
      <c r="B32" s="90" t="s">
        <v>86</v>
      </c>
      <c r="C32" s="50" t="s">
        <v>40</v>
      </c>
      <c r="D32" s="45" t="s">
        <v>153</v>
      </c>
      <c r="E32" s="49"/>
      <c r="F32" s="45" t="s">
        <v>151</v>
      </c>
      <c r="G32" s="46"/>
    </row>
    <row r="33" spans="1:208" ht="60.75" thickBot="1" x14ac:dyDescent="0.3">
      <c r="A33" s="122"/>
      <c r="B33" s="52" t="s">
        <v>79</v>
      </c>
      <c r="C33" s="53" t="s">
        <v>80</v>
      </c>
      <c r="D33" s="58" t="s">
        <v>152</v>
      </c>
      <c r="E33" s="61"/>
      <c r="F33" s="103"/>
      <c r="G33" s="56"/>
    </row>
    <row r="34" spans="1:208" ht="45" customHeight="1" thickBot="1" x14ac:dyDescent="0.3">
      <c r="A34" s="93" t="str">
        <f>TabellaTest!F6</f>
        <v>TF003.UC01</v>
      </c>
      <c r="B34" s="142" t="str">
        <f>TabellaTest!C6</f>
        <v>PAR. 2.3-048-03</v>
      </c>
      <c r="C34" s="132"/>
      <c r="D34" s="132" t="str">
        <f>TabellaTest!E6</f>
        <v>Elenco procedimenti assegnati al magistrato</v>
      </c>
      <c r="E34" s="133"/>
      <c r="F34" s="132" t="str">
        <f>TabellaTest!G6</f>
        <v>Verifica: Verificare che nel sottosistema SIEP l'utilizzo della funzione Elenco procedimenti assegnati al magistrato</v>
      </c>
      <c r="G34" s="141"/>
    </row>
    <row r="35" spans="1:208" ht="30" customHeight="1" x14ac:dyDescent="0.25">
      <c r="A35" s="200"/>
      <c r="B35" s="65" t="s">
        <v>31</v>
      </c>
      <c r="C35" s="43" t="s">
        <v>32</v>
      </c>
      <c r="D35" s="29" t="s">
        <v>33</v>
      </c>
      <c r="E35" s="29" t="s">
        <v>34</v>
      </c>
      <c r="F35" s="29" t="s">
        <v>35</v>
      </c>
      <c r="G35" s="30" t="s">
        <v>10</v>
      </c>
    </row>
    <row r="36" spans="1:208" ht="30" customHeight="1" x14ac:dyDescent="0.25">
      <c r="A36" s="201"/>
      <c r="B36" s="54" t="s">
        <v>36</v>
      </c>
      <c r="C36" s="44" t="s">
        <v>37</v>
      </c>
      <c r="D36" s="45" t="s">
        <v>119</v>
      </c>
      <c r="E36" s="45" t="s">
        <v>183</v>
      </c>
      <c r="F36" s="45"/>
      <c r="G36" s="46"/>
    </row>
    <row r="37" spans="1:208" ht="45" customHeight="1" x14ac:dyDescent="0.25">
      <c r="A37" s="201"/>
      <c r="B37" s="54" t="s">
        <v>36</v>
      </c>
      <c r="C37" s="44" t="s">
        <v>38</v>
      </c>
      <c r="D37" s="45" t="s">
        <v>160</v>
      </c>
      <c r="E37" s="45"/>
      <c r="F37" s="60"/>
      <c r="G37" s="46"/>
    </row>
    <row r="38" spans="1:208" ht="45" customHeight="1" x14ac:dyDescent="0.25">
      <c r="A38" s="201"/>
      <c r="B38" s="55">
        <v>1</v>
      </c>
      <c r="C38" s="47" t="s">
        <v>39</v>
      </c>
      <c r="D38" s="48" t="s">
        <v>161</v>
      </c>
      <c r="E38" s="49"/>
      <c r="F38" s="45" t="s">
        <v>512</v>
      </c>
      <c r="G38" s="46"/>
    </row>
    <row r="39" spans="1:208" ht="30" x14ac:dyDescent="0.25">
      <c r="A39" s="201"/>
      <c r="B39" s="57">
        <v>2</v>
      </c>
      <c r="C39" s="50" t="s">
        <v>40</v>
      </c>
      <c r="D39" s="45" t="s">
        <v>162</v>
      </c>
      <c r="E39" s="49"/>
      <c r="F39" s="45" t="s">
        <v>163</v>
      </c>
      <c r="G39" s="46"/>
      <c r="GZ39" s="100" t="s">
        <v>99</v>
      </c>
    </row>
    <row r="40" spans="1:208" ht="75" x14ac:dyDescent="0.25">
      <c r="A40" s="201"/>
      <c r="B40" s="64" t="s">
        <v>79</v>
      </c>
      <c r="C40" s="63" t="s">
        <v>80</v>
      </c>
      <c r="D40" s="58" t="s">
        <v>164</v>
      </c>
      <c r="E40" s="62"/>
      <c r="F40" s="58"/>
      <c r="G40" s="51"/>
    </row>
    <row r="41" spans="1:208" ht="45" customHeight="1" x14ac:dyDescent="0.25">
      <c r="A41" s="201"/>
      <c r="B41" s="54" t="s">
        <v>36</v>
      </c>
      <c r="C41" s="44" t="s">
        <v>38</v>
      </c>
      <c r="D41" s="45" t="s">
        <v>163</v>
      </c>
      <c r="E41" s="45"/>
      <c r="F41" s="60"/>
      <c r="G41" s="46"/>
    </row>
    <row r="42" spans="1:208" ht="45" x14ac:dyDescent="0.25">
      <c r="A42" s="201"/>
      <c r="B42" s="57">
        <v>3</v>
      </c>
      <c r="C42" s="50" t="s">
        <v>40</v>
      </c>
      <c r="D42" s="45" t="s">
        <v>165</v>
      </c>
      <c r="E42" s="49"/>
      <c r="F42" s="45" t="s">
        <v>166</v>
      </c>
      <c r="G42" s="46"/>
      <c r="GZ42" s="100" t="s">
        <v>99</v>
      </c>
    </row>
    <row r="43" spans="1:208" ht="45.75" thickBot="1" x14ac:dyDescent="0.3">
      <c r="A43" s="202"/>
      <c r="B43" s="64" t="s">
        <v>79</v>
      </c>
      <c r="C43" s="63" t="s">
        <v>80</v>
      </c>
      <c r="D43" s="58" t="s">
        <v>167</v>
      </c>
      <c r="E43" s="62"/>
      <c r="F43" s="58"/>
      <c r="G43" s="51"/>
    </row>
    <row r="44" spans="1:208" ht="45" customHeight="1" thickBot="1" x14ac:dyDescent="0.3">
      <c r="A44" s="94" t="str">
        <f>TabellaTest!F7</f>
        <v>TF004.UC01</v>
      </c>
      <c r="B44" s="143" t="str">
        <f>TabellaTest!C7</f>
        <v>PAR. 2.4-048-04</v>
      </c>
      <c r="C44" s="128"/>
      <c r="D44" s="128" t="str">
        <f>TabellaTest!E7</f>
        <v>Dettaglio Procedimento SIEP</v>
      </c>
      <c r="E44" s="129"/>
      <c r="F44" s="128" t="str">
        <f>TabellaTest!G7</f>
        <v>Verifica: Verificare nel sottosistema SIEP l'utilizzo della funzione "Dettaglio Procedimento SIEP "</v>
      </c>
      <c r="G44" s="129"/>
    </row>
    <row r="45" spans="1:208" ht="30" customHeight="1" x14ac:dyDescent="0.25">
      <c r="A45" s="121"/>
      <c r="B45" s="65" t="s">
        <v>31</v>
      </c>
      <c r="C45" s="43" t="s">
        <v>32</v>
      </c>
      <c r="D45" s="29" t="s">
        <v>33</v>
      </c>
      <c r="E45" s="29" t="s">
        <v>34</v>
      </c>
      <c r="F45" s="29" t="s">
        <v>35</v>
      </c>
      <c r="G45" s="30" t="s">
        <v>10</v>
      </c>
    </row>
    <row r="46" spans="1:208" ht="30" customHeight="1" x14ac:dyDescent="0.25">
      <c r="A46" s="122"/>
      <c r="B46" s="54" t="s">
        <v>36</v>
      </c>
      <c r="C46" s="44" t="s">
        <v>37</v>
      </c>
      <c r="D46" s="45" t="s">
        <v>119</v>
      </c>
      <c r="E46" s="45" t="s">
        <v>183</v>
      </c>
      <c r="F46" s="45"/>
      <c r="G46" s="46"/>
    </row>
    <row r="47" spans="1:208" ht="45" customHeight="1" x14ac:dyDescent="0.25">
      <c r="A47" s="122"/>
      <c r="B47" s="54" t="s">
        <v>36</v>
      </c>
      <c r="C47" s="44" t="s">
        <v>38</v>
      </c>
      <c r="D47" s="45" t="s">
        <v>160</v>
      </c>
      <c r="E47" s="45"/>
      <c r="F47" s="60"/>
      <c r="G47" s="46"/>
    </row>
    <row r="48" spans="1:208" ht="45" x14ac:dyDescent="0.25">
      <c r="A48" s="122"/>
      <c r="B48" s="55">
        <v>1</v>
      </c>
      <c r="C48" s="47" t="s">
        <v>39</v>
      </c>
      <c r="D48" s="48" t="s">
        <v>171</v>
      </c>
      <c r="E48" s="49"/>
      <c r="F48" s="45" t="s">
        <v>172</v>
      </c>
      <c r="G48" s="46"/>
    </row>
    <row r="49" spans="1:7" ht="30" x14ac:dyDescent="0.25">
      <c r="A49" s="122"/>
      <c r="B49" s="64" t="s">
        <v>79</v>
      </c>
      <c r="C49" s="63" t="s">
        <v>80</v>
      </c>
      <c r="D49" s="58" t="s">
        <v>173</v>
      </c>
      <c r="E49" s="62"/>
      <c r="F49" s="58"/>
      <c r="G49" s="51"/>
    </row>
    <row r="50" spans="1:7" ht="30.75" thickBot="1" x14ac:dyDescent="0.3">
      <c r="A50" s="122"/>
      <c r="B50" s="90" t="s">
        <v>95</v>
      </c>
      <c r="C50" s="50" t="s">
        <v>40</v>
      </c>
      <c r="D50" s="45" t="s">
        <v>174</v>
      </c>
      <c r="E50" s="49"/>
      <c r="F50" s="45" t="s">
        <v>100</v>
      </c>
      <c r="G50" s="46"/>
    </row>
    <row r="51" spans="1:7" ht="30" x14ac:dyDescent="0.25">
      <c r="A51" s="122"/>
      <c r="B51" s="90" t="s">
        <v>94</v>
      </c>
      <c r="C51" s="50" t="s">
        <v>40</v>
      </c>
      <c r="D51" s="45" t="s">
        <v>175</v>
      </c>
      <c r="E51" s="49"/>
      <c r="F51" s="45" t="s">
        <v>176</v>
      </c>
      <c r="G51" s="46"/>
    </row>
    <row r="52" spans="1:7" ht="45" x14ac:dyDescent="0.25">
      <c r="A52" s="122"/>
      <c r="B52" s="64" t="s">
        <v>79</v>
      </c>
      <c r="C52" s="63" t="s">
        <v>80</v>
      </c>
      <c r="D52" s="58" t="s">
        <v>178</v>
      </c>
      <c r="E52" s="62"/>
      <c r="F52" s="58"/>
      <c r="G52" s="51"/>
    </row>
    <row r="53" spans="1:7" ht="30" x14ac:dyDescent="0.25">
      <c r="A53" s="122"/>
      <c r="B53" s="90" t="s">
        <v>93</v>
      </c>
      <c r="C53" s="50" t="s">
        <v>40</v>
      </c>
      <c r="D53" s="45" t="s">
        <v>177</v>
      </c>
      <c r="E53" s="49"/>
      <c r="F53" s="45" t="s">
        <v>172</v>
      </c>
      <c r="G53" s="46"/>
    </row>
    <row r="54" spans="1:7" ht="30.75" thickBot="1" x14ac:dyDescent="0.3">
      <c r="A54" s="122"/>
      <c r="B54" s="52" t="s">
        <v>79</v>
      </c>
      <c r="C54" s="53" t="s">
        <v>80</v>
      </c>
      <c r="D54" s="103" t="s">
        <v>179</v>
      </c>
      <c r="E54" s="61"/>
      <c r="F54" s="103"/>
      <c r="G54" s="56"/>
    </row>
    <row r="55" spans="1:7" ht="45" customHeight="1" thickBot="1" x14ac:dyDescent="0.3">
      <c r="A55" s="102" t="str">
        <f>TabellaTest!F8</f>
        <v>TF005.UC01</v>
      </c>
      <c r="B55" s="134" t="str">
        <f>TabellaTest!C8</f>
        <v>PAR. 2.5-048-05</v>
      </c>
      <c r="C55" s="132"/>
      <c r="D55" s="132" t="str">
        <f>TabellaTest!E8</f>
        <v>Reimpostazione dati utente e password NSC in Richiesta Certificato penale</v>
      </c>
      <c r="E55" s="133"/>
      <c r="F55" s="132" t="str">
        <f>TabellaTest!G8</f>
        <v>Verifica: Verificare nel sottosistema SIEP l'utilizzo della funzione "Richiesta Certificato penale"</v>
      </c>
      <c r="G55" s="141"/>
    </row>
    <row r="56" spans="1:7" ht="30" customHeight="1" thickBot="1" x14ac:dyDescent="0.3">
      <c r="A56" s="120"/>
      <c r="B56" s="65" t="s">
        <v>31</v>
      </c>
      <c r="C56" s="43" t="s">
        <v>32</v>
      </c>
      <c r="D56" s="29" t="s">
        <v>33</v>
      </c>
      <c r="E56" s="29" t="s">
        <v>34</v>
      </c>
      <c r="F56" s="29" t="s">
        <v>35</v>
      </c>
      <c r="G56" s="30" t="s">
        <v>10</v>
      </c>
    </row>
    <row r="57" spans="1:7" ht="30.75" thickBot="1" x14ac:dyDescent="0.3">
      <c r="A57" s="120"/>
      <c r="B57" s="54" t="s">
        <v>36</v>
      </c>
      <c r="C57" s="44" t="s">
        <v>37</v>
      </c>
      <c r="D57" s="45" t="s">
        <v>184</v>
      </c>
      <c r="E57" s="45" t="s">
        <v>183</v>
      </c>
      <c r="F57" s="45"/>
      <c r="G57" s="46"/>
    </row>
    <row r="58" spans="1:7" ht="45" customHeight="1" thickBot="1" x14ac:dyDescent="0.3">
      <c r="A58" s="120"/>
      <c r="B58" s="54" t="s">
        <v>36</v>
      </c>
      <c r="C58" s="44" t="s">
        <v>38</v>
      </c>
      <c r="D58" s="45" t="s">
        <v>185</v>
      </c>
      <c r="E58" s="45"/>
      <c r="F58" s="60"/>
      <c r="G58" s="46"/>
    </row>
    <row r="59" spans="1:7" ht="30.75" thickBot="1" x14ac:dyDescent="0.3">
      <c r="A59" s="120"/>
      <c r="B59" s="55">
        <v>1</v>
      </c>
      <c r="C59" s="47" t="s">
        <v>39</v>
      </c>
      <c r="D59" s="48" t="s">
        <v>186</v>
      </c>
      <c r="E59" s="49"/>
      <c r="F59" s="45" t="s">
        <v>187</v>
      </c>
      <c r="G59" s="46"/>
    </row>
    <row r="60" spans="1:7" ht="45.75" thickBot="1" x14ac:dyDescent="0.3">
      <c r="A60" s="120"/>
      <c r="B60" s="52" t="s">
        <v>79</v>
      </c>
      <c r="C60" s="53" t="s">
        <v>80</v>
      </c>
      <c r="D60" s="103" t="s">
        <v>193</v>
      </c>
      <c r="E60" s="61"/>
      <c r="F60" s="103"/>
      <c r="G60" s="56"/>
    </row>
    <row r="61" spans="1:7" ht="15.75" thickBot="1" x14ac:dyDescent="0.3">
      <c r="A61" s="120"/>
      <c r="B61" s="90" t="s">
        <v>96</v>
      </c>
      <c r="C61" s="50" t="s">
        <v>40</v>
      </c>
      <c r="D61" s="45" t="s">
        <v>188</v>
      </c>
      <c r="E61" s="49"/>
      <c r="F61" s="45" t="s">
        <v>189</v>
      </c>
      <c r="G61" s="46"/>
    </row>
    <row r="62" spans="1:7" ht="45" customHeight="1" thickBot="1" x14ac:dyDescent="0.3">
      <c r="A62" s="102" t="str">
        <f>TabellaTest!F9</f>
        <v>TF006.UC01</v>
      </c>
      <c r="B62" s="123" t="str">
        <f>TabellaTest!C9</f>
        <v>PAR. 2.6-048-06</v>
      </c>
      <c r="C62" s="116"/>
      <c r="D62" s="117" t="str">
        <f>TabellaTest!E9</f>
        <v>Confisca per equivalente</v>
      </c>
      <c r="E62" s="118"/>
      <c r="F62" s="117" t="str">
        <f>TabellaTest!G9</f>
        <v xml:space="preserve">Verifica: Verificare che nel sottosistema SIEP sia gestita l'informazione che la pena pecuniaria da pagare sia conseguente alla confisca per equivalente </v>
      </c>
      <c r="G62" s="119"/>
    </row>
    <row r="63" spans="1:7" ht="30.75" thickBot="1" x14ac:dyDescent="0.3">
      <c r="A63" s="121"/>
      <c r="B63" s="35" t="s">
        <v>31</v>
      </c>
      <c r="C63" s="32" t="s">
        <v>32</v>
      </c>
      <c r="D63" s="29" t="s">
        <v>33</v>
      </c>
      <c r="E63" s="29" t="s">
        <v>34</v>
      </c>
      <c r="F63" s="29" t="s">
        <v>35</v>
      </c>
      <c r="G63" s="30" t="s">
        <v>10</v>
      </c>
    </row>
    <row r="64" spans="1:7" ht="30" customHeight="1" x14ac:dyDescent="0.25">
      <c r="A64" s="122"/>
      <c r="B64" s="54" t="s">
        <v>36</v>
      </c>
      <c r="C64" s="44" t="s">
        <v>37</v>
      </c>
      <c r="D64" s="45" t="s">
        <v>119</v>
      </c>
      <c r="E64" s="45" t="s">
        <v>183</v>
      </c>
      <c r="F64" s="45"/>
      <c r="G64" s="46"/>
    </row>
    <row r="65" spans="1:208" x14ac:dyDescent="0.25">
      <c r="A65" s="122"/>
      <c r="B65" s="54" t="s">
        <v>36</v>
      </c>
      <c r="C65" s="44" t="s">
        <v>38</v>
      </c>
      <c r="D65" s="45" t="s">
        <v>160</v>
      </c>
      <c r="E65" s="45"/>
      <c r="F65" s="60"/>
      <c r="G65" s="46"/>
    </row>
    <row r="66" spans="1:208" ht="30" x14ac:dyDescent="0.25">
      <c r="A66" s="122"/>
      <c r="B66" s="55">
        <v>1</v>
      </c>
      <c r="C66" s="47" t="s">
        <v>39</v>
      </c>
      <c r="D66" s="48" t="s">
        <v>194</v>
      </c>
      <c r="E66" s="49"/>
      <c r="F66" s="45" t="s">
        <v>195</v>
      </c>
      <c r="G66" s="46"/>
    </row>
    <row r="67" spans="1:208" ht="30" x14ac:dyDescent="0.25">
      <c r="A67" s="122"/>
      <c r="B67" s="59">
        <v>2</v>
      </c>
      <c r="C67" s="50" t="s">
        <v>40</v>
      </c>
      <c r="D67" s="45" t="s">
        <v>196</v>
      </c>
      <c r="E67" s="60"/>
      <c r="F67" s="45" t="s">
        <v>197</v>
      </c>
      <c r="G67" s="46"/>
    </row>
    <row r="68" spans="1:208" ht="45" customHeight="1" x14ac:dyDescent="0.25">
      <c r="A68" s="122"/>
      <c r="B68" s="57">
        <v>3</v>
      </c>
      <c r="C68" s="50" t="s">
        <v>40</v>
      </c>
      <c r="D68" s="45" t="s">
        <v>198</v>
      </c>
      <c r="E68" s="49"/>
      <c r="F68" s="45" t="s">
        <v>199</v>
      </c>
      <c r="G68" s="46"/>
    </row>
    <row r="69" spans="1:208" ht="45" x14ac:dyDescent="0.25">
      <c r="A69" s="122"/>
      <c r="B69" s="64" t="s">
        <v>79</v>
      </c>
      <c r="C69" s="63" t="s">
        <v>80</v>
      </c>
      <c r="D69" s="58" t="s">
        <v>200</v>
      </c>
      <c r="E69" s="62"/>
      <c r="F69" s="58"/>
      <c r="G69" s="51"/>
    </row>
    <row r="70" spans="1:208" ht="45" customHeight="1" x14ac:dyDescent="0.25">
      <c r="A70" s="122"/>
      <c r="B70" s="57">
        <v>4</v>
      </c>
      <c r="C70" s="50" t="s">
        <v>40</v>
      </c>
      <c r="D70" s="45" t="s">
        <v>201</v>
      </c>
      <c r="E70" s="49"/>
      <c r="F70" s="45" t="s">
        <v>195</v>
      </c>
      <c r="G70" s="46"/>
    </row>
    <row r="71" spans="1:208" ht="45" x14ac:dyDescent="0.25">
      <c r="A71" s="122"/>
      <c r="B71" s="64" t="s">
        <v>79</v>
      </c>
      <c r="C71" s="63" t="s">
        <v>80</v>
      </c>
      <c r="D71" s="58" t="s">
        <v>202</v>
      </c>
      <c r="E71" s="62"/>
      <c r="F71" s="58"/>
      <c r="G71" s="51"/>
    </row>
    <row r="72" spans="1:208" ht="30" x14ac:dyDescent="0.25">
      <c r="A72" s="122"/>
      <c r="B72" s="54" t="s">
        <v>36</v>
      </c>
      <c r="C72" s="44" t="s">
        <v>38</v>
      </c>
      <c r="D72" s="45" t="s">
        <v>203</v>
      </c>
      <c r="E72" s="45"/>
      <c r="F72" s="60"/>
      <c r="G72" s="46"/>
    </row>
    <row r="73" spans="1:208" ht="30" x14ac:dyDescent="0.25">
      <c r="A73" s="122"/>
      <c r="B73" s="55">
        <v>1</v>
      </c>
      <c r="C73" s="47" t="s">
        <v>39</v>
      </c>
      <c r="D73" s="45" t="s">
        <v>204</v>
      </c>
      <c r="E73" s="49"/>
      <c r="F73" s="45" t="s">
        <v>205</v>
      </c>
      <c r="G73" s="46"/>
    </row>
    <row r="74" spans="1:208" ht="30" x14ac:dyDescent="0.25">
      <c r="A74" s="122"/>
      <c r="B74" s="57">
        <v>5</v>
      </c>
      <c r="C74" s="50" t="s">
        <v>40</v>
      </c>
      <c r="D74" s="45" t="s">
        <v>206</v>
      </c>
      <c r="E74" s="49"/>
      <c r="F74" s="45" t="s">
        <v>208</v>
      </c>
      <c r="G74" s="46"/>
      <c r="GZ74" s="100" t="s">
        <v>99</v>
      </c>
    </row>
    <row r="75" spans="1:208" ht="30" x14ac:dyDescent="0.25">
      <c r="A75" s="122"/>
      <c r="B75" s="57">
        <v>6</v>
      </c>
      <c r="C75" s="50" t="s">
        <v>40</v>
      </c>
      <c r="D75" s="45" t="s">
        <v>206</v>
      </c>
      <c r="E75" s="49"/>
      <c r="F75" s="45" t="s">
        <v>207</v>
      </c>
      <c r="G75" s="46"/>
      <c r="GZ75" s="100" t="s">
        <v>99</v>
      </c>
    </row>
    <row r="76" spans="1:208" ht="30" x14ac:dyDescent="0.25">
      <c r="A76" s="122"/>
      <c r="B76" s="57">
        <v>7</v>
      </c>
      <c r="C76" s="50" t="s">
        <v>40</v>
      </c>
      <c r="D76" s="45" t="s">
        <v>209</v>
      </c>
      <c r="E76" s="49"/>
      <c r="F76" s="45" t="s">
        <v>199</v>
      </c>
      <c r="G76" s="46"/>
      <c r="GZ76" s="100" t="s">
        <v>99</v>
      </c>
    </row>
    <row r="77" spans="1:208" ht="45.75" thickBot="1" x14ac:dyDescent="0.3">
      <c r="A77" s="122"/>
      <c r="B77" s="64" t="s">
        <v>79</v>
      </c>
      <c r="C77" s="63" t="s">
        <v>80</v>
      </c>
      <c r="D77" s="58" t="s">
        <v>210</v>
      </c>
      <c r="E77" s="62"/>
      <c r="F77" s="58"/>
      <c r="G77" s="51"/>
    </row>
    <row r="78" spans="1:208" ht="43.5" customHeight="1" thickBot="1" x14ac:dyDescent="0.3">
      <c r="A78" s="102" t="str">
        <f>TabellaTest!F10</f>
        <v>TF007.UC01</v>
      </c>
      <c r="B78" s="123" t="str">
        <f>TabellaTest!C10</f>
        <v>PAR. 2.7-048-07</v>
      </c>
      <c r="C78" s="116"/>
      <c r="D78" s="117" t="str">
        <f>TabellaTest!E10</f>
        <v>Verifica funzione Presa in carico procedimenti da fuori distretto</v>
      </c>
      <c r="E78" s="118"/>
      <c r="F78" s="117" t="str">
        <f>TabellaTest!G10</f>
        <v>Verifica: Verificare il corretto funzionamento della Presa in carico procedimenti da fuori distretto, in presenza di procedimenti SIGE collegati</v>
      </c>
      <c r="G78" s="119"/>
    </row>
    <row r="79" spans="1:208" ht="41.25" customHeight="1" x14ac:dyDescent="0.25">
      <c r="A79" s="121"/>
      <c r="B79" s="35" t="s">
        <v>31</v>
      </c>
      <c r="C79" s="32" t="s">
        <v>32</v>
      </c>
      <c r="D79" s="29" t="s">
        <v>33</v>
      </c>
      <c r="E79" s="29" t="s">
        <v>34</v>
      </c>
      <c r="F79" s="29" t="s">
        <v>35</v>
      </c>
      <c r="G79" s="30" t="s">
        <v>10</v>
      </c>
    </row>
    <row r="80" spans="1:208" ht="60" x14ac:dyDescent="0.25">
      <c r="A80" s="122"/>
      <c r="B80" s="54" t="s">
        <v>36</v>
      </c>
      <c r="C80" s="44" t="s">
        <v>37</v>
      </c>
      <c r="D80" s="45" t="s">
        <v>214</v>
      </c>
      <c r="E80" s="45" t="s">
        <v>224</v>
      </c>
      <c r="F80" s="86" t="s">
        <v>215</v>
      </c>
      <c r="G80" s="46"/>
    </row>
    <row r="81" spans="1:7" ht="30" customHeight="1" x14ac:dyDescent="0.25">
      <c r="A81" s="122"/>
      <c r="B81" s="54" t="s">
        <v>36</v>
      </c>
      <c r="C81" s="44" t="s">
        <v>37</v>
      </c>
      <c r="D81" s="45" t="s">
        <v>119</v>
      </c>
      <c r="E81" s="45" t="s">
        <v>183</v>
      </c>
      <c r="F81" s="45"/>
      <c r="G81" s="46"/>
    </row>
    <row r="82" spans="1:7" x14ac:dyDescent="0.25">
      <c r="A82" s="122"/>
      <c r="B82" s="54" t="s">
        <v>36</v>
      </c>
      <c r="C82" s="44" t="s">
        <v>38</v>
      </c>
      <c r="D82" s="45" t="s">
        <v>160</v>
      </c>
      <c r="E82" s="45"/>
      <c r="F82" s="60"/>
      <c r="G82" s="46"/>
    </row>
    <row r="83" spans="1:7" ht="30" x14ac:dyDescent="0.25">
      <c r="A83" s="122"/>
      <c r="B83" s="55">
        <v>1</v>
      </c>
      <c r="C83" s="47" t="s">
        <v>39</v>
      </c>
      <c r="D83" s="45" t="s">
        <v>216</v>
      </c>
      <c r="E83" s="49"/>
      <c r="F83" s="45" t="s">
        <v>217</v>
      </c>
      <c r="G83" s="46"/>
    </row>
    <row r="84" spans="1:7" ht="30" x14ac:dyDescent="0.25">
      <c r="A84" s="122"/>
      <c r="B84" s="59">
        <v>2</v>
      </c>
      <c r="C84" s="50" t="s">
        <v>40</v>
      </c>
      <c r="D84" s="45" t="s">
        <v>218</v>
      </c>
      <c r="E84" s="60"/>
      <c r="F84" s="45" t="s">
        <v>219</v>
      </c>
      <c r="G84" s="46"/>
    </row>
    <row r="85" spans="1:7" ht="45" customHeight="1" x14ac:dyDescent="0.25">
      <c r="A85" s="122"/>
      <c r="B85" s="57">
        <v>3</v>
      </c>
      <c r="C85" s="50" t="s">
        <v>40</v>
      </c>
      <c r="D85" s="45" t="s">
        <v>220</v>
      </c>
      <c r="E85" s="49"/>
      <c r="F85" s="45" t="s">
        <v>221</v>
      </c>
      <c r="G85" s="46"/>
    </row>
    <row r="86" spans="1:7" ht="30.75" thickBot="1" x14ac:dyDescent="0.3">
      <c r="A86" s="122"/>
      <c r="B86" s="64" t="s">
        <v>79</v>
      </c>
      <c r="C86" s="63" t="s">
        <v>80</v>
      </c>
      <c r="D86" s="58" t="s">
        <v>222</v>
      </c>
      <c r="E86" s="62" t="s">
        <v>105</v>
      </c>
      <c r="F86" s="58"/>
      <c r="G86" s="51"/>
    </row>
    <row r="87" spans="1:7" ht="63.6" customHeight="1" thickBot="1" x14ac:dyDescent="0.3">
      <c r="A87" s="102" t="str">
        <f>TabellaTest!F11</f>
        <v>TF008.UC01</v>
      </c>
      <c r="B87" s="123" t="str">
        <f>TabellaTest!C11</f>
        <v>PAR. 2.8-048-08</v>
      </c>
      <c r="C87" s="116"/>
      <c r="D87" s="117" t="str">
        <f>TabellaTest!E11</f>
        <v>Verifica Template provvedimento determinazione Pene Concorrenti</v>
      </c>
      <c r="E87" s="118"/>
      <c r="F87" s="117" t="str">
        <f>TabellaTest!G11</f>
        <v>Verifica: Verificare modifiche nella sezione Elenco Titoli coinvolti del provvedimento determinazione Pene Concorrenti</v>
      </c>
      <c r="G87" s="119"/>
    </row>
    <row r="88" spans="1:7" ht="30.75" thickBot="1" x14ac:dyDescent="0.3">
      <c r="A88" s="120"/>
      <c r="B88" s="36" t="s">
        <v>31</v>
      </c>
      <c r="C88" s="33" t="s">
        <v>32</v>
      </c>
      <c r="D88" s="33" t="s">
        <v>33</v>
      </c>
      <c r="E88" s="33" t="s">
        <v>34</v>
      </c>
      <c r="F88" s="33" t="s">
        <v>35</v>
      </c>
      <c r="G88" s="34" t="s">
        <v>10</v>
      </c>
    </row>
    <row r="89" spans="1:7" ht="30.75" thickBot="1" x14ac:dyDescent="0.3">
      <c r="A89" s="120"/>
      <c r="B89" s="54" t="s">
        <v>36</v>
      </c>
      <c r="C89" s="44" t="s">
        <v>37</v>
      </c>
      <c r="D89" s="45" t="s">
        <v>119</v>
      </c>
      <c r="E89" s="45" t="s">
        <v>183</v>
      </c>
      <c r="F89" s="86"/>
      <c r="G89" s="46"/>
    </row>
    <row r="90" spans="1:7" ht="75.75" thickBot="1" x14ac:dyDescent="0.3">
      <c r="A90" s="120"/>
      <c r="B90" s="54" t="s">
        <v>36</v>
      </c>
      <c r="C90" s="44" t="s">
        <v>37</v>
      </c>
      <c r="D90" s="45" t="s">
        <v>225</v>
      </c>
      <c r="E90" s="45"/>
      <c r="F90" s="45"/>
      <c r="G90" s="46"/>
    </row>
    <row r="91" spans="1:7" ht="60" customHeight="1" thickBot="1" x14ac:dyDescent="0.3">
      <c r="A91" s="120"/>
      <c r="B91" s="54" t="s">
        <v>36</v>
      </c>
      <c r="C91" s="44" t="s">
        <v>38</v>
      </c>
      <c r="D91" s="45" t="s">
        <v>226</v>
      </c>
      <c r="E91" s="45"/>
      <c r="F91" s="60"/>
      <c r="G91" s="46"/>
    </row>
    <row r="92" spans="1:7" ht="30" customHeight="1" thickBot="1" x14ac:dyDescent="0.3">
      <c r="A92" s="120"/>
      <c r="B92" s="55">
        <v>1</v>
      </c>
      <c r="C92" s="47" t="s">
        <v>39</v>
      </c>
      <c r="D92" s="45" t="s">
        <v>227</v>
      </c>
      <c r="E92" s="49"/>
      <c r="F92" s="45" t="s">
        <v>228</v>
      </c>
      <c r="G92" s="46"/>
    </row>
    <row r="93" spans="1:7" ht="36.6" customHeight="1" thickBot="1" x14ac:dyDescent="0.3">
      <c r="A93" s="120"/>
      <c r="B93" s="57">
        <v>2</v>
      </c>
      <c r="C93" s="50" t="s">
        <v>40</v>
      </c>
      <c r="D93" s="45" t="s">
        <v>229</v>
      </c>
      <c r="E93" s="49"/>
      <c r="F93" s="45" t="s">
        <v>230</v>
      </c>
      <c r="G93" s="46"/>
    </row>
    <row r="94" spans="1:7" ht="45.75" thickBot="1" x14ac:dyDescent="0.3">
      <c r="A94" s="120"/>
      <c r="B94" s="82">
        <v>3</v>
      </c>
      <c r="C94" s="83" t="s">
        <v>40</v>
      </c>
      <c r="D94" s="58" t="s">
        <v>231</v>
      </c>
      <c r="E94" s="84"/>
      <c r="F94" s="45" t="s">
        <v>232</v>
      </c>
      <c r="G94" s="51"/>
    </row>
    <row r="95" spans="1:7" ht="45.75" thickBot="1" x14ac:dyDescent="0.3">
      <c r="A95" s="120"/>
      <c r="B95" s="82">
        <v>4</v>
      </c>
      <c r="C95" s="83" t="s">
        <v>40</v>
      </c>
      <c r="D95" s="58" t="s">
        <v>233</v>
      </c>
      <c r="E95" s="84"/>
      <c r="F95" s="45" t="s">
        <v>234</v>
      </c>
      <c r="G95" s="51"/>
    </row>
    <row r="96" spans="1:7" ht="75.75" thickBot="1" x14ac:dyDescent="0.3">
      <c r="A96" s="120"/>
      <c r="B96" s="52" t="s">
        <v>79</v>
      </c>
      <c r="C96" s="53" t="s">
        <v>80</v>
      </c>
      <c r="D96" s="58" t="s">
        <v>235</v>
      </c>
      <c r="E96" s="61"/>
      <c r="F96" s="85"/>
      <c r="G96" s="56"/>
    </row>
    <row r="97" spans="1:7" ht="42.75" customHeight="1" thickBot="1" x14ac:dyDescent="0.3">
      <c r="A97" s="102" t="str">
        <f>TabellaTest!F12</f>
        <v>TF008.UC02</v>
      </c>
      <c r="B97" s="123" t="str">
        <f>TabellaTest!C12</f>
        <v>PAR. 2.8-048-08</v>
      </c>
      <c r="C97" s="116"/>
      <c r="D97" s="117" t="str">
        <f>TabellaTest!E12</f>
        <v>Verifica Template provvedimento determinazione Pene Concorrenti</v>
      </c>
      <c r="E97" s="118"/>
      <c r="F97" s="117" t="str">
        <f>TabellaTest!G12</f>
        <v>Verifica: Verificare modifiche nelle sezioni OSSERVA e CHIEDE del provvedimento determinazione Pene Concorrenti</v>
      </c>
      <c r="G97" s="119"/>
    </row>
    <row r="98" spans="1:7" ht="30.75" thickBot="1" x14ac:dyDescent="0.3">
      <c r="A98" s="120"/>
      <c r="B98" s="35" t="s">
        <v>31</v>
      </c>
      <c r="C98" s="32" t="s">
        <v>32</v>
      </c>
      <c r="D98" s="29" t="s">
        <v>33</v>
      </c>
      <c r="E98" s="29" t="s">
        <v>34</v>
      </c>
      <c r="F98" s="29" t="s">
        <v>35</v>
      </c>
      <c r="G98" s="30" t="s">
        <v>10</v>
      </c>
    </row>
    <row r="99" spans="1:7" ht="30.75" thickBot="1" x14ac:dyDescent="0.3">
      <c r="A99" s="120"/>
      <c r="B99" s="54" t="s">
        <v>36</v>
      </c>
      <c r="C99" s="44" t="s">
        <v>37</v>
      </c>
      <c r="D99" s="45" t="s">
        <v>119</v>
      </c>
      <c r="E99" s="45" t="s">
        <v>183</v>
      </c>
      <c r="F99" s="86"/>
      <c r="G99" s="46"/>
    </row>
    <row r="100" spans="1:7" ht="90.75" thickBot="1" x14ac:dyDescent="0.3">
      <c r="A100" s="120"/>
      <c r="B100" s="54" t="s">
        <v>36</v>
      </c>
      <c r="C100" s="44" t="s">
        <v>37</v>
      </c>
      <c r="D100" s="45" t="s">
        <v>238</v>
      </c>
      <c r="E100" s="45"/>
      <c r="F100" s="45"/>
      <c r="G100" s="46"/>
    </row>
    <row r="101" spans="1:7" ht="60" customHeight="1" thickBot="1" x14ac:dyDescent="0.3">
      <c r="A101" s="120"/>
      <c r="B101" s="54" t="s">
        <v>36</v>
      </c>
      <c r="C101" s="44" t="s">
        <v>38</v>
      </c>
      <c r="D101" s="45" t="s">
        <v>226</v>
      </c>
      <c r="E101" s="45"/>
      <c r="F101" s="60"/>
      <c r="G101" s="46"/>
    </row>
    <row r="102" spans="1:7" ht="30" customHeight="1" thickBot="1" x14ac:dyDescent="0.3">
      <c r="A102" s="120"/>
      <c r="B102" s="55">
        <v>1</v>
      </c>
      <c r="C102" s="47" t="s">
        <v>39</v>
      </c>
      <c r="D102" s="45" t="s">
        <v>227</v>
      </c>
      <c r="E102" s="49"/>
      <c r="F102" s="45" t="s">
        <v>228</v>
      </c>
      <c r="G102" s="46"/>
    </row>
    <row r="103" spans="1:7" ht="36.6" customHeight="1" thickBot="1" x14ac:dyDescent="0.3">
      <c r="A103" s="120"/>
      <c r="B103" s="57">
        <v>2</v>
      </c>
      <c r="C103" s="50" t="s">
        <v>40</v>
      </c>
      <c r="D103" s="45" t="s">
        <v>229</v>
      </c>
      <c r="E103" s="49"/>
      <c r="F103" s="45" t="s">
        <v>230</v>
      </c>
      <c r="G103" s="46"/>
    </row>
    <row r="104" spans="1:7" ht="45.75" thickBot="1" x14ac:dyDescent="0.3">
      <c r="A104" s="120"/>
      <c r="B104" s="82">
        <v>3</v>
      </c>
      <c r="C104" s="83" t="s">
        <v>40</v>
      </c>
      <c r="D104" s="58" t="s">
        <v>231</v>
      </c>
      <c r="E104" s="84"/>
      <c r="F104" s="45" t="s">
        <v>232</v>
      </c>
      <c r="G104" s="51"/>
    </row>
    <row r="105" spans="1:7" ht="45.75" thickBot="1" x14ac:dyDescent="0.3">
      <c r="A105" s="120"/>
      <c r="B105" s="82">
        <v>4</v>
      </c>
      <c r="C105" s="83" t="s">
        <v>40</v>
      </c>
      <c r="D105" s="58" t="s">
        <v>233</v>
      </c>
      <c r="E105" s="84"/>
      <c r="F105" s="45" t="s">
        <v>234</v>
      </c>
      <c r="G105" s="51"/>
    </row>
    <row r="106" spans="1:7" ht="90.75" thickBot="1" x14ac:dyDescent="0.3">
      <c r="A106" s="120"/>
      <c r="B106" s="52" t="s">
        <v>79</v>
      </c>
      <c r="C106" s="53" t="s">
        <v>80</v>
      </c>
      <c r="D106" s="58" t="s">
        <v>239</v>
      </c>
      <c r="E106" s="61"/>
      <c r="F106" s="85"/>
      <c r="G106" s="56"/>
    </row>
    <row r="107" spans="1:7" ht="60.75" thickBot="1" x14ac:dyDescent="0.3">
      <c r="A107" s="120"/>
      <c r="B107" s="52" t="s">
        <v>79</v>
      </c>
      <c r="C107" s="53" t="s">
        <v>80</v>
      </c>
      <c r="D107" s="58" t="s">
        <v>240</v>
      </c>
      <c r="E107" s="61"/>
      <c r="F107" s="85"/>
      <c r="G107" s="56"/>
    </row>
    <row r="108" spans="1:7" ht="45.75" customHeight="1" thickBot="1" x14ac:dyDescent="0.3">
      <c r="A108" s="102" t="str">
        <f>TabellaTest!F13</f>
        <v>TF008.UC03</v>
      </c>
      <c r="B108" s="124" t="str">
        <f>TabellaTest!C13</f>
        <v>PAR. 2.8-048-08</v>
      </c>
      <c r="C108" s="125"/>
      <c r="D108" s="123" t="str">
        <f>TabellaTest!E13</f>
        <v>Verifica Template provvedimento determinazione Pene Concorrenti</v>
      </c>
      <c r="E108" s="116"/>
      <c r="F108" s="123" t="str">
        <f>TabellaTest!G13</f>
        <v>Verifica: Verificare modifiche nella sezione Pena Principale/Pena Espianda del provvedimento determinazione Pene Concorrenti</v>
      </c>
      <c r="G108" s="131"/>
    </row>
    <row r="109" spans="1:7" ht="30" x14ac:dyDescent="0.25">
      <c r="A109" s="121"/>
      <c r="B109" s="35" t="s">
        <v>31</v>
      </c>
      <c r="C109" s="32" t="s">
        <v>32</v>
      </c>
      <c r="D109" s="29" t="s">
        <v>33</v>
      </c>
      <c r="E109" s="29" t="s">
        <v>34</v>
      </c>
      <c r="F109" s="29" t="s">
        <v>35</v>
      </c>
      <c r="G109" s="30" t="s">
        <v>10</v>
      </c>
    </row>
    <row r="110" spans="1:7" ht="30" x14ac:dyDescent="0.25">
      <c r="A110" s="122"/>
      <c r="B110" s="54" t="s">
        <v>36</v>
      </c>
      <c r="C110" s="44" t="s">
        <v>37</v>
      </c>
      <c r="D110" s="45" t="s">
        <v>119</v>
      </c>
      <c r="E110" s="45" t="s">
        <v>183</v>
      </c>
      <c r="F110" s="86"/>
      <c r="G110" s="46"/>
    </row>
    <row r="111" spans="1:7" ht="45" x14ac:dyDescent="0.25">
      <c r="A111" s="122"/>
      <c r="B111" s="54" t="s">
        <v>36</v>
      </c>
      <c r="C111" s="44" t="s">
        <v>37</v>
      </c>
      <c r="D111" s="45" t="s">
        <v>243</v>
      </c>
      <c r="E111" s="45"/>
      <c r="F111" s="45"/>
      <c r="G111" s="46"/>
    </row>
    <row r="112" spans="1:7" ht="60" customHeight="1" x14ac:dyDescent="0.25">
      <c r="A112" s="122"/>
      <c r="B112" s="54" t="s">
        <v>36</v>
      </c>
      <c r="C112" s="44" t="s">
        <v>38</v>
      </c>
      <c r="D112" s="45" t="s">
        <v>226</v>
      </c>
      <c r="E112" s="45"/>
      <c r="F112" s="60"/>
      <c r="G112" s="46"/>
    </row>
    <row r="113" spans="1:7" ht="30" customHeight="1" x14ac:dyDescent="0.25">
      <c r="A113" s="122"/>
      <c r="B113" s="55">
        <v>1</v>
      </c>
      <c r="C113" s="47" t="s">
        <v>39</v>
      </c>
      <c r="D113" s="45" t="s">
        <v>227</v>
      </c>
      <c r="E113" s="49"/>
      <c r="F113" s="45" t="s">
        <v>228</v>
      </c>
      <c r="G113" s="46"/>
    </row>
    <row r="114" spans="1:7" ht="36.6" customHeight="1" x14ac:dyDescent="0.25">
      <c r="A114" s="122"/>
      <c r="B114" s="57">
        <v>2</v>
      </c>
      <c r="C114" s="50" t="s">
        <v>40</v>
      </c>
      <c r="D114" s="45" t="s">
        <v>229</v>
      </c>
      <c r="E114" s="49"/>
      <c r="F114" s="45" t="s">
        <v>230</v>
      </c>
      <c r="G114" s="46"/>
    </row>
    <row r="115" spans="1:7" ht="45" x14ac:dyDescent="0.25">
      <c r="A115" s="122"/>
      <c r="B115" s="82">
        <v>3</v>
      </c>
      <c r="C115" s="83" t="s">
        <v>40</v>
      </c>
      <c r="D115" s="58" t="s">
        <v>231</v>
      </c>
      <c r="E115" s="84"/>
      <c r="F115" s="45" t="s">
        <v>232</v>
      </c>
      <c r="G115" s="51"/>
    </row>
    <row r="116" spans="1:7" ht="45" x14ac:dyDescent="0.25">
      <c r="A116" s="122"/>
      <c r="B116" s="82">
        <v>4</v>
      </c>
      <c r="C116" s="83" t="s">
        <v>40</v>
      </c>
      <c r="D116" s="58" t="s">
        <v>233</v>
      </c>
      <c r="E116" s="84"/>
      <c r="F116" s="45" t="s">
        <v>234</v>
      </c>
      <c r="G116" s="51"/>
    </row>
    <row r="117" spans="1:7" ht="60.75" thickBot="1" x14ac:dyDescent="0.3">
      <c r="A117" s="122"/>
      <c r="B117" s="52" t="s">
        <v>79</v>
      </c>
      <c r="C117" s="53" t="s">
        <v>80</v>
      </c>
      <c r="D117" s="58" t="s">
        <v>244</v>
      </c>
      <c r="E117" s="61"/>
      <c r="F117" s="85"/>
      <c r="G117" s="56"/>
    </row>
    <row r="118" spans="1:7" ht="51.75" customHeight="1" thickBot="1" x14ac:dyDescent="0.3">
      <c r="A118" s="102" t="str">
        <f>TabellaTest!F14</f>
        <v>TF009.UC01</v>
      </c>
      <c r="B118" s="115" t="str">
        <f>TabellaTest!C14</f>
        <v>PAR. 2.9-048-09</v>
      </c>
      <c r="C118" s="116"/>
      <c r="D118" s="117" t="str">
        <f>TabellaTest!E14</f>
        <v xml:space="preserve">Verifica Template Prospetti </v>
      </c>
      <c r="E118" s="118"/>
      <c r="F118" s="117" t="str">
        <f>TabellaTest!G14</f>
        <v>Verifica: Verificare aggiornamento template Prospetto Provvedimenti Coinvolti e Prospetto Cumulo (proposta)</v>
      </c>
      <c r="G118" s="119"/>
    </row>
    <row r="119" spans="1:7" ht="30.75" thickBot="1" x14ac:dyDescent="0.3">
      <c r="A119" s="120"/>
      <c r="B119" s="36" t="s">
        <v>31</v>
      </c>
      <c r="C119" s="33" t="s">
        <v>32</v>
      </c>
      <c r="D119" s="33" t="s">
        <v>33</v>
      </c>
      <c r="E119" s="33" t="s">
        <v>34</v>
      </c>
      <c r="F119" s="33" t="s">
        <v>35</v>
      </c>
      <c r="G119" s="34" t="s">
        <v>10</v>
      </c>
    </row>
    <row r="120" spans="1:7" ht="30.75" thickBot="1" x14ac:dyDescent="0.3">
      <c r="A120" s="120"/>
      <c r="B120" s="54" t="s">
        <v>36</v>
      </c>
      <c r="C120" s="44" t="s">
        <v>37</v>
      </c>
      <c r="D120" s="45" t="s">
        <v>119</v>
      </c>
      <c r="E120" s="45" t="s">
        <v>183</v>
      </c>
      <c r="F120" s="86"/>
      <c r="G120" s="46"/>
    </row>
    <row r="121" spans="1:7" ht="60" customHeight="1" thickBot="1" x14ac:dyDescent="0.3">
      <c r="A121" s="120"/>
      <c r="B121" s="54" t="s">
        <v>36</v>
      </c>
      <c r="C121" s="44" t="s">
        <v>38</v>
      </c>
      <c r="D121" s="45" t="s">
        <v>248</v>
      </c>
      <c r="E121" s="45"/>
      <c r="F121" s="60"/>
      <c r="G121" s="46"/>
    </row>
    <row r="122" spans="1:7" ht="45.75" thickBot="1" x14ac:dyDescent="0.3">
      <c r="A122" s="120"/>
      <c r="B122" s="55">
        <v>1</v>
      </c>
      <c r="C122" s="47" t="s">
        <v>39</v>
      </c>
      <c r="D122" s="45" t="s">
        <v>249</v>
      </c>
      <c r="E122" s="49"/>
      <c r="F122" s="45" t="s">
        <v>234</v>
      </c>
      <c r="G122" s="46"/>
    </row>
    <row r="123" spans="1:7" ht="36.6" customHeight="1" thickBot="1" x14ac:dyDescent="0.3">
      <c r="A123" s="120"/>
      <c r="B123" s="57">
        <v>2</v>
      </c>
      <c r="C123" s="50" t="s">
        <v>40</v>
      </c>
      <c r="D123" s="45" t="s">
        <v>229</v>
      </c>
      <c r="E123" s="49"/>
      <c r="F123" s="45" t="s">
        <v>230</v>
      </c>
      <c r="G123" s="46"/>
    </row>
    <row r="124" spans="1:7" ht="45.75" thickBot="1" x14ac:dyDescent="0.3">
      <c r="A124" s="120"/>
      <c r="B124" s="82">
        <v>3</v>
      </c>
      <c r="C124" s="83" t="s">
        <v>40</v>
      </c>
      <c r="D124" s="58" t="s">
        <v>231</v>
      </c>
      <c r="E124" s="84"/>
      <c r="F124" s="45" t="s">
        <v>232</v>
      </c>
      <c r="G124" s="51"/>
    </row>
    <row r="125" spans="1:7" ht="60.75" thickBot="1" x14ac:dyDescent="0.3">
      <c r="A125" s="120"/>
      <c r="B125" s="82">
        <v>4</v>
      </c>
      <c r="C125" s="83" t="s">
        <v>40</v>
      </c>
      <c r="D125" s="58" t="s">
        <v>233</v>
      </c>
      <c r="E125" s="84"/>
      <c r="F125" s="45" t="s">
        <v>250</v>
      </c>
      <c r="G125" s="51"/>
    </row>
    <row r="126" spans="1:7" ht="75.75" thickBot="1" x14ac:dyDescent="0.3">
      <c r="A126" s="120"/>
      <c r="B126" s="52" t="s">
        <v>79</v>
      </c>
      <c r="C126" s="53" t="s">
        <v>80</v>
      </c>
      <c r="D126" s="58" t="s">
        <v>235</v>
      </c>
      <c r="E126" s="61"/>
      <c r="F126" s="85"/>
      <c r="G126" s="56"/>
    </row>
    <row r="127" spans="1:7" ht="60" customHeight="1" thickBot="1" x14ac:dyDescent="0.3">
      <c r="A127" s="120"/>
      <c r="B127" s="54" t="s">
        <v>36</v>
      </c>
      <c r="C127" s="44" t="s">
        <v>38</v>
      </c>
      <c r="D127" s="45" t="s">
        <v>257</v>
      </c>
      <c r="E127" s="45"/>
      <c r="F127" s="60"/>
      <c r="G127" s="46"/>
    </row>
    <row r="128" spans="1:7" ht="60.75" thickBot="1" x14ac:dyDescent="0.3">
      <c r="A128" s="120"/>
      <c r="B128" s="55">
        <v>2</v>
      </c>
      <c r="C128" s="47" t="s">
        <v>39</v>
      </c>
      <c r="D128" s="45" t="s">
        <v>251</v>
      </c>
      <c r="E128" s="49"/>
      <c r="F128" s="45" t="s">
        <v>252</v>
      </c>
      <c r="G128" s="46"/>
    </row>
    <row r="129" spans="1:7" ht="60.75" thickBot="1" x14ac:dyDescent="0.3">
      <c r="A129" s="120"/>
      <c r="B129" s="52" t="s">
        <v>79</v>
      </c>
      <c r="C129" s="53" t="s">
        <v>80</v>
      </c>
      <c r="D129" s="58" t="s">
        <v>253</v>
      </c>
      <c r="E129" s="61"/>
      <c r="F129" s="85"/>
      <c r="G129" s="56"/>
    </row>
    <row r="130" spans="1:7" ht="51.75" customHeight="1" thickBot="1" x14ac:dyDescent="0.3">
      <c r="A130" s="102" t="str">
        <f>TabellaTest!F26</f>
        <v>TF018.UC01</v>
      </c>
      <c r="B130" s="115" t="str">
        <f>TabellaTest!C15</f>
        <v>PAR. 2.10-048-10</v>
      </c>
      <c r="C130" s="116"/>
      <c r="D130" s="117" t="str">
        <f>TabellaTest!E15</f>
        <v>Verifica Richiesta Benefici al GE</v>
      </c>
      <c r="E130" s="118"/>
      <c r="F130" s="117" t="str">
        <f>TabellaTest!G15</f>
        <v>Verifica: Verificare funzione Richiesta Benefici al GE all'interno di Dati Analitici/Attività del PM</v>
      </c>
      <c r="G130" s="119"/>
    </row>
    <row r="131" spans="1:7" ht="30.75" thickBot="1" x14ac:dyDescent="0.3">
      <c r="A131" s="120"/>
      <c r="B131" s="36" t="s">
        <v>31</v>
      </c>
      <c r="C131" s="33" t="s">
        <v>32</v>
      </c>
      <c r="D131" s="33" t="s">
        <v>33</v>
      </c>
      <c r="E131" s="33" t="s">
        <v>34</v>
      </c>
      <c r="F131" s="33" t="s">
        <v>35</v>
      </c>
      <c r="G131" s="34" t="s">
        <v>10</v>
      </c>
    </row>
    <row r="132" spans="1:7" ht="30.75" thickBot="1" x14ac:dyDescent="0.3">
      <c r="A132" s="120"/>
      <c r="B132" s="54" t="s">
        <v>36</v>
      </c>
      <c r="C132" s="44" t="s">
        <v>37</v>
      </c>
      <c r="D132" s="45" t="s">
        <v>119</v>
      </c>
      <c r="E132" s="45" t="s">
        <v>183</v>
      </c>
      <c r="F132" s="86"/>
      <c r="G132" s="46"/>
    </row>
    <row r="133" spans="1:7" ht="60" customHeight="1" thickBot="1" x14ac:dyDescent="0.3">
      <c r="A133" s="120"/>
      <c r="B133" s="54" t="s">
        <v>36</v>
      </c>
      <c r="C133" s="44" t="s">
        <v>38</v>
      </c>
      <c r="D133" s="45" t="s">
        <v>403</v>
      </c>
      <c r="E133" s="45"/>
      <c r="F133" s="45" t="s">
        <v>261</v>
      </c>
      <c r="G133" s="46"/>
    </row>
    <row r="134" spans="1:7" ht="30.75" thickBot="1" x14ac:dyDescent="0.3">
      <c r="A134" s="120"/>
      <c r="B134" s="55">
        <v>1</v>
      </c>
      <c r="C134" s="47" t="s">
        <v>39</v>
      </c>
      <c r="D134" s="45" t="s">
        <v>404</v>
      </c>
      <c r="E134" s="49"/>
      <c r="F134" s="45" t="s">
        <v>405</v>
      </c>
      <c r="G134" s="46"/>
    </row>
    <row r="135" spans="1:7" ht="60" customHeight="1" thickBot="1" x14ac:dyDescent="0.3">
      <c r="A135" s="120"/>
      <c r="B135" s="57">
        <v>2</v>
      </c>
      <c r="C135" s="50" t="s">
        <v>40</v>
      </c>
      <c r="D135" s="45" t="s">
        <v>406</v>
      </c>
      <c r="E135" s="49"/>
      <c r="F135" s="45" t="s">
        <v>413</v>
      </c>
      <c r="G135" s="46"/>
    </row>
    <row r="136" spans="1:7" ht="30.75" thickBot="1" x14ac:dyDescent="0.3">
      <c r="A136" s="120"/>
      <c r="B136" s="82">
        <v>3</v>
      </c>
      <c r="C136" s="83" t="s">
        <v>40</v>
      </c>
      <c r="D136" s="58" t="s">
        <v>407</v>
      </c>
      <c r="E136" s="84"/>
      <c r="F136" s="45" t="s">
        <v>408</v>
      </c>
      <c r="G136" s="51"/>
    </row>
    <row r="137" spans="1:7" ht="30.75" thickBot="1" x14ac:dyDescent="0.3">
      <c r="A137" s="120"/>
      <c r="B137" s="82">
        <v>4</v>
      </c>
      <c r="C137" s="83" t="s">
        <v>40</v>
      </c>
      <c r="D137" s="58" t="s">
        <v>409</v>
      </c>
      <c r="E137" s="84"/>
      <c r="F137" s="45" t="s">
        <v>410</v>
      </c>
      <c r="G137" s="51"/>
    </row>
    <row r="138" spans="1:7" ht="30.75" thickBot="1" x14ac:dyDescent="0.3">
      <c r="A138" s="120"/>
      <c r="B138" s="52" t="s">
        <v>79</v>
      </c>
      <c r="C138" s="53" t="s">
        <v>80</v>
      </c>
      <c r="D138" s="58" t="s">
        <v>411</v>
      </c>
      <c r="E138" s="61"/>
      <c r="F138" s="85"/>
      <c r="G138" s="56"/>
    </row>
    <row r="139" spans="1:7" ht="60" customHeight="1" thickBot="1" x14ac:dyDescent="0.3">
      <c r="A139" s="120"/>
      <c r="B139" s="57">
        <v>5</v>
      </c>
      <c r="C139" s="50" t="s">
        <v>40</v>
      </c>
      <c r="D139" s="45" t="s">
        <v>412</v>
      </c>
      <c r="E139" s="49"/>
      <c r="F139" s="45" t="s">
        <v>414</v>
      </c>
      <c r="G139" s="46"/>
    </row>
    <row r="140" spans="1:7" ht="30.75" thickBot="1" x14ac:dyDescent="0.3">
      <c r="A140" s="120"/>
      <c r="B140" s="82">
        <v>6</v>
      </c>
      <c r="C140" s="83" t="s">
        <v>40</v>
      </c>
      <c r="D140" s="58" t="s">
        <v>415</v>
      </c>
      <c r="E140" s="84"/>
      <c r="F140" s="45" t="s">
        <v>416</v>
      </c>
      <c r="G140" s="51"/>
    </row>
    <row r="141" spans="1:7" ht="30.75" thickBot="1" x14ac:dyDescent="0.3">
      <c r="A141" s="120"/>
      <c r="B141" s="82">
        <v>7</v>
      </c>
      <c r="C141" s="83" t="s">
        <v>40</v>
      </c>
      <c r="D141" s="58" t="s">
        <v>417</v>
      </c>
      <c r="E141" s="84"/>
      <c r="F141" s="45" t="s">
        <v>410</v>
      </c>
      <c r="G141" s="51"/>
    </row>
    <row r="142" spans="1:7" ht="30.75" thickBot="1" x14ac:dyDescent="0.3">
      <c r="A142" s="120"/>
      <c r="B142" s="52" t="s">
        <v>79</v>
      </c>
      <c r="C142" s="53" t="s">
        <v>80</v>
      </c>
      <c r="D142" s="58" t="s">
        <v>418</v>
      </c>
      <c r="E142" s="61"/>
      <c r="F142" s="85"/>
      <c r="G142" s="56"/>
    </row>
    <row r="143" spans="1:7" ht="60" customHeight="1" thickBot="1" x14ac:dyDescent="0.3">
      <c r="A143" s="120"/>
      <c r="B143" s="57">
        <v>8</v>
      </c>
      <c r="C143" s="50" t="s">
        <v>40</v>
      </c>
      <c r="D143" s="45" t="s">
        <v>412</v>
      </c>
      <c r="E143" s="49"/>
      <c r="F143" s="45" t="s">
        <v>419</v>
      </c>
      <c r="G143" s="46"/>
    </row>
    <row r="144" spans="1:7" ht="30.75" thickBot="1" x14ac:dyDescent="0.3">
      <c r="A144" s="120"/>
      <c r="B144" s="82">
        <v>9</v>
      </c>
      <c r="C144" s="83" t="s">
        <v>40</v>
      </c>
      <c r="D144" s="58" t="s">
        <v>420</v>
      </c>
      <c r="E144" s="84"/>
      <c r="F144" s="45" t="s">
        <v>421</v>
      </c>
      <c r="G144" s="51"/>
    </row>
    <row r="145" spans="1:7" ht="60.75" thickBot="1" x14ac:dyDescent="0.3">
      <c r="A145" s="120"/>
      <c r="B145" s="82">
        <v>10</v>
      </c>
      <c r="C145" s="83" t="s">
        <v>40</v>
      </c>
      <c r="D145" s="58" t="s">
        <v>422</v>
      </c>
      <c r="E145" s="84"/>
      <c r="F145" s="45" t="s">
        <v>419</v>
      </c>
      <c r="G145" s="51"/>
    </row>
    <row r="146" spans="1:7" ht="30.75" thickBot="1" x14ac:dyDescent="0.3">
      <c r="A146" s="120"/>
      <c r="B146" s="52" t="s">
        <v>79</v>
      </c>
      <c r="C146" s="53" t="s">
        <v>80</v>
      </c>
      <c r="D146" s="58" t="s">
        <v>423</v>
      </c>
      <c r="E146" s="61"/>
      <c r="F146" s="85"/>
      <c r="G146" s="56"/>
    </row>
    <row r="147" spans="1:7" ht="50.25" customHeight="1" thickBot="1" x14ac:dyDescent="0.3">
      <c r="A147" s="102" t="str">
        <f>TabellaTest!F16</f>
        <v>TF011.UC01</v>
      </c>
      <c r="B147" s="115" t="str">
        <f>TabellaTest!C16</f>
        <v>PAR. 2.11-048-11</v>
      </c>
      <c r="C147" s="125"/>
      <c r="D147" s="123" t="str">
        <f>TabellaTest!E16</f>
        <v>Verifica Gestione procedimenti con pena sospesa all'interno del cumulo</v>
      </c>
      <c r="E147" s="116"/>
      <c r="F147" s="123" t="str">
        <f>TabellaTest!G16</f>
        <v>Verifica: Verificare la gestione di un procedimento con pena sospesa coinvolto in cumulo all'interno di una istruttoria cumulo</v>
      </c>
      <c r="G147" s="131"/>
    </row>
    <row r="148" spans="1:7" ht="30.75" thickBot="1" x14ac:dyDescent="0.3">
      <c r="A148" s="121"/>
      <c r="B148" s="35" t="s">
        <v>31</v>
      </c>
      <c r="C148" s="32" t="s">
        <v>32</v>
      </c>
      <c r="D148" s="29" t="s">
        <v>33</v>
      </c>
      <c r="E148" s="29" t="s">
        <v>34</v>
      </c>
      <c r="F148" s="29" t="s">
        <v>35</v>
      </c>
      <c r="G148" s="30" t="s">
        <v>10</v>
      </c>
    </row>
    <row r="149" spans="1:7" ht="30" x14ac:dyDescent="0.25">
      <c r="A149" s="122"/>
      <c r="B149" s="54" t="s">
        <v>36</v>
      </c>
      <c r="C149" s="44" t="s">
        <v>37</v>
      </c>
      <c r="D149" s="45" t="s">
        <v>119</v>
      </c>
      <c r="E149" s="45" t="s">
        <v>183</v>
      </c>
      <c r="F149" s="45"/>
      <c r="G149" s="46"/>
    </row>
    <row r="150" spans="1:7" ht="60" x14ac:dyDescent="0.25">
      <c r="A150" s="122"/>
      <c r="B150" s="54" t="s">
        <v>36</v>
      </c>
      <c r="C150" s="44" t="s">
        <v>37</v>
      </c>
      <c r="D150" s="45" t="s">
        <v>258</v>
      </c>
      <c r="E150" s="45"/>
      <c r="F150" s="45"/>
      <c r="G150" s="46"/>
    </row>
    <row r="151" spans="1:7" ht="30" x14ac:dyDescent="0.25">
      <c r="A151" s="122"/>
      <c r="B151" s="55">
        <v>1</v>
      </c>
      <c r="C151" s="47" t="s">
        <v>39</v>
      </c>
      <c r="D151" s="48" t="s">
        <v>259</v>
      </c>
      <c r="E151" s="49"/>
      <c r="F151" s="45" t="s">
        <v>260</v>
      </c>
      <c r="G151" s="46"/>
    </row>
    <row r="152" spans="1:7" ht="30.75" thickBot="1" x14ac:dyDescent="0.3">
      <c r="A152" s="122"/>
      <c r="B152" s="90" t="s">
        <v>95</v>
      </c>
      <c r="C152" s="50" t="s">
        <v>40</v>
      </c>
      <c r="D152" s="45" t="s">
        <v>262</v>
      </c>
      <c r="E152" s="49"/>
      <c r="F152" s="45" t="s">
        <v>261</v>
      </c>
      <c r="G152" s="46"/>
    </row>
    <row r="153" spans="1:7" ht="30.75" thickBot="1" x14ac:dyDescent="0.3">
      <c r="A153" s="122"/>
      <c r="B153" s="90" t="s">
        <v>94</v>
      </c>
      <c r="C153" s="50" t="s">
        <v>40</v>
      </c>
      <c r="D153" s="45" t="s">
        <v>263</v>
      </c>
      <c r="E153" s="49"/>
      <c r="F153" s="45" t="s">
        <v>264</v>
      </c>
      <c r="G153" s="46"/>
    </row>
    <row r="154" spans="1:7" x14ac:dyDescent="0.25">
      <c r="A154" s="122"/>
      <c r="B154" s="90" t="s">
        <v>93</v>
      </c>
      <c r="C154" s="50" t="s">
        <v>40</v>
      </c>
      <c r="D154" s="45" t="s">
        <v>265</v>
      </c>
      <c r="E154" s="49"/>
      <c r="F154" s="45" t="s">
        <v>266</v>
      </c>
      <c r="G154" s="46"/>
    </row>
    <row r="155" spans="1:7" ht="30" x14ac:dyDescent="0.25">
      <c r="A155" s="122"/>
      <c r="B155" s="90" t="s">
        <v>92</v>
      </c>
      <c r="C155" s="50" t="s">
        <v>40</v>
      </c>
      <c r="D155" s="45" t="s">
        <v>267</v>
      </c>
      <c r="E155" s="49"/>
      <c r="F155" s="45" t="s">
        <v>268</v>
      </c>
      <c r="G155" s="46"/>
    </row>
    <row r="156" spans="1:7" ht="45" x14ac:dyDescent="0.25">
      <c r="A156" s="122"/>
      <c r="B156" s="90" t="s">
        <v>90</v>
      </c>
      <c r="C156" s="50" t="s">
        <v>40</v>
      </c>
      <c r="D156" s="45" t="s">
        <v>269</v>
      </c>
      <c r="E156" s="49"/>
      <c r="F156" s="45" t="s">
        <v>270</v>
      </c>
      <c r="G156" s="46"/>
    </row>
    <row r="157" spans="1:7" ht="30" x14ac:dyDescent="0.25">
      <c r="A157" s="122"/>
      <c r="B157" s="90" t="s">
        <v>87</v>
      </c>
      <c r="C157" s="50" t="s">
        <v>40</v>
      </c>
      <c r="D157" s="45" t="s">
        <v>271</v>
      </c>
      <c r="E157" s="49"/>
      <c r="F157" s="45" t="s">
        <v>228</v>
      </c>
      <c r="G157" s="46"/>
    </row>
    <row r="158" spans="1:7" ht="30" x14ac:dyDescent="0.25">
      <c r="A158" s="122"/>
      <c r="B158" s="90" t="s">
        <v>86</v>
      </c>
      <c r="C158" s="50" t="s">
        <v>40</v>
      </c>
      <c r="D158" s="45" t="s">
        <v>272</v>
      </c>
      <c r="E158" s="49"/>
      <c r="F158" s="45" t="s">
        <v>273</v>
      </c>
      <c r="G158" s="46"/>
    </row>
    <row r="159" spans="1:7" x14ac:dyDescent="0.25">
      <c r="A159" s="122"/>
      <c r="B159" s="90" t="s">
        <v>274</v>
      </c>
      <c r="C159" s="50" t="s">
        <v>40</v>
      </c>
      <c r="D159" s="45" t="s">
        <v>275</v>
      </c>
      <c r="E159" s="49"/>
      <c r="F159" s="45" t="s">
        <v>276</v>
      </c>
      <c r="G159" s="46"/>
    </row>
    <row r="160" spans="1:7" ht="90.75" thickBot="1" x14ac:dyDescent="0.3">
      <c r="A160" s="122"/>
      <c r="B160" s="52" t="s">
        <v>79</v>
      </c>
      <c r="C160" s="53" t="s">
        <v>80</v>
      </c>
      <c r="D160" s="103" t="s">
        <v>277</v>
      </c>
      <c r="E160" s="61"/>
      <c r="F160" s="103"/>
      <c r="G160" s="56"/>
    </row>
    <row r="161" spans="1:7" ht="54.75" customHeight="1" thickBot="1" x14ac:dyDescent="0.3">
      <c r="A161" s="102" t="str">
        <f>TabellaTest!F17</f>
        <v>TF012.UC01</v>
      </c>
      <c r="B161" s="115" t="str">
        <f>TabellaTest!C17</f>
        <v>PAR. 2.12-048-12</v>
      </c>
      <c r="C161" s="125"/>
      <c r="D161" s="123" t="str">
        <f>TabellaTest!E17</f>
        <v>Verifica Gestione Incongruenza dei dati sulla sentenza in continuazione   (Cumulo)</v>
      </c>
      <c r="E161" s="116"/>
      <c r="F161" s="123" t="str">
        <f>TabellaTest!G17</f>
        <v>Verifica: Verificare gestione Incongruenza dei dati sulla sentenza in continuazione (Cumulo)</v>
      </c>
      <c r="G161" s="131"/>
    </row>
    <row r="162" spans="1:7" ht="30.75" thickBot="1" x14ac:dyDescent="0.3">
      <c r="A162" s="120"/>
      <c r="B162" s="36" t="s">
        <v>31</v>
      </c>
      <c r="C162" s="33" t="s">
        <v>32</v>
      </c>
      <c r="D162" s="33" t="s">
        <v>33</v>
      </c>
      <c r="E162" s="33" t="s">
        <v>34</v>
      </c>
      <c r="F162" s="33" t="s">
        <v>35</v>
      </c>
      <c r="G162" s="34" t="s">
        <v>10</v>
      </c>
    </row>
    <row r="163" spans="1:7" ht="30.75" thickBot="1" x14ac:dyDescent="0.3">
      <c r="A163" s="120"/>
      <c r="B163" s="54" t="s">
        <v>36</v>
      </c>
      <c r="C163" s="44" t="s">
        <v>37</v>
      </c>
      <c r="D163" s="45" t="s">
        <v>119</v>
      </c>
      <c r="E163" s="45" t="s">
        <v>183</v>
      </c>
      <c r="F163" s="45"/>
      <c r="G163" s="46"/>
    </row>
    <row r="164" spans="1:7" ht="45.75" thickBot="1" x14ac:dyDescent="0.3">
      <c r="A164" s="120"/>
      <c r="B164" s="54" t="s">
        <v>36</v>
      </c>
      <c r="C164" s="44" t="s">
        <v>37</v>
      </c>
      <c r="D164" s="45" t="s">
        <v>281</v>
      </c>
      <c r="E164" s="45"/>
      <c r="F164" s="45"/>
      <c r="G164" s="46"/>
    </row>
    <row r="165" spans="1:7" ht="30.75" thickBot="1" x14ac:dyDescent="0.3">
      <c r="A165" s="120"/>
      <c r="B165" s="55">
        <v>1</v>
      </c>
      <c r="C165" s="47" t="s">
        <v>39</v>
      </c>
      <c r="D165" s="48" t="s">
        <v>259</v>
      </c>
      <c r="E165" s="49"/>
      <c r="F165" s="45" t="s">
        <v>260</v>
      </c>
      <c r="G165" s="46"/>
    </row>
    <row r="166" spans="1:7" ht="30.75" thickBot="1" x14ac:dyDescent="0.3">
      <c r="A166" s="120"/>
      <c r="B166" s="90" t="s">
        <v>95</v>
      </c>
      <c r="C166" s="50" t="s">
        <v>40</v>
      </c>
      <c r="D166" s="45" t="s">
        <v>262</v>
      </c>
      <c r="E166" s="49"/>
      <c r="F166" s="45" t="s">
        <v>261</v>
      </c>
      <c r="G166" s="46"/>
    </row>
    <row r="167" spans="1:7" ht="30.75" thickBot="1" x14ac:dyDescent="0.3">
      <c r="A167" s="120"/>
      <c r="B167" s="90" t="s">
        <v>94</v>
      </c>
      <c r="C167" s="50" t="s">
        <v>40</v>
      </c>
      <c r="D167" s="45" t="s">
        <v>263</v>
      </c>
      <c r="E167" s="49"/>
      <c r="F167" s="45" t="s">
        <v>264</v>
      </c>
      <c r="G167" s="46"/>
    </row>
    <row r="168" spans="1:7" ht="30.75" thickBot="1" x14ac:dyDescent="0.3">
      <c r="A168" s="120"/>
      <c r="B168" s="90" t="s">
        <v>93</v>
      </c>
      <c r="C168" s="50" t="s">
        <v>40</v>
      </c>
      <c r="D168" s="45" t="s">
        <v>282</v>
      </c>
      <c r="E168" s="49"/>
      <c r="F168" s="45" t="s">
        <v>283</v>
      </c>
      <c r="G168" s="46"/>
    </row>
    <row r="169" spans="1:7" ht="30.75" thickBot="1" x14ac:dyDescent="0.3">
      <c r="A169" s="120"/>
      <c r="B169" s="90" t="s">
        <v>92</v>
      </c>
      <c r="C169" s="50" t="s">
        <v>40</v>
      </c>
      <c r="D169" s="45" t="s">
        <v>284</v>
      </c>
      <c r="E169" s="49"/>
      <c r="F169" s="45" t="s">
        <v>285</v>
      </c>
      <c r="G169" s="46"/>
    </row>
    <row r="170" spans="1:7" ht="60.75" thickBot="1" x14ac:dyDescent="0.3">
      <c r="A170" s="120"/>
      <c r="B170" s="90" t="s">
        <v>90</v>
      </c>
      <c r="C170" s="50" t="s">
        <v>40</v>
      </c>
      <c r="D170" s="45" t="s">
        <v>287</v>
      </c>
      <c r="E170" s="49"/>
      <c r="F170" s="45" t="s">
        <v>286</v>
      </c>
      <c r="G170" s="46"/>
    </row>
    <row r="171" spans="1:7" ht="30.75" thickBot="1" x14ac:dyDescent="0.3">
      <c r="A171" s="120"/>
      <c r="B171" s="90" t="s">
        <v>87</v>
      </c>
      <c r="C171" s="50" t="s">
        <v>40</v>
      </c>
      <c r="D171" s="45" t="s">
        <v>271</v>
      </c>
      <c r="E171" s="49"/>
      <c r="F171" s="45" t="s">
        <v>228</v>
      </c>
      <c r="G171" s="46"/>
    </row>
    <row r="172" spans="1:7" ht="150.75" thickBot="1" x14ac:dyDescent="0.3">
      <c r="A172" s="120"/>
      <c r="B172" s="52" t="s">
        <v>79</v>
      </c>
      <c r="C172" s="53" t="s">
        <v>80</v>
      </c>
      <c r="D172" s="103" t="s">
        <v>288</v>
      </c>
      <c r="E172" s="61"/>
      <c r="F172" s="103"/>
      <c r="G172" s="56"/>
    </row>
    <row r="173" spans="1:7" ht="30.75" thickBot="1" x14ac:dyDescent="0.3">
      <c r="A173" s="120"/>
      <c r="B173" s="90" t="s">
        <v>86</v>
      </c>
      <c r="C173" s="50" t="s">
        <v>40</v>
      </c>
      <c r="D173" s="45" t="s">
        <v>289</v>
      </c>
      <c r="E173" s="49"/>
      <c r="F173" s="45" t="s">
        <v>290</v>
      </c>
      <c r="G173" s="46"/>
    </row>
    <row r="174" spans="1:7" ht="45.75" thickBot="1" x14ac:dyDescent="0.3">
      <c r="A174" s="120"/>
      <c r="B174" s="90" t="s">
        <v>274</v>
      </c>
      <c r="C174" s="50" t="s">
        <v>40</v>
      </c>
      <c r="D174" s="45" t="s">
        <v>291</v>
      </c>
      <c r="E174" s="49"/>
      <c r="F174" s="45" t="s">
        <v>292</v>
      </c>
      <c r="G174" s="46"/>
    </row>
    <row r="175" spans="1:7" ht="30.75" thickBot="1" x14ac:dyDescent="0.3">
      <c r="A175" s="120"/>
      <c r="B175" s="90" t="s">
        <v>293</v>
      </c>
      <c r="C175" s="50" t="s">
        <v>40</v>
      </c>
      <c r="D175" s="45" t="s">
        <v>271</v>
      </c>
      <c r="E175" s="49"/>
      <c r="F175" s="45" t="s">
        <v>228</v>
      </c>
      <c r="G175" s="46"/>
    </row>
    <row r="176" spans="1:7" ht="30.75" thickBot="1" x14ac:dyDescent="0.3">
      <c r="A176" s="120"/>
      <c r="B176" s="52" t="s">
        <v>79</v>
      </c>
      <c r="C176" s="53" t="s">
        <v>80</v>
      </c>
      <c r="D176" s="103" t="s">
        <v>294</v>
      </c>
      <c r="E176" s="61"/>
      <c r="F176" s="103"/>
      <c r="G176" s="56"/>
    </row>
    <row r="177" spans="1:7" ht="42.75" customHeight="1" thickBot="1" x14ac:dyDescent="0.3">
      <c r="A177" s="102" t="str">
        <f>TabellaTest!F18</f>
        <v>TF013.UC01</v>
      </c>
      <c r="B177" s="115" t="str">
        <f>TabellaTest!C18</f>
        <v>PAR. 2.13-048-13</v>
      </c>
      <c r="C177" s="116"/>
      <c r="D177" s="117" t="str">
        <f>TabellaTest!E18</f>
        <v xml:space="preserve">Verifica Atti pervenuti per competenza al cumulo </v>
      </c>
      <c r="E177" s="118"/>
      <c r="F177" s="117" t="str">
        <f>TabellaTest!G18</f>
        <v xml:space="preserve">Verifica: Verificare aggiornamenti funzione Atti pervenuti per competenza al cumulo </v>
      </c>
      <c r="G177" s="119"/>
    </row>
    <row r="178" spans="1:7" ht="30.75" thickBot="1" x14ac:dyDescent="0.3">
      <c r="A178" s="120"/>
      <c r="B178" s="35" t="s">
        <v>31</v>
      </c>
      <c r="C178" s="32" t="s">
        <v>32</v>
      </c>
      <c r="D178" s="29" t="s">
        <v>33</v>
      </c>
      <c r="E178" s="29" t="s">
        <v>34</v>
      </c>
      <c r="F178" s="29" t="s">
        <v>35</v>
      </c>
      <c r="G178" s="30" t="s">
        <v>10</v>
      </c>
    </row>
    <row r="179" spans="1:7" ht="30.75" thickBot="1" x14ac:dyDescent="0.3">
      <c r="A179" s="120"/>
      <c r="B179" s="54" t="s">
        <v>36</v>
      </c>
      <c r="C179" s="44" t="s">
        <v>37</v>
      </c>
      <c r="D179" s="45" t="s">
        <v>119</v>
      </c>
      <c r="E179" s="45" t="s">
        <v>183</v>
      </c>
      <c r="F179" s="86"/>
      <c r="G179" s="46"/>
    </row>
    <row r="180" spans="1:7" ht="60" customHeight="1" thickBot="1" x14ac:dyDescent="0.3">
      <c r="A180" s="120"/>
      <c r="B180" s="54" t="s">
        <v>36</v>
      </c>
      <c r="C180" s="44" t="s">
        <v>38</v>
      </c>
      <c r="D180" s="45" t="s">
        <v>298</v>
      </c>
      <c r="E180" s="45"/>
      <c r="F180" s="60"/>
      <c r="G180" s="46"/>
    </row>
    <row r="181" spans="1:7" ht="45.75" thickBot="1" x14ac:dyDescent="0.3">
      <c r="A181" s="120"/>
      <c r="B181" s="55">
        <v>1</v>
      </c>
      <c r="C181" s="47" t="s">
        <v>39</v>
      </c>
      <c r="D181" s="48" t="s">
        <v>299</v>
      </c>
      <c r="E181" s="49"/>
      <c r="F181" s="45" t="s">
        <v>300</v>
      </c>
      <c r="G181" s="46"/>
    </row>
    <row r="182" spans="1:7" ht="105.75" thickBot="1" x14ac:dyDescent="0.3">
      <c r="A182" s="120"/>
      <c r="B182" s="52" t="s">
        <v>79</v>
      </c>
      <c r="C182" s="53" t="s">
        <v>80</v>
      </c>
      <c r="D182" s="103" t="s">
        <v>301</v>
      </c>
      <c r="E182" s="61"/>
      <c r="F182" s="103"/>
      <c r="G182" s="56"/>
    </row>
    <row r="183" spans="1:7" ht="45.75" thickBot="1" x14ac:dyDescent="0.3">
      <c r="A183" s="120"/>
      <c r="B183" s="90" t="s">
        <v>95</v>
      </c>
      <c r="C183" s="50" t="s">
        <v>40</v>
      </c>
      <c r="D183" s="45" t="s">
        <v>302</v>
      </c>
      <c r="E183" s="49"/>
      <c r="F183" s="45" t="s">
        <v>300</v>
      </c>
      <c r="G183" s="46"/>
    </row>
    <row r="184" spans="1:7" ht="30.75" thickBot="1" x14ac:dyDescent="0.3">
      <c r="A184" s="120"/>
      <c r="B184" s="52" t="s">
        <v>79</v>
      </c>
      <c r="C184" s="53" t="s">
        <v>80</v>
      </c>
      <c r="D184" s="103" t="s">
        <v>303</v>
      </c>
      <c r="E184" s="61"/>
      <c r="F184" s="103"/>
      <c r="G184" s="56"/>
    </row>
    <row r="185" spans="1:7" ht="45.75" thickBot="1" x14ac:dyDescent="0.3">
      <c r="A185" s="120"/>
      <c r="B185" s="90" t="s">
        <v>94</v>
      </c>
      <c r="C185" s="50" t="s">
        <v>40</v>
      </c>
      <c r="D185" s="45" t="s">
        <v>304</v>
      </c>
      <c r="E185" s="49"/>
      <c r="F185" s="45" t="s">
        <v>300</v>
      </c>
      <c r="G185" s="46"/>
    </row>
    <row r="186" spans="1:7" ht="30.75" thickBot="1" x14ac:dyDescent="0.3">
      <c r="A186" s="120"/>
      <c r="B186" s="52" t="s">
        <v>79</v>
      </c>
      <c r="C186" s="53" t="s">
        <v>80</v>
      </c>
      <c r="D186" s="103" t="s">
        <v>305</v>
      </c>
      <c r="E186" s="61"/>
      <c r="F186" s="103"/>
      <c r="G186" s="56"/>
    </row>
    <row r="187" spans="1:7" ht="45.75" thickBot="1" x14ac:dyDescent="0.3">
      <c r="A187" s="120"/>
      <c r="B187" s="90" t="s">
        <v>93</v>
      </c>
      <c r="C187" s="50" t="s">
        <v>40</v>
      </c>
      <c r="D187" s="45" t="s">
        <v>306</v>
      </c>
      <c r="E187" s="49"/>
      <c r="F187" s="45" t="s">
        <v>307</v>
      </c>
      <c r="G187" s="46"/>
    </row>
    <row r="188" spans="1:7" ht="30.75" thickBot="1" x14ac:dyDescent="0.3">
      <c r="A188" s="120"/>
      <c r="B188" s="52" t="s">
        <v>79</v>
      </c>
      <c r="C188" s="53" t="s">
        <v>80</v>
      </c>
      <c r="D188" s="103" t="s">
        <v>308</v>
      </c>
      <c r="E188" s="61"/>
      <c r="F188" s="103"/>
      <c r="G188" s="56"/>
    </row>
    <row r="189" spans="1:7" ht="30" customHeight="1" thickBot="1" x14ac:dyDescent="0.3">
      <c r="A189" s="102" t="str">
        <f>TabellaTest!F19</f>
        <v>TF014.UC01</v>
      </c>
      <c r="B189" s="115" t="str">
        <f>TabellaTest!C19</f>
        <v>PAR. 2.14-048-14</v>
      </c>
      <c r="C189" s="116"/>
      <c r="D189" s="117" t="str">
        <f>TabellaTest!E19</f>
        <v xml:space="preserve">Verifica gestione delle annotazioni di trasmissione e presa in carico </v>
      </c>
      <c r="E189" s="118"/>
      <c r="F189" s="117" t="str">
        <f>TabellaTest!G19</f>
        <v xml:space="preserve">Verifica: Verificare gestione delle annotazioni di trasmissione e presa in carico </v>
      </c>
      <c r="G189" s="119"/>
    </row>
    <row r="190" spans="1:7" ht="30" x14ac:dyDescent="0.25">
      <c r="A190" s="121"/>
      <c r="B190" s="35" t="s">
        <v>31</v>
      </c>
      <c r="C190" s="32" t="s">
        <v>32</v>
      </c>
      <c r="D190" s="29" t="s">
        <v>33</v>
      </c>
      <c r="E190" s="29" t="s">
        <v>34</v>
      </c>
      <c r="F190" s="29" t="s">
        <v>35</v>
      </c>
      <c r="G190" s="30" t="s">
        <v>10</v>
      </c>
    </row>
    <row r="191" spans="1:7" ht="30" x14ac:dyDescent="0.25">
      <c r="A191" s="122"/>
      <c r="B191" s="54" t="s">
        <v>36</v>
      </c>
      <c r="C191" s="44" t="s">
        <v>37</v>
      </c>
      <c r="D191" s="45" t="s">
        <v>119</v>
      </c>
      <c r="E191" s="45" t="s">
        <v>183</v>
      </c>
      <c r="F191" s="86"/>
      <c r="G191" s="46"/>
    </row>
    <row r="192" spans="1:7" ht="75" x14ac:dyDescent="0.25">
      <c r="A192" s="122"/>
      <c r="B192" s="54" t="s">
        <v>36</v>
      </c>
      <c r="C192" s="44" t="s">
        <v>37</v>
      </c>
      <c r="D192" s="45" t="s">
        <v>334</v>
      </c>
      <c r="E192" s="45" t="s">
        <v>183</v>
      </c>
      <c r="F192" s="86"/>
      <c r="G192" s="46"/>
    </row>
    <row r="193" spans="1:7" ht="60" customHeight="1" x14ac:dyDescent="0.25">
      <c r="A193" s="122"/>
      <c r="B193" s="54" t="s">
        <v>36</v>
      </c>
      <c r="C193" s="44" t="s">
        <v>38</v>
      </c>
      <c r="D193" s="45" t="s">
        <v>298</v>
      </c>
      <c r="E193" s="45"/>
      <c r="F193" s="60"/>
      <c r="G193" s="46"/>
    </row>
    <row r="194" spans="1:7" ht="45" x14ac:dyDescent="0.25">
      <c r="A194" s="122"/>
      <c r="B194" s="55">
        <v>1</v>
      </c>
      <c r="C194" s="47" t="s">
        <v>39</v>
      </c>
      <c r="D194" s="48" t="s">
        <v>312</v>
      </c>
      <c r="E194" s="49"/>
      <c r="F194" s="45" t="s">
        <v>313</v>
      </c>
      <c r="G194" s="46"/>
    </row>
    <row r="195" spans="1:7" ht="135.75" thickBot="1" x14ac:dyDescent="0.3">
      <c r="A195" s="122"/>
      <c r="B195" s="52" t="s">
        <v>79</v>
      </c>
      <c r="C195" s="53" t="s">
        <v>80</v>
      </c>
      <c r="D195" s="103" t="s">
        <v>335</v>
      </c>
      <c r="E195" s="61"/>
      <c r="F195" s="103"/>
      <c r="G195" s="56"/>
    </row>
    <row r="196" spans="1:7" ht="45" x14ac:dyDescent="0.25">
      <c r="A196" s="122"/>
      <c r="B196" s="90" t="s">
        <v>95</v>
      </c>
      <c r="C196" s="50" t="s">
        <v>40</v>
      </c>
      <c r="D196" s="45" t="s">
        <v>302</v>
      </c>
      <c r="E196" s="49"/>
      <c r="F196" s="45" t="s">
        <v>336</v>
      </c>
      <c r="G196" s="46"/>
    </row>
    <row r="197" spans="1:7" ht="30.75" thickBot="1" x14ac:dyDescent="0.3">
      <c r="A197" s="122"/>
      <c r="B197" s="52" t="s">
        <v>79</v>
      </c>
      <c r="C197" s="53" t="s">
        <v>80</v>
      </c>
      <c r="D197" s="103" t="s">
        <v>337</v>
      </c>
      <c r="E197" s="61"/>
      <c r="F197" s="103"/>
      <c r="G197" s="56"/>
    </row>
    <row r="198" spans="1:7" ht="45" x14ac:dyDescent="0.25">
      <c r="A198" s="122"/>
      <c r="B198" s="90" t="s">
        <v>94</v>
      </c>
      <c r="C198" s="50" t="s">
        <v>40</v>
      </c>
      <c r="D198" s="45" t="s">
        <v>338</v>
      </c>
      <c r="E198" s="49"/>
      <c r="F198" s="45" t="s">
        <v>339</v>
      </c>
      <c r="G198" s="46"/>
    </row>
    <row r="199" spans="1:7" ht="30.75" thickBot="1" x14ac:dyDescent="0.3">
      <c r="A199" s="122"/>
      <c r="B199" s="52" t="s">
        <v>79</v>
      </c>
      <c r="C199" s="53" t="s">
        <v>80</v>
      </c>
      <c r="D199" s="103" t="s">
        <v>305</v>
      </c>
      <c r="E199" s="61"/>
      <c r="F199" s="103"/>
      <c r="G199" s="56"/>
    </row>
    <row r="200" spans="1:7" ht="45" x14ac:dyDescent="0.25">
      <c r="A200" s="122"/>
      <c r="B200" s="90" t="s">
        <v>93</v>
      </c>
      <c r="C200" s="50" t="s">
        <v>40</v>
      </c>
      <c r="D200" s="45" t="s">
        <v>306</v>
      </c>
      <c r="E200" s="49"/>
      <c r="F200" s="45" t="s">
        <v>340</v>
      </c>
      <c r="G200" s="46"/>
    </row>
    <row r="201" spans="1:7" ht="45.75" thickBot="1" x14ac:dyDescent="0.3">
      <c r="A201" s="122"/>
      <c r="B201" s="52" t="s">
        <v>79</v>
      </c>
      <c r="C201" s="53" t="s">
        <v>80</v>
      </c>
      <c r="D201" s="103" t="s">
        <v>341</v>
      </c>
      <c r="E201" s="61"/>
      <c r="F201" s="103"/>
      <c r="G201" s="56"/>
    </row>
    <row r="202" spans="1:7" ht="75" x14ac:dyDescent="0.25">
      <c r="A202" s="101"/>
      <c r="B202" s="90" t="s">
        <v>92</v>
      </c>
      <c r="C202" s="50" t="s">
        <v>40</v>
      </c>
      <c r="D202" s="45" t="s">
        <v>342</v>
      </c>
      <c r="E202" s="49"/>
      <c r="F202" s="45" t="s">
        <v>343</v>
      </c>
      <c r="G202" s="46"/>
    </row>
    <row r="203" spans="1:7" ht="45" x14ac:dyDescent="0.25">
      <c r="A203" s="101"/>
      <c r="B203" s="90" t="s">
        <v>90</v>
      </c>
      <c r="C203" s="50" t="s">
        <v>40</v>
      </c>
      <c r="D203" s="45" t="s">
        <v>344</v>
      </c>
      <c r="E203" s="49"/>
      <c r="F203" s="45" t="s">
        <v>345</v>
      </c>
      <c r="G203" s="46"/>
    </row>
    <row r="204" spans="1:7" ht="75.75" thickBot="1" x14ac:dyDescent="0.3">
      <c r="A204" s="101"/>
      <c r="B204" s="52" t="s">
        <v>79</v>
      </c>
      <c r="C204" s="53" t="s">
        <v>80</v>
      </c>
      <c r="D204" s="103" t="s">
        <v>346</v>
      </c>
      <c r="E204" s="61"/>
      <c r="F204" s="103"/>
      <c r="G204" s="56"/>
    </row>
    <row r="205" spans="1:7" ht="45" customHeight="1" thickBot="1" x14ac:dyDescent="0.3">
      <c r="A205" s="102" t="str">
        <f>TabellaTest!F20</f>
        <v>TF015.UC01</v>
      </c>
      <c r="B205" s="124" t="str">
        <f>TabellaTest!C20</f>
        <v>PAR. 2.15-048-15</v>
      </c>
      <c r="C205" s="125"/>
      <c r="D205" s="123" t="str">
        <f>TabellaTest!E20</f>
        <v>Verifica Trasferimento e chiusura istruttoria cumulo</v>
      </c>
      <c r="E205" s="116"/>
      <c r="F205" s="123" t="str">
        <f>TabellaTest!G20</f>
        <v>Verifica: Verificare Trasferimento e chiusura istruttoria cumulo</v>
      </c>
      <c r="G205" s="131"/>
    </row>
    <row r="206" spans="1:7" ht="30.75" thickBot="1" x14ac:dyDescent="0.3">
      <c r="A206" s="121"/>
      <c r="B206" s="35" t="s">
        <v>31</v>
      </c>
      <c r="C206" s="32" t="s">
        <v>32</v>
      </c>
      <c r="D206" s="29" t="s">
        <v>33</v>
      </c>
      <c r="E206" s="29" t="s">
        <v>34</v>
      </c>
      <c r="F206" s="29" t="s">
        <v>35</v>
      </c>
      <c r="G206" s="30" t="s">
        <v>10</v>
      </c>
    </row>
    <row r="207" spans="1:7" ht="30" x14ac:dyDescent="0.25">
      <c r="A207" s="126"/>
      <c r="B207" s="54" t="s">
        <v>36</v>
      </c>
      <c r="C207" s="44" t="s">
        <v>37</v>
      </c>
      <c r="D207" s="45" t="s">
        <v>119</v>
      </c>
      <c r="E207" s="45" t="s">
        <v>183</v>
      </c>
      <c r="F207" s="45"/>
      <c r="G207" s="46"/>
    </row>
    <row r="208" spans="1:7" ht="60" customHeight="1" x14ac:dyDescent="0.25">
      <c r="A208" s="126"/>
      <c r="B208" s="54" t="s">
        <v>36</v>
      </c>
      <c r="C208" s="44" t="s">
        <v>38</v>
      </c>
      <c r="D208" s="45" t="s">
        <v>317</v>
      </c>
      <c r="E208" s="45"/>
      <c r="F208" s="60"/>
      <c r="G208" s="46"/>
    </row>
    <row r="209" spans="1:7" ht="30" x14ac:dyDescent="0.25">
      <c r="A209" s="126"/>
      <c r="B209" s="55">
        <v>1</v>
      </c>
      <c r="C209" s="47" t="s">
        <v>39</v>
      </c>
      <c r="D209" s="48" t="s">
        <v>318</v>
      </c>
      <c r="E209" s="49"/>
      <c r="F209" s="45" t="s">
        <v>319</v>
      </c>
      <c r="G209" s="46"/>
    </row>
    <row r="210" spans="1:7" ht="60" x14ac:dyDescent="0.25">
      <c r="A210" s="126"/>
      <c r="B210" s="90" t="s">
        <v>96</v>
      </c>
      <c r="C210" s="50" t="s">
        <v>40</v>
      </c>
      <c r="D210" s="45" t="s">
        <v>320</v>
      </c>
      <c r="E210" s="49"/>
      <c r="F210" s="45" t="s">
        <v>321</v>
      </c>
      <c r="G210" s="46"/>
    </row>
    <row r="211" spans="1:7" ht="45.75" thickBot="1" x14ac:dyDescent="0.3">
      <c r="A211" s="126"/>
      <c r="B211" s="52" t="s">
        <v>79</v>
      </c>
      <c r="C211" s="53" t="s">
        <v>80</v>
      </c>
      <c r="D211" s="103" t="s">
        <v>322</v>
      </c>
      <c r="E211" s="61"/>
      <c r="F211" s="103"/>
      <c r="G211" s="56"/>
    </row>
    <row r="212" spans="1:7" ht="45" x14ac:dyDescent="0.25">
      <c r="A212" s="126"/>
      <c r="B212" s="90" t="s">
        <v>95</v>
      </c>
      <c r="C212" s="50" t="s">
        <v>40</v>
      </c>
      <c r="D212" s="45" t="s">
        <v>323</v>
      </c>
      <c r="E212" s="49"/>
      <c r="F212" s="45" t="s">
        <v>324</v>
      </c>
      <c r="G212" s="46"/>
    </row>
    <row r="213" spans="1:7" ht="30" x14ac:dyDescent="0.25">
      <c r="A213" s="126"/>
      <c r="B213" s="90" t="s">
        <v>94</v>
      </c>
      <c r="C213" s="50" t="s">
        <v>40</v>
      </c>
      <c r="D213" s="45" t="s">
        <v>325</v>
      </c>
      <c r="E213" s="49"/>
      <c r="F213" s="45" t="s">
        <v>326</v>
      </c>
      <c r="G213" s="46"/>
    </row>
    <row r="214" spans="1:7" ht="75.75" thickBot="1" x14ac:dyDescent="0.3">
      <c r="A214" s="126"/>
      <c r="B214" s="52" t="s">
        <v>79</v>
      </c>
      <c r="C214" s="53" t="s">
        <v>80</v>
      </c>
      <c r="D214" s="103" t="s">
        <v>327</v>
      </c>
      <c r="E214" s="61"/>
      <c r="F214" s="103"/>
      <c r="G214" s="56"/>
    </row>
    <row r="215" spans="1:7" ht="45" x14ac:dyDescent="0.25">
      <c r="A215" s="126"/>
      <c r="B215" s="90" t="s">
        <v>93</v>
      </c>
      <c r="C215" s="50" t="s">
        <v>40</v>
      </c>
      <c r="D215" s="45" t="s">
        <v>328</v>
      </c>
      <c r="E215" s="49"/>
      <c r="F215" s="45" t="s">
        <v>329</v>
      </c>
      <c r="G215" s="46"/>
    </row>
    <row r="216" spans="1:7" ht="45.75" thickBot="1" x14ac:dyDescent="0.3">
      <c r="A216" s="126"/>
      <c r="B216" s="52" t="s">
        <v>79</v>
      </c>
      <c r="C216" s="53" t="s">
        <v>80</v>
      </c>
      <c r="D216" s="103" t="s">
        <v>330</v>
      </c>
      <c r="E216" s="61"/>
      <c r="F216" s="103"/>
      <c r="G216" s="56"/>
    </row>
    <row r="217" spans="1:7" ht="45.75" thickBot="1" x14ac:dyDescent="0.3">
      <c r="A217" s="126"/>
      <c r="B217" s="54" t="s">
        <v>36</v>
      </c>
      <c r="C217" s="44" t="s">
        <v>38</v>
      </c>
      <c r="D217" s="45" t="s">
        <v>331</v>
      </c>
      <c r="E217" s="45"/>
      <c r="F217" s="60"/>
      <c r="G217" s="46"/>
    </row>
    <row r="218" spans="1:7" ht="60.75" thickBot="1" x14ac:dyDescent="0.3">
      <c r="A218" s="126"/>
      <c r="B218" s="52" t="s">
        <v>79</v>
      </c>
      <c r="C218" s="53" t="s">
        <v>80</v>
      </c>
      <c r="D218" s="103" t="s">
        <v>332</v>
      </c>
      <c r="E218" s="61"/>
      <c r="F218" s="103"/>
      <c r="G218" s="56"/>
    </row>
    <row r="219" spans="1:7" ht="45.75" thickBot="1" x14ac:dyDescent="0.3">
      <c r="A219" s="126"/>
      <c r="B219" s="52" t="s">
        <v>79</v>
      </c>
      <c r="C219" s="53" t="s">
        <v>80</v>
      </c>
      <c r="D219" s="103" t="s">
        <v>333</v>
      </c>
      <c r="E219" s="61"/>
      <c r="F219" s="103"/>
      <c r="G219" s="56"/>
    </row>
    <row r="220" spans="1:7" ht="30" customHeight="1" thickBot="1" x14ac:dyDescent="0.3">
      <c r="A220" s="102" t="str">
        <f>TabellaTest!F21</f>
        <v>TF016.UC01</v>
      </c>
      <c r="B220" s="115" t="str">
        <f>TabellaTest!C21</f>
        <v>PAR. 2.16-048-16</v>
      </c>
      <c r="C220" s="116"/>
      <c r="D220" s="117" t="str">
        <f>TabellaTest!E21</f>
        <v>Verifica Avviso Cartabia nei provvedimenti di cumulo</v>
      </c>
      <c r="E220" s="118"/>
      <c r="F220" s="117" t="str">
        <f>TabellaTest!G21</f>
        <v>Verifica: Verificare la presenza dell'Avviso Cartabia in tutti i provvedimenti di cumulo</v>
      </c>
      <c r="G220" s="119"/>
    </row>
    <row r="221" spans="1:7" ht="30.75" thickBot="1" x14ac:dyDescent="0.3">
      <c r="A221" s="146"/>
      <c r="B221" s="35" t="s">
        <v>31</v>
      </c>
      <c r="C221" s="32" t="s">
        <v>32</v>
      </c>
      <c r="D221" s="29" t="s">
        <v>33</v>
      </c>
      <c r="E221" s="29" t="s">
        <v>34</v>
      </c>
      <c r="F221" s="29" t="s">
        <v>35</v>
      </c>
      <c r="G221" s="30" t="s">
        <v>10</v>
      </c>
    </row>
    <row r="222" spans="1:7" ht="45" x14ac:dyDescent="0.25">
      <c r="A222" s="147"/>
      <c r="B222" s="54" t="s">
        <v>36</v>
      </c>
      <c r="C222" s="44" t="s">
        <v>37</v>
      </c>
      <c r="D222" s="45" t="s">
        <v>350</v>
      </c>
      <c r="E222" s="45" t="s">
        <v>183</v>
      </c>
      <c r="F222" s="45"/>
      <c r="G222" s="46"/>
    </row>
    <row r="223" spans="1:7" ht="75" x14ac:dyDescent="0.25">
      <c r="A223" s="147"/>
      <c r="B223" s="54" t="s">
        <v>36</v>
      </c>
      <c r="C223" s="44" t="s">
        <v>37</v>
      </c>
      <c r="D223" s="45" t="s">
        <v>351</v>
      </c>
      <c r="E223" s="45"/>
      <c r="F223" s="45"/>
      <c r="G223" s="46"/>
    </row>
    <row r="224" spans="1:7" ht="30" x14ac:dyDescent="0.25">
      <c r="A224" s="147"/>
      <c r="B224" s="55">
        <v>1</v>
      </c>
      <c r="C224" s="47" t="s">
        <v>39</v>
      </c>
      <c r="D224" s="48" t="s">
        <v>352</v>
      </c>
      <c r="E224" s="49"/>
      <c r="F224" s="45" t="s">
        <v>353</v>
      </c>
      <c r="G224" s="46"/>
    </row>
    <row r="225" spans="1:7" ht="30" x14ac:dyDescent="0.25">
      <c r="A225" s="147"/>
      <c r="B225" s="90" t="s">
        <v>95</v>
      </c>
      <c r="C225" s="50" t="s">
        <v>40</v>
      </c>
      <c r="D225" s="45" t="s">
        <v>354</v>
      </c>
      <c r="E225" s="49"/>
      <c r="F225" s="45" t="s">
        <v>355</v>
      </c>
      <c r="G225" s="46"/>
    </row>
    <row r="226" spans="1:7" ht="45" x14ac:dyDescent="0.25">
      <c r="A226" s="147"/>
      <c r="B226" s="82">
        <v>3</v>
      </c>
      <c r="C226" s="83" t="s">
        <v>40</v>
      </c>
      <c r="D226" s="58" t="s">
        <v>233</v>
      </c>
      <c r="E226" s="84"/>
      <c r="F226" s="45" t="s">
        <v>356</v>
      </c>
      <c r="G226" s="51"/>
    </row>
    <row r="227" spans="1:7" ht="90.75" thickBot="1" x14ac:dyDescent="0.3">
      <c r="A227" s="147"/>
      <c r="B227" s="52" t="s">
        <v>79</v>
      </c>
      <c r="C227" s="53" t="s">
        <v>80</v>
      </c>
      <c r="D227" s="58" t="s">
        <v>357</v>
      </c>
      <c r="E227" s="61"/>
      <c r="F227" s="85"/>
      <c r="G227" s="56"/>
    </row>
    <row r="228" spans="1:7" ht="38.450000000000003" customHeight="1" thickBot="1" x14ac:dyDescent="0.3">
      <c r="A228" s="89" t="str">
        <f>TabellaTest!F22</f>
        <v>TF017.UC01</v>
      </c>
      <c r="B228" s="115" t="str">
        <f>TabellaTest!C22</f>
        <v>PAR. 2.17-048-17</v>
      </c>
      <c r="C228" s="116"/>
      <c r="D228" s="117" t="str">
        <f>TabellaTest!E22</f>
        <v>Verifica Elenco Richieste del PM al GE</v>
      </c>
      <c r="E228" s="118"/>
      <c r="F228" s="117" t="str">
        <f>TabellaTest!G22</f>
        <v>Verifica: Verificare aggiornamento della funzione Elenco Richieste del PM al GE</v>
      </c>
      <c r="G228" s="119"/>
    </row>
    <row r="229" spans="1:7" ht="30.75" thickBot="1" x14ac:dyDescent="0.3">
      <c r="A229" s="122"/>
      <c r="B229" s="92" t="s">
        <v>31</v>
      </c>
      <c r="C229" s="32" t="s">
        <v>32</v>
      </c>
      <c r="D229" s="29" t="s">
        <v>33</v>
      </c>
      <c r="E229" s="29" t="s">
        <v>34</v>
      </c>
      <c r="F229" s="29" t="s">
        <v>35</v>
      </c>
      <c r="G229" s="30" t="s">
        <v>10</v>
      </c>
    </row>
    <row r="230" spans="1:7" ht="45" x14ac:dyDescent="0.25">
      <c r="A230" s="122"/>
      <c r="B230" s="54" t="s">
        <v>36</v>
      </c>
      <c r="C230" s="44" t="s">
        <v>37</v>
      </c>
      <c r="D230" s="45" t="s">
        <v>350</v>
      </c>
      <c r="E230" s="45" t="s">
        <v>183</v>
      </c>
      <c r="F230" s="45"/>
      <c r="G230" s="46"/>
    </row>
    <row r="231" spans="1:7" ht="60" customHeight="1" x14ac:dyDescent="0.25">
      <c r="A231" s="122"/>
      <c r="B231" s="54" t="s">
        <v>36</v>
      </c>
      <c r="C231" s="44" t="s">
        <v>38</v>
      </c>
      <c r="D231" s="45" t="s">
        <v>361</v>
      </c>
      <c r="E231" s="45"/>
      <c r="F231" s="60" t="s">
        <v>362</v>
      </c>
      <c r="G231" s="46"/>
    </row>
    <row r="232" spans="1:7" ht="30" customHeight="1" x14ac:dyDescent="0.25">
      <c r="A232" s="122"/>
      <c r="B232" s="55">
        <v>1</v>
      </c>
      <c r="C232" s="47" t="s">
        <v>39</v>
      </c>
      <c r="D232" s="45" t="s">
        <v>363</v>
      </c>
      <c r="E232" s="49"/>
      <c r="F232" s="45" t="s">
        <v>364</v>
      </c>
      <c r="G232" s="46"/>
    </row>
    <row r="233" spans="1:7" ht="30" x14ac:dyDescent="0.25">
      <c r="A233" s="122"/>
      <c r="B233" s="57">
        <v>2</v>
      </c>
      <c r="C233" s="50" t="s">
        <v>40</v>
      </c>
      <c r="D233" s="45" t="s">
        <v>365</v>
      </c>
      <c r="E233" s="49"/>
      <c r="F233" s="45" t="s">
        <v>366</v>
      </c>
      <c r="G233" s="46"/>
    </row>
    <row r="234" spans="1:7" ht="60.75" thickBot="1" x14ac:dyDescent="0.3">
      <c r="A234" s="122"/>
      <c r="B234" s="52" t="s">
        <v>79</v>
      </c>
      <c r="C234" s="53" t="s">
        <v>80</v>
      </c>
      <c r="D234" s="58" t="s">
        <v>367</v>
      </c>
      <c r="E234" s="61"/>
      <c r="F234" s="85"/>
      <c r="G234" s="56"/>
    </row>
    <row r="235" spans="1:7" ht="30" customHeight="1" thickBot="1" x14ac:dyDescent="0.3">
      <c r="A235" s="89" t="str">
        <f>TabellaTest!F23</f>
        <v>TF017.UC02</v>
      </c>
      <c r="B235" s="115" t="str">
        <f>TabellaTest!C23</f>
        <v>PAR. 2.17-048-17</v>
      </c>
      <c r="C235" s="116"/>
      <c r="D235" s="117" t="str">
        <f>TabellaTest!E23</f>
        <v>Verifica Dettaglio Richiesta del PM inviata</v>
      </c>
      <c r="E235" s="118"/>
      <c r="F235" s="117" t="str">
        <f>TabellaTest!G23</f>
        <v>Verifica: Verificare aggiornamento della funzione Elenco Dettaglio Richiesta del PM inviata</v>
      </c>
      <c r="G235" s="119"/>
    </row>
    <row r="236" spans="1:7" ht="30" x14ac:dyDescent="0.25">
      <c r="A236" s="122"/>
      <c r="B236" s="92" t="s">
        <v>31</v>
      </c>
      <c r="C236" s="32" t="s">
        <v>32</v>
      </c>
      <c r="D236" s="29" t="s">
        <v>33</v>
      </c>
      <c r="E236" s="29" t="s">
        <v>34</v>
      </c>
      <c r="F236" s="29" t="s">
        <v>35</v>
      </c>
      <c r="G236" s="30" t="s">
        <v>10</v>
      </c>
    </row>
    <row r="237" spans="1:7" ht="45" x14ac:dyDescent="0.25">
      <c r="A237" s="122"/>
      <c r="B237" s="54" t="s">
        <v>36</v>
      </c>
      <c r="C237" s="44" t="s">
        <v>37</v>
      </c>
      <c r="D237" s="45" t="s">
        <v>350</v>
      </c>
      <c r="E237" s="45" t="s">
        <v>183</v>
      </c>
      <c r="F237" s="45"/>
      <c r="G237" s="46"/>
    </row>
    <row r="238" spans="1:7" ht="60" customHeight="1" x14ac:dyDescent="0.25">
      <c r="A238" s="122"/>
      <c r="B238" s="54" t="s">
        <v>36</v>
      </c>
      <c r="C238" s="44" t="s">
        <v>38</v>
      </c>
      <c r="D238" s="45" t="s">
        <v>370</v>
      </c>
      <c r="E238" s="45"/>
      <c r="F238" s="60" t="s">
        <v>362</v>
      </c>
      <c r="G238" s="46"/>
    </row>
    <row r="239" spans="1:7" ht="30" customHeight="1" x14ac:dyDescent="0.25">
      <c r="A239" s="122"/>
      <c r="B239" s="55">
        <v>1</v>
      </c>
      <c r="C239" s="47" t="s">
        <v>39</v>
      </c>
      <c r="D239" s="45" t="s">
        <v>363</v>
      </c>
      <c r="E239" s="49"/>
      <c r="F239" s="45" t="s">
        <v>364</v>
      </c>
      <c r="G239" s="46"/>
    </row>
    <row r="240" spans="1:7" ht="30.75" thickBot="1" x14ac:dyDescent="0.3">
      <c r="A240" s="122"/>
      <c r="B240" s="57">
        <v>2</v>
      </c>
      <c r="C240" s="50" t="s">
        <v>40</v>
      </c>
      <c r="D240" s="45" t="s">
        <v>365</v>
      </c>
      <c r="E240" s="49"/>
      <c r="F240" s="45" t="s">
        <v>366</v>
      </c>
      <c r="G240" s="46"/>
    </row>
    <row r="241" spans="1:7" ht="45" x14ac:dyDescent="0.25">
      <c r="A241" s="122"/>
      <c r="B241" s="57">
        <v>3</v>
      </c>
      <c r="C241" s="50" t="s">
        <v>40</v>
      </c>
      <c r="D241" s="45" t="s">
        <v>371</v>
      </c>
      <c r="E241" s="49"/>
      <c r="F241" s="45" t="s">
        <v>372</v>
      </c>
      <c r="G241" s="46"/>
    </row>
    <row r="242" spans="1:7" ht="45" x14ac:dyDescent="0.25">
      <c r="A242" s="122"/>
      <c r="B242" s="57">
        <v>4</v>
      </c>
      <c r="C242" s="50" t="s">
        <v>40</v>
      </c>
      <c r="D242" s="45" t="s">
        <v>373</v>
      </c>
      <c r="E242" s="49"/>
      <c r="F242" s="45" t="s">
        <v>374</v>
      </c>
      <c r="G242" s="46"/>
    </row>
    <row r="243" spans="1:7" ht="45.75" thickBot="1" x14ac:dyDescent="0.3">
      <c r="A243" s="122"/>
      <c r="B243" s="52" t="s">
        <v>79</v>
      </c>
      <c r="C243" s="53" t="s">
        <v>80</v>
      </c>
      <c r="D243" s="58" t="s">
        <v>375</v>
      </c>
      <c r="E243" s="61"/>
      <c r="F243" s="85"/>
      <c r="G243" s="56"/>
    </row>
    <row r="244" spans="1:7" ht="75" x14ac:dyDescent="0.25">
      <c r="A244" s="122"/>
      <c r="B244" s="57">
        <v>5</v>
      </c>
      <c r="C244" s="50" t="s">
        <v>40</v>
      </c>
      <c r="D244" s="45" t="s">
        <v>376</v>
      </c>
      <c r="E244" s="49"/>
      <c r="F244" s="45" t="s">
        <v>377</v>
      </c>
      <c r="G244" s="46"/>
    </row>
    <row r="245" spans="1:7" ht="30.75" thickBot="1" x14ac:dyDescent="0.3">
      <c r="A245" s="122"/>
      <c r="B245" s="52" t="s">
        <v>79</v>
      </c>
      <c r="C245" s="53" t="s">
        <v>80</v>
      </c>
      <c r="D245" s="58" t="s">
        <v>378</v>
      </c>
      <c r="E245" s="61"/>
      <c r="F245" s="85"/>
      <c r="G245" s="56"/>
    </row>
    <row r="246" spans="1:7" ht="51" customHeight="1" thickBot="1" x14ac:dyDescent="0.3">
      <c r="A246" s="89" t="str">
        <f>TabellaTest!F24</f>
        <v>TF017.UC03</v>
      </c>
      <c r="B246" s="115" t="str">
        <f>TabellaTest!C24</f>
        <v>PAR. 2.17-048-17</v>
      </c>
      <c r="C246" s="116"/>
      <c r="D246" s="117" t="str">
        <f>TabellaTest!E24</f>
        <v>Verifica Presofferto in Pene Rideterminate</v>
      </c>
      <c r="E246" s="118"/>
      <c r="F246" s="117" t="str">
        <f>TabellaTest!G24</f>
        <v>Verifica: Verificare aggiornamento visualizzazione presofferto nella funzione Pene Rideterminate in cumulo</v>
      </c>
      <c r="G246" s="119"/>
    </row>
    <row r="247" spans="1:7" ht="30" x14ac:dyDescent="0.25">
      <c r="A247" s="122"/>
      <c r="B247" s="92" t="s">
        <v>31</v>
      </c>
      <c r="C247" s="32" t="s">
        <v>32</v>
      </c>
      <c r="D247" s="29" t="s">
        <v>33</v>
      </c>
      <c r="E247" s="29" t="s">
        <v>34</v>
      </c>
      <c r="F247" s="29" t="s">
        <v>35</v>
      </c>
      <c r="G247" s="30" t="s">
        <v>10</v>
      </c>
    </row>
    <row r="248" spans="1:7" ht="45" x14ac:dyDescent="0.25">
      <c r="A248" s="122"/>
      <c r="B248" s="54" t="s">
        <v>36</v>
      </c>
      <c r="C248" s="44" t="s">
        <v>37</v>
      </c>
      <c r="D248" s="45" t="s">
        <v>350</v>
      </c>
      <c r="E248" s="45" t="s">
        <v>183</v>
      </c>
      <c r="F248" s="45"/>
      <c r="G248" s="46"/>
    </row>
    <row r="249" spans="1:7" ht="60" customHeight="1" x14ac:dyDescent="0.25">
      <c r="A249" s="122"/>
      <c r="B249" s="54" t="s">
        <v>36</v>
      </c>
      <c r="C249" s="44" t="s">
        <v>38</v>
      </c>
      <c r="D249" s="45" t="s">
        <v>381</v>
      </c>
      <c r="E249" s="45"/>
      <c r="F249" s="60" t="s">
        <v>362</v>
      </c>
      <c r="G249" s="46"/>
    </row>
    <row r="250" spans="1:7" ht="30" customHeight="1" x14ac:dyDescent="0.25">
      <c r="A250" s="122"/>
      <c r="B250" s="55">
        <v>1</v>
      </c>
      <c r="C250" s="47" t="s">
        <v>39</v>
      </c>
      <c r="D250" s="45" t="s">
        <v>227</v>
      </c>
      <c r="E250" s="49"/>
      <c r="F250" s="45" t="s">
        <v>382</v>
      </c>
      <c r="G250" s="46"/>
    </row>
    <row r="251" spans="1:7" ht="45" x14ac:dyDescent="0.25">
      <c r="A251" s="122"/>
      <c r="B251" s="57">
        <v>2</v>
      </c>
      <c r="C251" s="50" t="s">
        <v>40</v>
      </c>
      <c r="D251" s="45" t="s">
        <v>383</v>
      </c>
      <c r="E251" s="49"/>
      <c r="F251" s="45" t="s">
        <v>384</v>
      </c>
      <c r="G251" s="46"/>
    </row>
    <row r="252" spans="1:7" ht="45.75" thickBot="1" x14ac:dyDescent="0.3">
      <c r="A252" s="122"/>
      <c r="B252" s="57">
        <v>3</v>
      </c>
      <c r="C252" s="50" t="s">
        <v>40</v>
      </c>
      <c r="D252" s="45" t="s">
        <v>385</v>
      </c>
      <c r="E252" s="49"/>
      <c r="F252" s="45" t="s">
        <v>386</v>
      </c>
      <c r="G252" s="46"/>
    </row>
    <row r="253" spans="1:7" ht="105.75" thickBot="1" x14ac:dyDescent="0.3">
      <c r="A253" s="122"/>
      <c r="B253" s="52" t="s">
        <v>79</v>
      </c>
      <c r="C253" s="53" t="s">
        <v>80</v>
      </c>
      <c r="D253" s="58" t="s">
        <v>387</v>
      </c>
      <c r="E253" s="61"/>
      <c r="F253" s="85"/>
      <c r="G253" s="56"/>
    </row>
    <row r="254" spans="1:7" ht="49.9" customHeight="1" thickBot="1" x14ac:dyDescent="0.3">
      <c r="A254" s="89" t="str">
        <f>TabellaTest!F25</f>
        <v>TF017.UC04</v>
      </c>
      <c r="B254" s="115" t="str">
        <f>TabellaTest!C25</f>
        <v>PAR. 2.17-048-17</v>
      </c>
      <c r="C254" s="116"/>
      <c r="D254" s="117" t="str">
        <f>TabellaTest!E25</f>
        <v>Verifica inserimento Alert misure sicurezza in Dati Finali Cumulo</v>
      </c>
      <c r="E254" s="118"/>
      <c r="F254" s="117" t="str">
        <f>TabellaTest!G25</f>
        <v>Verifica: Verificare presenza alert in Dati Finali Cumulo su presenza Misure sicurezza con mancata indicazione gestionale da parte operatore</v>
      </c>
      <c r="G254" s="119"/>
    </row>
    <row r="255" spans="1:7" ht="30" x14ac:dyDescent="0.25">
      <c r="A255" s="122"/>
      <c r="B255" s="92" t="s">
        <v>31</v>
      </c>
      <c r="C255" s="32" t="s">
        <v>32</v>
      </c>
      <c r="D255" s="29" t="s">
        <v>33</v>
      </c>
      <c r="E255" s="29" t="s">
        <v>34</v>
      </c>
      <c r="F255" s="29" t="s">
        <v>35</v>
      </c>
      <c r="G255" s="30" t="s">
        <v>10</v>
      </c>
    </row>
    <row r="256" spans="1:7" ht="45" x14ac:dyDescent="0.25">
      <c r="A256" s="122"/>
      <c r="B256" s="54" t="s">
        <v>36</v>
      </c>
      <c r="C256" s="44" t="s">
        <v>37</v>
      </c>
      <c r="D256" s="45" t="s">
        <v>350</v>
      </c>
      <c r="E256" s="45" t="s">
        <v>183</v>
      </c>
      <c r="F256" s="45"/>
      <c r="G256" s="46"/>
    </row>
    <row r="257" spans="1:7" ht="60" customHeight="1" x14ac:dyDescent="0.25">
      <c r="A257" s="122"/>
      <c r="B257" s="54" t="s">
        <v>36</v>
      </c>
      <c r="C257" s="44" t="s">
        <v>38</v>
      </c>
      <c r="D257" s="45" t="s">
        <v>391</v>
      </c>
      <c r="E257" s="45"/>
      <c r="F257" s="60" t="s">
        <v>362</v>
      </c>
      <c r="G257" s="46"/>
    </row>
    <row r="258" spans="1:7" ht="30" customHeight="1" x14ac:dyDescent="0.25">
      <c r="A258" s="122"/>
      <c r="B258" s="55">
        <v>1</v>
      </c>
      <c r="C258" s="47" t="s">
        <v>39</v>
      </c>
      <c r="D258" s="45" t="s">
        <v>227</v>
      </c>
      <c r="E258" s="49"/>
      <c r="F258" s="45" t="s">
        <v>382</v>
      </c>
      <c r="G258" s="46"/>
    </row>
    <row r="259" spans="1:7" ht="60.75" thickBot="1" x14ac:dyDescent="0.3">
      <c r="A259" s="122"/>
      <c r="B259" s="52" t="s">
        <v>79</v>
      </c>
      <c r="C259" s="53" t="s">
        <v>80</v>
      </c>
      <c r="D259" s="58" t="s">
        <v>392</v>
      </c>
      <c r="E259" s="61"/>
      <c r="F259" s="85"/>
      <c r="G259" s="56"/>
    </row>
    <row r="260" spans="1:7" ht="30.75" thickBot="1" x14ac:dyDescent="0.3">
      <c r="A260" s="122"/>
      <c r="B260" s="57">
        <v>2</v>
      </c>
      <c r="C260" s="50" t="s">
        <v>40</v>
      </c>
      <c r="D260" s="45" t="s">
        <v>393</v>
      </c>
      <c r="E260" s="49"/>
      <c r="F260" s="45" t="s">
        <v>394</v>
      </c>
      <c r="G260" s="46"/>
    </row>
    <row r="261" spans="1:7" ht="45" x14ac:dyDescent="0.25">
      <c r="A261" s="122"/>
      <c r="B261" s="57">
        <v>3</v>
      </c>
      <c r="C261" s="50" t="s">
        <v>40</v>
      </c>
      <c r="D261" s="45" t="s">
        <v>395</v>
      </c>
      <c r="E261" s="49"/>
      <c r="F261" s="45" t="s">
        <v>396</v>
      </c>
      <c r="G261" s="46"/>
    </row>
    <row r="262" spans="1:7" ht="60" x14ac:dyDescent="0.25">
      <c r="A262" s="122"/>
      <c r="B262" s="57">
        <v>3</v>
      </c>
      <c r="C262" s="50" t="s">
        <v>40</v>
      </c>
      <c r="D262" s="45" t="s">
        <v>397</v>
      </c>
      <c r="E262" s="49"/>
      <c r="F262" s="45" t="s">
        <v>398</v>
      </c>
      <c r="G262" s="46"/>
    </row>
    <row r="263" spans="1:7" ht="30.75" thickBot="1" x14ac:dyDescent="0.3">
      <c r="A263" s="122"/>
      <c r="B263" s="52" t="s">
        <v>79</v>
      </c>
      <c r="C263" s="53" t="s">
        <v>80</v>
      </c>
      <c r="D263" s="58" t="s">
        <v>399</v>
      </c>
      <c r="E263" s="61"/>
      <c r="F263" s="85"/>
      <c r="G263" s="56"/>
    </row>
    <row r="264" spans="1:7" ht="30" customHeight="1" thickBot="1" x14ac:dyDescent="0.3">
      <c r="A264" s="89" t="str">
        <f>TabellaTest!F26</f>
        <v>TF018.UC01</v>
      </c>
      <c r="B264" s="115" t="str">
        <f>TabellaTest!C26</f>
        <v>PAR. 2.18-048-18</v>
      </c>
      <c r="C264" s="116"/>
      <c r="D264" s="117" t="str">
        <f>TabellaTest!E26</f>
        <v>Verifica Ricerca soggetto da Iscrizione proprio titolo (Cumulo)</v>
      </c>
      <c r="E264" s="118"/>
      <c r="F264" s="117" t="str">
        <f>TabellaTest!G26</f>
        <v>Verifica: Verificare aggiornamento della funzione Ricerca soggetto da Iscrizione proprio titolo (Cumulo)</v>
      </c>
      <c r="G264" s="119"/>
    </row>
    <row r="265" spans="1:7" ht="30" x14ac:dyDescent="0.25">
      <c r="A265" s="122"/>
      <c r="B265" s="92" t="s">
        <v>31</v>
      </c>
      <c r="C265" s="32" t="s">
        <v>32</v>
      </c>
      <c r="D265" s="29" t="s">
        <v>33</v>
      </c>
      <c r="E265" s="29" t="s">
        <v>34</v>
      </c>
      <c r="F265" s="29" t="s">
        <v>35</v>
      </c>
      <c r="G265" s="30" t="s">
        <v>10</v>
      </c>
    </row>
    <row r="266" spans="1:7" ht="30" x14ac:dyDescent="0.25">
      <c r="A266" s="122"/>
      <c r="B266" s="54" t="s">
        <v>36</v>
      </c>
      <c r="C266" s="44" t="s">
        <v>37</v>
      </c>
      <c r="D266" s="45" t="s">
        <v>119</v>
      </c>
      <c r="E266" s="45" t="s">
        <v>183</v>
      </c>
      <c r="F266" s="45"/>
      <c r="G266" s="46"/>
    </row>
    <row r="267" spans="1:7" ht="60" customHeight="1" x14ac:dyDescent="0.25">
      <c r="A267" s="122"/>
      <c r="B267" s="54" t="s">
        <v>36</v>
      </c>
      <c r="C267" s="44" t="s">
        <v>38</v>
      </c>
      <c r="D267" s="45" t="s">
        <v>426</v>
      </c>
      <c r="E267" s="45"/>
      <c r="F267" s="60"/>
      <c r="G267" s="46"/>
    </row>
    <row r="268" spans="1:7" ht="45" x14ac:dyDescent="0.25">
      <c r="A268" s="122"/>
      <c r="B268" s="55">
        <v>1</v>
      </c>
      <c r="C268" s="47" t="s">
        <v>39</v>
      </c>
      <c r="D268" s="48" t="s">
        <v>427</v>
      </c>
      <c r="E268" s="49"/>
      <c r="F268" s="45" t="s">
        <v>429</v>
      </c>
      <c r="G268" s="46"/>
    </row>
    <row r="269" spans="1:7" ht="120.75" thickBot="1" x14ac:dyDescent="0.3">
      <c r="A269" s="122"/>
      <c r="B269" s="52" t="s">
        <v>79</v>
      </c>
      <c r="C269" s="53" t="s">
        <v>80</v>
      </c>
      <c r="D269" s="103" t="s">
        <v>428</v>
      </c>
      <c r="E269" s="61"/>
      <c r="F269" s="103"/>
      <c r="G269" s="56"/>
    </row>
    <row r="270" spans="1:7" ht="45" x14ac:dyDescent="0.25">
      <c r="A270" s="122"/>
      <c r="B270" s="90" t="s">
        <v>96</v>
      </c>
      <c r="C270" s="50" t="s">
        <v>40</v>
      </c>
      <c r="D270" s="45" t="s">
        <v>430</v>
      </c>
      <c r="E270" s="49"/>
      <c r="F270" s="45" t="s">
        <v>431</v>
      </c>
      <c r="G270" s="46"/>
    </row>
    <row r="271" spans="1:7" ht="30.75" thickBot="1" x14ac:dyDescent="0.3">
      <c r="A271" s="122"/>
      <c r="B271" s="52" t="s">
        <v>79</v>
      </c>
      <c r="C271" s="53" t="s">
        <v>80</v>
      </c>
      <c r="D271" s="103" t="s">
        <v>432</v>
      </c>
      <c r="E271" s="61"/>
      <c r="F271" s="103"/>
      <c r="G271" s="56"/>
    </row>
    <row r="272" spans="1:7" ht="30" customHeight="1" thickBot="1" x14ac:dyDescent="0.3">
      <c r="A272" s="89" t="str">
        <f>TabellaTest!F27</f>
        <v>TF019.UC01</v>
      </c>
      <c r="B272" s="115" t="str">
        <f>TabellaTest!C27</f>
        <v>PAR. 2.19-048-19</v>
      </c>
      <c r="C272" s="116"/>
      <c r="D272" s="117" t="str">
        <f>TabellaTest!E27</f>
        <v>Verifica Obbligo valorizzazione Difensore in istruttoria cumulo</v>
      </c>
      <c r="E272" s="118"/>
      <c r="F272" s="117" t="str">
        <f>TabellaTest!G27</f>
        <v>Verifica: Verificare aggiornamento Obbligo valorizzazione Difensore in istruttoria cumulo</v>
      </c>
      <c r="G272" s="119"/>
    </row>
    <row r="273" spans="1:7" ht="30" x14ac:dyDescent="0.25">
      <c r="A273" s="122"/>
      <c r="B273" s="92" t="s">
        <v>31</v>
      </c>
      <c r="C273" s="32" t="s">
        <v>32</v>
      </c>
      <c r="D273" s="29" t="s">
        <v>33</v>
      </c>
      <c r="E273" s="29" t="s">
        <v>34</v>
      </c>
      <c r="F273" s="29" t="s">
        <v>35</v>
      </c>
      <c r="G273" s="30" t="s">
        <v>10</v>
      </c>
    </row>
    <row r="274" spans="1:7" ht="30" x14ac:dyDescent="0.25">
      <c r="A274" s="122"/>
      <c r="B274" s="54" t="s">
        <v>36</v>
      </c>
      <c r="C274" s="44" t="s">
        <v>37</v>
      </c>
      <c r="D274" s="45" t="s">
        <v>119</v>
      </c>
      <c r="E274" s="45" t="s">
        <v>183</v>
      </c>
      <c r="F274" s="45"/>
      <c r="G274" s="46"/>
    </row>
    <row r="275" spans="1:7" ht="60" customHeight="1" x14ac:dyDescent="0.25">
      <c r="A275" s="122"/>
      <c r="B275" s="54" t="s">
        <v>36</v>
      </c>
      <c r="C275" s="44" t="s">
        <v>38</v>
      </c>
      <c r="D275" s="45" t="s">
        <v>437</v>
      </c>
      <c r="E275" s="45"/>
      <c r="F275" s="60"/>
      <c r="G275" s="46"/>
    </row>
    <row r="276" spans="1:7" ht="30" x14ac:dyDescent="0.25">
      <c r="A276" s="122"/>
      <c r="B276" s="55">
        <v>1</v>
      </c>
      <c r="C276" s="47" t="s">
        <v>39</v>
      </c>
      <c r="D276" s="48" t="s">
        <v>438</v>
      </c>
      <c r="E276" s="49"/>
      <c r="F276" s="45" t="s">
        <v>439</v>
      </c>
      <c r="G276" s="46"/>
    </row>
    <row r="277" spans="1:7" x14ac:dyDescent="0.25">
      <c r="A277" s="122"/>
      <c r="B277" s="90" t="s">
        <v>95</v>
      </c>
      <c r="C277" s="50" t="s">
        <v>40</v>
      </c>
      <c r="D277" s="45" t="s">
        <v>441</v>
      </c>
      <c r="E277" s="49"/>
      <c r="F277" s="45" t="s">
        <v>440</v>
      </c>
      <c r="G277" s="46"/>
    </row>
    <row r="278" spans="1:7" ht="45.75" thickBot="1" x14ac:dyDescent="0.3">
      <c r="A278" s="122"/>
      <c r="B278" s="52" t="s">
        <v>79</v>
      </c>
      <c r="C278" s="53" t="s">
        <v>80</v>
      </c>
      <c r="D278" s="103" t="s">
        <v>442</v>
      </c>
      <c r="E278" s="61"/>
      <c r="F278" s="103"/>
      <c r="G278" s="56"/>
    </row>
    <row r="279" spans="1:7" ht="45" x14ac:dyDescent="0.25">
      <c r="A279" s="122"/>
      <c r="B279" s="90" t="s">
        <v>94</v>
      </c>
      <c r="C279" s="50" t="s">
        <v>40</v>
      </c>
      <c r="D279" s="45" t="s">
        <v>443</v>
      </c>
      <c r="E279" s="49"/>
      <c r="F279" s="45" t="s">
        <v>444</v>
      </c>
      <c r="G279" s="46"/>
    </row>
    <row r="280" spans="1:7" x14ac:dyDescent="0.25">
      <c r="A280" s="122"/>
      <c r="B280" s="90" t="s">
        <v>93</v>
      </c>
      <c r="C280" s="50" t="s">
        <v>40</v>
      </c>
      <c r="D280" s="45" t="s">
        <v>445</v>
      </c>
      <c r="E280" s="49"/>
      <c r="F280" s="45" t="s">
        <v>446</v>
      </c>
      <c r="G280" s="46"/>
    </row>
    <row r="281" spans="1:7" ht="30" x14ac:dyDescent="0.25">
      <c r="A281" s="122"/>
      <c r="B281" s="90" t="s">
        <v>92</v>
      </c>
      <c r="C281" s="50" t="s">
        <v>40</v>
      </c>
      <c r="D281" s="45" t="s">
        <v>447</v>
      </c>
      <c r="E281" s="49"/>
      <c r="F281" s="45" t="s">
        <v>228</v>
      </c>
      <c r="G281" s="46"/>
    </row>
    <row r="282" spans="1:7" ht="30.75" thickBot="1" x14ac:dyDescent="0.3">
      <c r="A282" s="122"/>
      <c r="B282" s="52" t="s">
        <v>79</v>
      </c>
      <c r="C282" s="53" t="s">
        <v>80</v>
      </c>
      <c r="D282" s="103" t="s">
        <v>448</v>
      </c>
      <c r="E282" s="61"/>
      <c r="F282" s="103"/>
      <c r="G282" s="56"/>
    </row>
    <row r="283" spans="1:7" ht="30" customHeight="1" thickBot="1" x14ac:dyDescent="0.3">
      <c r="A283" s="89" t="str">
        <f>TabellaTest!F28</f>
        <v>TF020.UC01</v>
      </c>
      <c r="B283" s="115" t="str">
        <f>TabellaTest!C28</f>
        <v>PAR. 3.1-048-20</v>
      </c>
      <c r="C283" s="116"/>
      <c r="D283" s="117" t="str">
        <f>TabellaTest!E28</f>
        <v>Verifica aggiunta nuovo esito Dispone conversione pena irrogata dal Giudice di pace in permanenza domiciliare</v>
      </c>
      <c r="E283" s="118"/>
      <c r="F283" s="117" t="str">
        <f>TabellaTest!G28</f>
        <v>Verifica: Verificare gestione nuovo esito Dispone conversione pena irrogata dal Giudice di pace in permanenza domiciliare</v>
      </c>
      <c r="G283" s="119"/>
    </row>
    <row r="284" spans="1:7" ht="30.75" thickBot="1" x14ac:dyDescent="0.3">
      <c r="A284" s="121"/>
      <c r="B284" s="35" t="s">
        <v>31</v>
      </c>
      <c r="C284" s="32" t="s">
        <v>32</v>
      </c>
      <c r="D284" s="29" t="s">
        <v>33</v>
      </c>
      <c r="E284" s="29" t="s">
        <v>34</v>
      </c>
      <c r="F284" s="29" t="s">
        <v>35</v>
      </c>
      <c r="G284" s="30" t="s">
        <v>10</v>
      </c>
    </row>
    <row r="285" spans="1:7" ht="30" customHeight="1" x14ac:dyDescent="0.25">
      <c r="A285" s="122"/>
      <c r="B285" s="54" t="s">
        <v>36</v>
      </c>
      <c r="C285" s="44" t="s">
        <v>37</v>
      </c>
      <c r="D285" s="45" t="s">
        <v>103</v>
      </c>
      <c r="E285" s="45" t="s">
        <v>85</v>
      </c>
      <c r="F285" s="45"/>
      <c r="G285" s="46"/>
    </row>
    <row r="286" spans="1:7" ht="60" customHeight="1" x14ac:dyDescent="0.25">
      <c r="A286" s="122"/>
      <c r="B286" s="54" t="s">
        <v>36</v>
      </c>
      <c r="C286" s="44" t="s">
        <v>38</v>
      </c>
      <c r="D286" s="45" t="s">
        <v>453</v>
      </c>
      <c r="E286" s="45"/>
      <c r="F286" s="60" t="s">
        <v>104</v>
      </c>
      <c r="G286" s="46"/>
    </row>
    <row r="287" spans="1:7" ht="43.15" customHeight="1" x14ac:dyDescent="0.25">
      <c r="A287" s="122"/>
      <c r="B287" s="55">
        <v>1</v>
      </c>
      <c r="C287" s="47" t="s">
        <v>39</v>
      </c>
      <c r="D287" s="45" t="s">
        <v>454</v>
      </c>
      <c r="E287" s="49"/>
      <c r="F287" s="45" t="s">
        <v>461</v>
      </c>
      <c r="G287" s="46"/>
    </row>
    <row r="288" spans="1:7" ht="30" x14ac:dyDescent="0.25">
      <c r="A288" s="122"/>
      <c r="B288" s="90" t="s">
        <v>95</v>
      </c>
      <c r="C288" s="50" t="s">
        <v>40</v>
      </c>
      <c r="D288" s="45" t="s">
        <v>460</v>
      </c>
      <c r="E288" s="49"/>
      <c r="F288" s="45" t="s">
        <v>100</v>
      </c>
      <c r="G288" s="46"/>
    </row>
    <row r="289" spans="1:7" ht="45" x14ac:dyDescent="0.25">
      <c r="A289" s="122"/>
      <c r="B289" s="90" t="s">
        <v>94</v>
      </c>
      <c r="C289" s="50" t="s">
        <v>40</v>
      </c>
      <c r="D289" s="45" t="s">
        <v>101</v>
      </c>
      <c r="E289" s="49"/>
      <c r="F289" s="45" t="s">
        <v>455</v>
      </c>
      <c r="G289" s="46"/>
    </row>
    <row r="290" spans="1:7" ht="60" x14ac:dyDescent="0.25">
      <c r="A290" s="122"/>
      <c r="B290" s="57">
        <v>4</v>
      </c>
      <c r="C290" s="50" t="s">
        <v>40</v>
      </c>
      <c r="D290" s="45" t="s">
        <v>456</v>
      </c>
      <c r="E290" s="49"/>
      <c r="F290" s="45" t="s">
        <v>457</v>
      </c>
      <c r="G290" s="46"/>
    </row>
    <row r="291" spans="1:7" x14ac:dyDescent="0.25">
      <c r="A291" s="122"/>
      <c r="B291" s="82">
        <v>5</v>
      </c>
      <c r="C291" s="83" t="s">
        <v>40</v>
      </c>
      <c r="D291" s="58" t="s">
        <v>458</v>
      </c>
      <c r="E291" s="84"/>
      <c r="F291" s="45" t="s">
        <v>459</v>
      </c>
      <c r="G291" s="51"/>
    </row>
    <row r="292" spans="1:7" ht="30.75" thickBot="1" x14ac:dyDescent="0.3">
      <c r="A292" s="122"/>
      <c r="B292" s="52" t="s">
        <v>79</v>
      </c>
      <c r="C292" s="53" t="s">
        <v>80</v>
      </c>
      <c r="D292" s="103" t="s">
        <v>91</v>
      </c>
      <c r="E292" s="61"/>
      <c r="F292" s="103"/>
      <c r="G292" s="56"/>
    </row>
    <row r="293" spans="1:7" ht="45" x14ac:dyDescent="0.25">
      <c r="A293" s="122"/>
      <c r="B293" s="54" t="s">
        <v>36</v>
      </c>
      <c r="C293" s="44" t="s">
        <v>38</v>
      </c>
      <c r="D293" s="45" t="s">
        <v>462</v>
      </c>
      <c r="E293" s="45"/>
      <c r="F293" s="60"/>
      <c r="G293" s="46"/>
    </row>
    <row r="294" spans="1:7" ht="45" x14ac:dyDescent="0.25">
      <c r="A294" s="122"/>
      <c r="B294" s="90" t="s">
        <v>90</v>
      </c>
      <c r="C294" s="50" t="s">
        <v>40</v>
      </c>
      <c r="D294" s="45" t="s">
        <v>89</v>
      </c>
      <c r="E294" s="49"/>
      <c r="F294" s="45" t="s">
        <v>88</v>
      </c>
      <c r="G294" s="46"/>
    </row>
    <row r="295" spans="1:7" ht="30.75" thickBot="1" x14ac:dyDescent="0.3">
      <c r="A295" s="122"/>
      <c r="B295" s="52" t="s">
        <v>79</v>
      </c>
      <c r="C295" s="53" t="s">
        <v>80</v>
      </c>
      <c r="D295" s="103" t="s">
        <v>106</v>
      </c>
      <c r="E295" s="61"/>
      <c r="F295" s="103"/>
      <c r="G295" s="56"/>
    </row>
    <row r="296" spans="1:7" ht="30" customHeight="1" thickBot="1" x14ac:dyDescent="0.3">
      <c r="A296" s="89" t="str">
        <f>TabellaTest!F29</f>
        <v>TF021.UC01</v>
      </c>
      <c r="B296" s="115" t="str">
        <f>TabellaTest!C29</f>
        <v>PAR. 3.2-048-21</v>
      </c>
      <c r="C296" s="116"/>
      <c r="D296" s="117" t="str">
        <f>TabellaTest!E29</f>
        <v xml:space="preserve">Verifica Scadenzario monitoraggio misure alternative espiate </v>
      </c>
      <c r="E296" s="118"/>
      <c r="F296" s="117" t="str">
        <f>TabellaTest!G29</f>
        <v>Verifica: Verificare nel sottosistema SIUS l'utilizzo della funzione Scadenzario monitoraggio misure alternative espiate</v>
      </c>
      <c r="G296" s="119"/>
    </row>
    <row r="297" spans="1:7" ht="30" customHeight="1" x14ac:dyDescent="0.25">
      <c r="A297" s="121"/>
      <c r="B297" s="35" t="s">
        <v>31</v>
      </c>
      <c r="C297" s="32" t="s">
        <v>32</v>
      </c>
      <c r="D297" s="29" t="s">
        <v>33</v>
      </c>
      <c r="E297" s="29" t="s">
        <v>34</v>
      </c>
      <c r="F297" s="29" t="s">
        <v>35</v>
      </c>
      <c r="G297" s="30" t="s">
        <v>10</v>
      </c>
    </row>
    <row r="298" spans="1:7" ht="43.9" customHeight="1" x14ac:dyDescent="0.25">
      <c r="A298" s="122"/>
      <c r="B298" s="54" t="s">
        <v>36</v>
      </c>
      <c r="C298" s="44" t="s">
        <v>37</v>
      </c>
      <c r="D298" s="45" t="s">
        <v>103</v>
      </c>
      <c r="E298" s="45" t="s">
        <v>85</v>
      </c>
      <c r="F298" s="49"/>
      <c r="G298" s="46"/>
    </row>
    <row r="299" spans="1:7" ht="43.9" customHeight="1" x14ac:dyDescent="0.25">
      <c r="A299" s="122"/>
      <c r="B299" s="54" t="s">
        <v>36</v>
      </c>
      <c r="C299" s="44" t="s">
        <v>38</v>
      </c>
      <c r="D299" s="45" t="s">
        <v>107</v>
      </c>
      <c r="E299" s="45"/>
      <c r="F299" s="60"/>
      <c r="G299" s="46"/>
    </row>
    <row r="300" spans="1:7" ht="43.9" customHeight="1" x14ac:dyDescent="0.25">
      <c r="A300" s="122"/>
      <c r="B300" s="55">
        <v>1</v>
      </c>
      <c r="C300" s="47" t="s">
        <v>39</v>
      </c>
      <c r="D300" s="209" t="s">
        <v>466</v>
      </c>
      <c r="E300" s="49"/>
      <c r="F300" s="45" t="s">
        <v>467</v>
      </c>
      <c r="G300" s="46"/>
    </row>
    <row r="301" spans="1:7" ht="58.15" customHeight="1" thickBot="1" x14ac:dyDescent="0.3">
      <c r="A301" s="122"/>
      <c r="B301" s="52" t="s">
        <v>79</v>
      </c>
      <c r="C301" s="88" t="s">
        <v>80</v>
      </c>
      <c r="D301" s="87" t="s">
        <v>468</v>
      </c>
      <c r="E301" s="61"/>
      <c r="F301" s="103"/>
      <c r="G301" s="56"/>
    </row>
    <row r="302" spans="1:7" ht="43.9" customHeight="1" x14ac:dyDescent="0.25">
      <c r="A302" s="122"/>
      <c r="B302" s="57">
        <v>2</v>
      </c>
      <c r="C302" s="50" t="s">
        <v>40</v>
      </c>
      <c r="D302" s="45" t="s">
        <v>469</v>
      </c>
      <c r="E302" s="49"/>
      <c r="F302" s="45" t="s">
        <v>470</v>
      </c>
      <c r="G302" s="46"/>
    </row>
    <row r="303" spans="1:7" ht="107.45" customHeight="1" thickBot="1" x14ac:dyDescent="0.3">
      <c r="A303" s="122"/>
      <c r="B303" s="52" t="s">
        <v>79</v>
      </c>
      <c r="C303" s="88" t="s">
        <v>80</v>
      </c>
      <c r="D303" s="87" t="s">
        <v>471</v>
      </c>
      <c r="E303" s="61"/>
      <c r="F303" s="103"/>
      <c r="G303" s="56"/>
    </row>
    <row r="304" spans="1:7" ht="43.9" customHeight="1" x14ac:dyDescent="0.25">
      <c r="A304" s="122"/>
      <c r="B304" s="57">
        <v>3</v>
      </c>
      <c r="C304" s="50" t="s">
        <v>40</v>
      </c>
      <c r="D304" s="45" t="s">
        <v>473</v>
      </c>
      <c r="E304" s="49"/>
      <c r="F304" s="45" t="s">
        <v>472</v>
      </c>
      <c r="G304" s="46"/>
    </row>
    <row r="305" spans="1:7" ht="43.9" customHeight="1" x14ac:dyDescent="0.25">
      <c r="A305" s="122"/>
      <c r="B305" s="57">
        <v>4</v>
      </c>
      <c r="C305" s="50" t="s">
        <v>40</v>
      </c>
      <c r="D305" s="45" t="s">
        <v>474</v>
      </c>
      <c r="E305" s="49"/>
      <c r="F305" s="45" t="s">
        <v>475</v>
      </c>
      <c r="G305" s="46"/>
    </row>
    <row r="306" spans="1:7" ht="43.9" customHeight="1" thickBot="1" x14ac:dyDescent="0.3">
      <c r="A306" s="122"/>
      <c r="B306" s="52" t="s">
        <v>79</v>
      </c>
      <c r="C306" s="88" t="s">
        <v>80</v>
      </c>
      <c r="D306" s="87" t="s">
        <v>476</v>
      </c>
      <c r="E306" s="61"/>
      <c r="F306" s="103"/>
      <c r="G306" s="56"/>
    </row>
    <row r="307" spans="1:7" ht="43.9" customHeight="1" x14ac:dyDescent="0.25">
      <c r="A307" s="122"/>
      <c r="B307" s="54" t="s">
        <v>36</v>
      </c>
      <c r="C307" s="44" t="s">
        <v>38</v>
      </c>
      <c r="D307" s="45" t="s">
        <v>467</v>
      </c>
      <c r="E307" s="45"/>
      <c r="F307" s="60"/>
      <c r="G307" s="46"/>
    </row>
    <row r="308" spans="1:7" ht="43.9" customHeight="1" x14ac:dyDescent="0.25">
      <c r="A308" s="122"/>
      <c r="B308" s="57">
        <v>5</v>
      </c>
      <c r="C308" s="50" t="s">
        <v>40</v>
      </c>
      <c r="D308" s="45" t="s">
        <v>477</v>
      </c>
      <c r="E308" s="49"/>
      <c r="F308" s="45" t="s">
        <v>470</v>
      </c>
      <c r="G308" s="46"/>
    </row>
    <row r="309" spans="1:7" ht="43.9" customHeight="1" thickBot="1" x14ac:dyDescent="0.3">
      <c r="A309" s="122"/>
      <c r="B309" s="52" t="s">
        <v>79</v>
      </c>
      <c r="C309" s="88" t="s">
        <v>80</v>
      </c>
      <c r="D309" s="87" t="s">
        <v>478</v>
      </c>
      <c r="E309" s="61"/>
      <c r="F309" s="103"/>
      <c r="G309" s="56"/>
    </row>
    <row r="310" spans="1:7" ht="30" customHeight="1" thickBot="1" x14ac:dyDescent="0.3">
      <c r="A310" s="89" t="str">
        <f>TabellaTest!F30</f>
        <v>TF022.UC01</v>
      </c>
      <c r="B310" s="115" t="str">
        <f>TabellaTest!C30</f>
        <v>PAR. 3.3-048-22</v>
      </c>
      <c r="C310" s="116"/>
      <c r="D310" s="117" t="str">
        <f>TabellaTest!E30</f>
        <v>Verifica Gestione Permessi</v>
      </c>
      <c r="E310" s="118"/>
      <c r="F310" s="117" t="str">
        <f>TabellaTest!G30</f>
        <v>Verifica: Verificare nel sottosistema SIUS modifiche alla funzione Emissione decreto permesso</v>
      </c>
      <c r="G310" s="119"/>
    </row>
    <row r="311" spans="1:7" ht="30" customHeight="1" x14ac:dyDescent="0.25">
      <c r="A311" s="121"/>
      <c r="B311" s="35" t="s">
        <v>31</v>
      </c>
      <c r="C311" s="32" t="s">
        <v>32</v>
      </c>
      <c r="D311" s="29" t="s">
        <v>33</v>
      </c>
      <c r="E311" s="29" t="s">
        <v>34</v>
      </c>
      <c r="F311" s="29" t="s">
        <v>35</v>
      </c>
      <c r="G311" s="30" t="s">
        <v>10</v>
      </c>
    </row>
    <row r="312" spans="1:7" ht="30" customHeight="1" x14ac:dyDescent="0.25">
      <c r="A312" s="122"/>
      <c r="B312" s="54" t="s">
        <v>36</v>
      </c>
      <c r="C312" s="44" t="s">
        <v>37</v>
      </c>
      <c r="D312" s="45" t="s">
        <v>103</v>
      </c>
      <c r="E312" s="45" t="s">
        <v>85</v>
      </c>
      <c r="F312" s="45"/>
      <c r="G312" s="46"/>
    </row>
    <row r="313" spans="1:7" ht="60" customHeight="1" x14ac:dyDescent="0.25">
      <c r="A313" s="122"/>
      <c r="B313" s="54" t="s">
        <v>36</v>
      </c>
      <c r="C313" s="44" t="s">
        <v>38</v>
      </c>
      <c r="D313" s="45" t="s">
        <v>481</v>
      </c>
      <c r="E313" s="45"/>
      <c r="F313" s="60" t="s">
        <v>104</v>
      </c>
      <c r="G313" s="46"/>
    </row>
    <row r="314" spans="1:7" ht="43.15" customHeight="1" x14ac:dyDescent="0.25">
      <c r="A314" s="122"/>
      <c r="B314" s="55">
        <v>1</v>
      </c>
      <c r="C314" s="47" t="s">
        <v>39</v>
      </c>
      <c r="D314" s="45" t="s">
        <v>482</v>
      </c>
      <c r="E314" s="49"/>
      <c r="F314" s="45" t="s">
        <v>483</v>
      </c>
      <c r="G314" s="46"/>
    </row>
    <row r="315" spans="1:7" ht="30" x14ac:dyDescent="0.25">
      <c r="A315" s="122"/>
      <c r="B315" s="90" t="s">
        <v>95</v>
      </c>
      <c r="C315" s="50" t="s">
        <v>40</v>
      </c>
      <c r="D315" s="45" t="s">
        <v>460</v>
      </c>
      <c r="E315" s="49"/>
      <c r="F315" s="45" t="s">
        <v>102</v>
      </c>
      <c r="G315" s="46"/>
    </row>
    <row r="316" spans="1:7" ht="30" x14ac:dyDescent="0.25">
      <c r="A316" s="122"/>
      <c r="B316" s="90" t="s">
        <v>94</v>
      </c>
      <c r="C316" s="50" t="s">
        <v>40</v>
      </c>
      <c r="D316" s="45" t="s">
        <v>101</v>
      </c>
      <c r="E316" s="49"/>
      <c r="F316" s="45" t="s">
        <v>484</v>
      </c>
      <c r="G316" s="46"/>
    </row>
    <row r="317" spans="1:7" ht="45.75" thickBot="1" x14ac:dyDescent="0.3">
      <c r="A317" s="122"/>
      <c r="B317" s="52" t="s">
        <v>79</v>
      </c>
      <c r="C317" s="53" t="s">
        <v>80</v>
      </c>
      <c r="D317" s="103" t="s">
        <v>485</v>
      </c>
      <c r="E317" s="61"/>
      <c r="F317" s="103"/>
      <c r="G317" s="56"/>
    </row>
    <row r="318" spans="1:7" ht="45" x14ac:dyDescent="0.25">
      <c r="A318" s="122"/>
      <c r="B318" s="57">
        <v>4</v>
      </c>
      <c r="C318" s="50" t="s">
        <v>40</v>
      </c>
      <c r="D318" s="45" t="s">
        <v>486</v>
      </c>
      <c r="E318" s="49"/>
      <c r="F318" s="45" t="s">
        <v>487</v>
      </c>
      <c r="G318" s="46"/>
    </row>
    <row r="319" spans="1:7" ht="30.75" thickBot="1" x14ac:dyDescent="0.3">
      <c r="A319" s="122"/>
      <c r="B319" s="52" t="s">
        <v>79</v>
      </c>
      <c r="C319" s="53" t="s">
        <v>80</v>
      </c>
      <c r="D319" s="103" t="s">
        <v>91</v>
      </c>
      <c r="E319" s="61"/>
      <c r="F319" s="103"/>
      <c r="G319" s="56"/>
    </row>
    <row r="320" spans="1:7" ht="30" customHeight="1" thickBot="1" x14ac:dyDescent="0.3">
      <c r="A320" s="89" t="str">
        <f>TabellaTest!F31</f>
        <v>TF022.UC02</v>
      </c>
      <c r="B320" s="115" t="str">
        <f>TabellaTest!C31</f>
        <v>PAR. 3.3-048-22</v>
      </c>
      <c r="C320" s="116"/>
      <c r="D320" s="144" t="str">
        <f>TabellaTest!E31</f>
        <v>Verifica Gestione Permessi</v>
      </c>
      <c r="E320" s="145"/>
      <c r="F320" s="117" t="str">
        <f>TabellaTest!G31</f>
        <v>Verifica: Verificare nel sottosistema SIUS modifiche alla funzione Relazione Trimestrale</v>
      </c>
      <c r="G320" s="119"/>
    </row>
    <row r="321" spans="1:7" ht="30" x14ac:dyDescent="0.25">
      <c r="A321" s="121"/>
      <c r="B321" s="35" t="s">
        <v>31</v>
      </c>
      <c r="C321" s="32" t="s">
        <v>32</v>
      </c>
      <c r="D321" s="91" t="s">
        <v>33</v>
      </c>
      <c r="E321" s="91" t="s">
        <v>34</v>
      </c>
      <c r="F321" s="29" t="s">
        <v>35</v>
      </c>
      <c r="G321" s="30" t="s">
        <v>10</v>
      </c>
    </row>
    <row r="322" spans="1:7" ht="30" customHeight="1" x14ac:dyDescent="0.25">
      <c r="A322" s="122"/>
      <c r="B322" s="54" t="s">
        <v>36</v>
      </c>
      <c r="C322" s="44" t="s">
        <v>37</v>
      </c>
      <c r="D322" s="45" t="s">
        <v>103</v>
      </c>
      <c r="E322" s="45" t="s">
        <v>85</v>
      </c>
      <c r="F322" s="45"/>
      <c r="G322" s="46"/>
    </row>
    <row r="323" spans="1:7" ht="60" customHeight="1" x14ac:dyDescent="0.25">
      <c r="A323" s="122"/>
      <c r="B323" s="54" t="s">
        <v>36</v>
      </c>
      <c r="C323" s="44" t="s">
        <v>38</v>
      </c>
      <c r="D323" s="45" t="s">
        <v>490</v>
      </c>
      <c r="E323" s="45"/>
      <c r="F323" s="60" t="s">
        <v>104</v>
      </c>
      <c r="G323" s="46"/>
    </row>
    <row r="324" spans="1:7" ht="43.15" customHeight="1" x14ac:dyDescent="0.25">
      <c r="A324" s="122"/>
      <c r="B324" s="55">
        <v>1</v>
      </c>
      <c r="C324" s="47" t="s">
        <v>39</v>
      </c>
      <c r="D324" s="45" t="s">
        <v>491</v>
      </c>
      <c r="E324" s="49"/>
      <c r="F324" s="45" t="s">
        <v>108</v>
      </c>
      <c r="G324" s="46"/>
    </row>
    <row r="325" spans="1:7" ht="45" x14ac:dyDescent="0.25">
      <c r="A325" s="122"/>
      <c r="B325" s="90" t="s">
        <v>95</v>
      </c>
      <c r="C325" s="50" t="s">
        <v>40</v>
      </c>
      <c r="D325" s="45" t="s">
        <v>494</v>
      </c>
      <c r="E325" s="49"/>
      <c r="F325" s="45" t="s">
        <v>492</v>
      </c>
      <c r="G325" s="46"/>
    </row>
    <row r="326" spans="1:7" ht="105.75" thickBot="1" x14ac:dyDescent="0.3">
      <c r="A326" s="122"/>
      <c r="B326" s="52" t="s">
        <v>79</v>
      </c>
      <c r="C326" s="53" t="s">
        <v>80</v>
      </c>
      <c r="D326" s="103" t="s">
        <v>493</v>
      </c>
      <c r="E326" s="61"/>
      <c r="F326" s="103"/>
      <c r="G326" s="56"/>
    </row>
    <row r="327" spans="1:7" ht="45.75" thickBot="1" x14ac:dyDescent="0.3">
      <c r="A327" s="122"/>
      <c r="B327" s="90" t="s">
        <v>94</v>
      </c>
      <c r="C327" s="50" t="s">
        <v>40</v>
      </c>
      <c r="D327" s="45" t="s">
        <v>495</v>
      </c>
      <c r="E327" s="49"/>
      <c r="F327" s="45" t="s">
        <v>496</v>
      </c>
      <c r="G327" s="46"/>
    </row>
    <row r="328" spans="1:7" ht="45.75" thickBot="1" x14ac:dyDescent="0.3">
      <c r="A328" s="122"/>
      <c r="B328" s="52" t="s">
        <v>79</v>
      </c>
      <c r="C328" s="53" t="s">
        <v>80</v>
      </c>
      <c r="D328" s="103" t="s">
        <v>497</v>
      </c>
      <c r="E328" s="61"/>
      <c r="F328" s="103"/>
      <c r="G328" s="56"/>
    </row>
    <row r="329" spans="1:7" ht="30" customHeight="1" thickBot="1" x14ac:dyDescent="0.3">
      <c r="A329" s="130"/>
      <c r="B329" s="52" t="s">
        <v>79</v>
      </c>
      <c r="C329" s="53" t="s">
        <v>80</v>
      </c>
      <c r="D329" s="103" t="s">
        <v>97</v>
      </c>
      <c r="E329" s="61"/>
      <c r="F329" s="103"/>
      <c r="G329" s="56"/>
    </row>
    <row r="330" spans="1:7" ht="30" customHeight="1" thickBot="1" x14ac:dyDescent="0.3">
      <c r="A330" s="89" t="str">
        <f>TabellaTest!F32</f>
        <v>TF023.UC01</v>
      </c>
      <c r="B330" s="115">
        <v>1</v>
      </c>
      <c r="C330" s="116"/>
      <c r="D330" s="144" t="str">
        <f>TabellaTest!E32</f>
        <v>Verifica aggiunta nuovo oggetto per contenuto Sospensione Esecuzione Pene Sostitutive</v>
      </c>
      <c r="E330" s="145"/>
      <c r="F330" s="117" t="str">
        <f>TabellaTest!G32</f>
        <v>Verifica: Verificare nel sottosistema SIUS aggiunta nuovo oggetto per contenuto Sospensione Esecuzione Pene Sostitutive</v>
      </c>
      <c r="G330" s="119"/>
    </row>
    <row r="331" spans="1:7" ht="30.75" thickBot="1" x14ac:dyDescent="0.3">
      <c r="A331" s="121"/>
      <c r="B331" s="35" t="s">
        <v>31</v>
      </c>
      <c r="C331" s="32" t="s">
        <v>32</v>
      </c>
      <c r="D331" s="91" t="s">
        <v>33</v>
      </c>
      <c r="E331" s="91" t="s">
        <v>34</v>
      </c>
      <c r="F331" s="29" t="s">
        <v>35</v>
      </c>
      <c r="G331" s="30" t="s">
        <v>10</v>
      </c>
    </row>
    <row r="332" spans="1:7" ht="30" customHeight="1" x14ac:dyDescent="0.25">
      <c r="A332" s="122"/>
      <c r="B332" s="54" t="s">
        <v>36</v>
      </c>
      <c r="C332" s="44" t="s">
        <v>37</v>
      </c>
      <c r="D332" s="45" t="s">
        <v>103</v>
      </c>
      <c r="E332" s="45" t="s">
        <v>85</v>
      </c>
      <c r="F332" s="45"/>
      <c r="G332" s="46"/>
    </row>
    <row r="333" spans="1:7" ht="60" customHeight="1" x14ac:dyDescent="0.25">
      <c r="A333" s="122"/>
      <c r="B333" s="54" t="s">
        <v>36</v>
      </c>
      <c r="C333" s="44" t="s">
        <v>38</v>
      </c>
      <c r="D333" s="45" t="s">
        <v>501</v>
      </c>
      <c r="E333" s="45"/>
      <c r="F333" s="60" t="s">
        <v>104</v>
      </c>
      <c r="G333" s="46"/>
    </row>
    <row r="334" spans="1:7" x14ac:dyDescent="0.25">
      <c r="A334" s="122"/>
      <c r="B334" s="57">
        <v>2</v>
      </c>
      <c r="C334" s="50" t="s">
        <v>40</v>
      </c>
      <c r="D334" s="45" t="s">
        <v>502</v>
      </c>
      <c r="E334" s="49"/>
      <c r="F334" s="45" t="s">
        <v>503</v>
      </c>
      <c r="G334" s="46"/>
    </row>
    <row r="335" spans="1:7" ht="30" x14ac:dyDescent="0.25">
      <c r="A335" s="122"/>
      <c r="B335" s="82">
        <v>3</v>
      </c>
      <c r="C335" s="83" t="s">
        <v>40</v>
      </c>
      <c r="D335" s="58" t="s">
        <v>504</v>
      </c>
      <c r="E335" s="84"/>
      <c r="F335" s="45" t="s">
        <v>505</v>
      </c>
      <c r="G335" s="51"/>
    </row>
    <row r="336" spans="1:7" ht="45" x14ac:dyDescent="0.25">
      <c r="A336" s="122"/>
      <c r="B336" s="52" t="s">
        <v>79</v>
      </c>
      <c r="C336" s="53" t="s">
        <v>80</v>
      </c>
      <c r="D336" s="58" t="s">
        <v>506</v>
      </c>
      <c r="E336" s="61"/>
      <c r="F336" s="85"/>
      <c r="G336" s="56"/>
    </row>
    <row r="337" spans="1:208" ht="30" customHeight="1" thickBot="1" x14ac:dyDescent="0.3">
      <c r="A337" s="89" t="str">
        <f>TabellaTest!F33</f>
        <v>TF024.UC01</v>
      </c>
      <c r="B337" s="115" t="str">
        <f>TabellaTest!C33</f>
        <v>PAR. 3.5-048-24</v>
      </c>
      <c r="C337" s="125"/>
      <c r="D337" s="123" t="str">
        <f>TabellaTest!E33</f>
        <v>Elenco procedimenti assegnati al magistrato</v>
      </c>
      <c r="E337" s="116"/>
      <c r="F337" s="123" t="str">
        <f>TabellaTest!G33</f>
        <v>Verifica: Verificare che nel sottosistema SIUS l'utilizzo della funzione Elenco procedimenti assegnati al magistrato</v>
      </c>
      <c r="G337" s="131"/>
    </row>
    <row r="338" spans="1:208" ht="30.75" thickBot="1" x14ac:dyDescent="0.3">
      <c r="A338" s="127"/>
      <c r="B338" s="35" t="s">
        <v>31</v>
      </c>
      <c r="C338" s="32" t="s">
        <v>32</v>
      </c>
      <c r="D338" s="91" t="s">
        <v>33</v>
      </c>
      <c r="E338" s="91" t="s">
        <v>34</v>
      </c>
      <c r="F338" s="29" t="s">
        <v>35</v>
      </c>
      <c r="G338" s="30" t="s">
        <v>10</v>
      </c>
    </row>
    <row r="339" spans="1:208" ht="30" x14ac:dyDescent="0.25">
      <c r="A339" s="126"/>
      <c r="B339" s="54" t="s">
        <v>36</v>
      </c>
      <c r="C339" s="44" t="s">
        <v>37</v>
      </c>
      <c r="D339" s="45" t="s">
        <v>509</v>
      </c>
      <c r="E339" s="45" t="s">
        <v>85</v>
      </c>
      <c r="F339" s="45"/>
      <c r="G339" s="46"/>
    </row>
    <row r="340" spans="1:208" ht="45" customHeight="1" x14ac:dyDescent="0.25">
      <c r="A340" s="126"/>
      <c r="B340" s="54" t="s">
        <v>36</v>
      </c>
      <c r="C340" s="44" t="s">
        <v>38</v>
      </c>
      <c r="D340" s="45" t="s">
        <v>510</v>
      </c>
      <c r="E340" s="45"/>
      <c r="F340" s="60"/>
      <c r="G340" s="46"/>
    </row>
    <row r="341" spans="1:208" ht="45" customHeight="1" x14ac:dyDescent="0.25">
      <c r="A341" s="126"/>
      <c r="B341" s="55">
        <v>1</v>
      </c>
      <c r="C341" s="47" t="s">
        <v>39</v>
      </c>
      <c r="D341" s="48" t="s">
        <v>511</v>
      </c>
      <c r="E341" s="49"/>
      <c r="F341" s="45" t="s">
        <v>513</v>
      </c>
      <c r="G341" s="46"/>
    </row>
    <row r="342" spans="1:208" ht="30" x14ac:dyDescent="0.25">
      <c r="A342" s="126"/>
      <c r="B342" s="57">
        <v>2</v>
      </c>
      <c r="C342" s="50" t="s">
        <v>40</v>
      </c>
      <c r="D342" s="45" t="s">
        <v>162</v>
      </c>
      <c r="E342" s="49"/>
      <c r="F342" s="45" t="s">
        <v>514</v>
      </c>
      <c r="G342" s="46"/>
      <c r="GZ342" s="100" t="s">
        <v>99</v>
      </c>
    </row>
    <row r="343" spans="1:208" ht="75" x14ac:dyDescent="0.25">
      <c r="A343" s="126"/>
      <c r="B343" s="64" t="s">
        <v>79</v>
      </c>
      <c r="C343" s="63" t="s">
        <v>80</v>
      </c>
      <c r="D343" s="58" t="s">
        <v>164</v>
      </c>
      <c r="E343" s="62"/>
      <c r="F343" s="58"/>
      <c r="G343" s="51"/>
    </row>
    <row r="344" spans="1:208" ht="45" customHeight="1" x14ac:dyDescent="0.25">
      <c r="A344" s="126"/>
      <c r="B344" s="54" t="s">
        <v>36</v>
      </c>
      <c r="C344" s="44" t="s">
        <v>38</v>
      </c>
      <c r="D344" s="45" t="s">
        <v>514</v>
      </c>
      <c r="E344" s="45"/>
      <c r="F344" s="60"/>
      <c r="G344" s="46"/>
    </row>
    <row r="345" spans="1:208" ht="45" x14ac:dyDescent="0.25">
      <c r="A345" s="126"/>
      <c r="B345" s="57">
        <v>3</v>
      </c>
      <c r="C345" s="50" t="s">
        <v>40</v>
      </c>
      <c r="D345" s="45" t="s">
        <v>165</v>
      </c>
      <c r="E345" s="49"/>
      <c r="F345" s="45" t="s">
        <v>515</v>
      </c>
      <c r="G345" s="46"/>
      <c r="GZ345" s="100" t="s">
        <v>99</v>
      </c>
    </row>
    <row r="346" spans="1:208" ht="45.75" thickBot="1" x14ac:dyDescent="0.3">
      <c r="A346" s="126"/>
      <c r="B346" s="64" t="s">
        <v>79</v>
      </c>
      <c r="C346" s="63" t="s">
        <v>80</v>
      </c>
      <c r="D346" s="58" t="s">
        <v>167</v>
      </c>
      <c r="E346" s="62"/>
      <c r="F346" s="58"/>
      <c r="G346" s="51"/>
    </row>
    <row r="347" spans="1:208" ht="60" customHeight="1" thickBot="1" x14ac:dyDescent="0.3">
      <c r="A347" s="89" t="str">
        <f>TabellaTest!F34</f>
        <v>TF025.UC01</v>
      </c>
      <c r="B347" s="115" t="str">
        <f>TabellaTest!C34</f>
        <v>PAR. 3.6-048-25</v>
      </c>
      <c r="C347" s="125"/>
      <c r="D347" s="123" t="str">
        <f>TabellaTest!E34</f>
        <v>Reimpostazione dati utente e password NSC in Richiesta Certificato penale</v>
      </c>
      <c r="E347" s="116"/>
      <c r="F347" s="123" t="str">
        <f>TabellaTest!G34</f>
        <v>Verifica: Verificare nel sottosistema SIUS l'utilizzo della funzione "Richiesta Certificato penale"</v>
      </c>
      <c r="G347" s="131"/>
    </row>
    <row r="348" spans="1:208" ht="30" x14ac:dyDescent="0.25">
      <c r="A348" s="127"/>
      <c r="B348" s="35" t="s">
        <v>31</v>
      </c>
      <c r="C348" s="32" t="s">
        <v>32</v>
      </c>
      <c r="D348" s="91" t="s">
        <v>33</v>
      </c>
      <c r="E348" s="91" t="s">
        <v>34</v>
      </c>
      <c r="F348" s="29" t="s">
        <v>35</v>
      </c>
      <c r="G348" s="30" t="s">
        <v>10</v>
      </c>
    </row>
    <row r="349" spans="1:208" ht="30" x14ac:dyDescent="0.25">
      <c r="A349" s="126"/>
      <c r="B349" s="54" t="s">
        <v>36</v>
      </c>
      <c r="C349" s="44" t="s">
        <v>37</v>
      </c>
      <c r="D349" s="45" t="s">
        <v>518</v>
      </c>
      <c r="E349" s="45" t="s">
        <v>85</v>
      </c>
      <c r="F349" s="45"/>
      <c r="G349" s="46"/>
    </row>
    <row r="350" spans="1:208" ht="45" customHeight="1" x14ac:dyDescent="0.25">
      <c r="A350" s="126"/>
      <c r="B350" s="54" t="s">
        <v>36</v>
      </c>
      <c r="C350" s="44" t="s">
        <v>38</v>
      </c>
      <c r="D350" s="45" t="s">
        <v>519</v>
      </c>
      <c r="E350" s="45"/>
      <c r="F350" s="60"/>
      <c r="G350" s="46"/>
    </row>
    <row r="351" spans="1:208" ht="30" x14ac:dyDescent="0.25">
      <c r="A351" s="126"/>
      <c r="B351" s="55">
        <v>1</v>
      </c>
      <c r="C351" s="47" t="s">
        <v>39</v>
      </c>
      <c r="D351" s="48" t="s">
        <v>520</v>
      </c>
      <c r="E351" s="49"/>
      <c r="F351" s="45" t="s">
        <v>187</v>
      </c>
      <c r="G351" s="46"/>
    </row>
    <row r="352" spans="1:208" ht="45.75" thickBot="1" x14ac:dyDescent="0.3">
      <c r="A352" s="126"/>
      <c r="B352" s="52" t="s">
        <v>79</v>
      </c>
      <c r="C352" s="53" t="s">
        <v>80</v>
      </c>
      <c r="D352" s="103" t="s">
        <v>193</v>
      </c>
      <c r="E352" s="61"/>
      <c r="F352" s="103"/>
      <c r="G352" s="56"/>
    </row>
    <row r="353" spans="1:7" ht="15.75" thickBot="1" x14ac:dyDescent="0.3">
      <c r="A353" s="203"/>
      <c r="B353" s="204" t="s">
        <v>96</v>
      </c>
      <c r="C353" s="205" t="s">
        <v>40</v>
      </c>
      <c r="D353" s="206" t="s">
        <v>188</v>
      </c>
      <c r="E353" s="207"/>
      <c r="F353" s="206" t="s">
        <v>189</v>
      </c>
      <c r="G353" s="208"/>
    </row>
  </sheetData>
  <autoFilter ref="A3:G3">
    <filterColumn colId="1" showButton="0"/>
    <filterColumn colId="3" showButton="0"/>
    <filterColumn colId="5" showButton="0"/>
  </autoFilter>
  <mergeCells count="131">
    <mergeCell ref="A311:A319"/>
    <mergeCell ref="A297:A309"/>
    <mergeCell ref="A331:A336"/>
    <mergeCell ref="A35:A43"/>
    <mergeCell ref="A284:A295"/>
    <mergeCell ref="F283:G283"/>
    <mergeCell ref="B254:C254"/>
    <mergeCell ref="A247:A253"/>
    <mergeCell ref="D254:E254"/>
    <mergeCell ref="F254:G254"/>
    <mergeCell ref="A255:A263"/>
    <mergeCell ref="B264:C264"/>
    <mergeCell ref="D264:E264"/>
    <mergeCell ref="F264:G264"/>
    <mergeCell ref="A265:A271"/>
    <mergeCell ref="D347:E347"/>
    <mergeCell ref="F347:G347"/>
    <mergeCell ref="B320:C320"/>
    <mergeCell ref="D320:E320"/>
    <mergeCell ref="F320:G320"/>
    <mergeCell ref="B330:C330"/>
    <mergeCell ref="D330:E330"/>
    <mergeCell ref="F330:G330"/>
    <mergeCell ref="B337:C337"/>
    <mergeCell ref="D337:E337"/>
    <mergeCell ref="F337:G337"/>
    <mergeCell ref="A1:C1"/>
    <mergeCell ref="D1:G1"/>
    <mergeCell ref="A2:C2"/>
    <mergeCell ref="D2:G2"/>
    <mergeCell ref="B3:C3"/>
    <mergeCell ref="D3:E3"/>
    <mergeCell ref="F3:G3"/>
    <mergeCell ref="F55:G55"/>
    <mergeCell ref="B87:C87"/>
    <mergeCell ref="D87:E87"/>
    <mergeCell ref="F87:G87"/>
    <mergeCell ref="F62:G62"/>
    <mergeCell ref="B34:C34"/>
    <mergeCell ref="D34:E34"/>
    <mergeCell ref="F34:G34"/>
    <mergeCell ref="F4:G4"/>
    <mergeCell ref="B15:C15"/>
    <mergeCell ref="D15:E15"/>
    <mergeCell ref="A79:A86"/>
    <mergeCell ref="F15:G15"/>
    <mergeCell ref="B4:C4"/>
    <mergeCell ref="D4:E4"/>
    <mergeCell ref="B44:C44"/>
    <mergeCell ref="A45:A54"/>
    <mergeCell ref="A162:A176"/>
    <mergeCell ref="B97:C97"/>
    <mergeCell ref="D97:E97"/>
    <mergeCell ref="F97:G97"/>
    <mergeCell ref="A119:A129"/>
    <mergeCell ref="A98:A107"/>
    <mergeCell ref="B108:C108"/>
    <mergeCell ref="F78:G78"/>
    <mergeCell ref="A56:A61"/>
    <mergeCell ref="A88:A96"/>
    <mergeCell ref="B55:C55"/>
    <mergeCell ref="D44:E44"/>
    <mergeCell ref="F44:G44"/>
    <mergeCell ref="A109:A117"/>
    <mergeCell ref="B118:C118"/>
    <mergeCell ref="D118:E118"/>
    <mergeCell ref="A5:A14"/>
    <mergeCell ref="A16:A33"/>
    <mergeCell ref="A63:A77"/>
    <mergeCell ref="A321:A329"/>
    <mergeCell ref="D108:E108"/>
    <mergeCell ref="F108:G108"/>
    <mergeCell ref="D55:E55"/>
    <mergeCell ref="B62:C62"/>
    <mergeCell ref="D62:E62"/>
    <mergeCell ref="B78:C78"/>
    <mergeCell ref="D78:E78"/>
    <mergeCell ref="B147:C147"/>
    <mergeCell ref="D147:E147"/>
    <mergeCell ref="F147:G147"/>
    <mergeCell ref="F220:G220"/>
    <mergeCell ref="F205:G205"/>
    <mergeCell ref="F177:G177"/>
    <mergeCell ref="D161:E161"/>
    <mergeCell ref="F161:G161"/>
    <mergeCell ref="B296:C296"/>
    <mergeCell ref="B283:C283"/>
    <mergeCell ref="D283:E283"/>
    <mergeCell ref="A348:A353"/>
    <mergeCell ref="F118:G118"/>
    <mergeCell ref="F189:G189"/>
    <mergeCell ref="D235:E235"/>
    <mergeCell ref="F235:G235"/>
    <mergeCell ref="D296:E296"/>
    <mergeCell ref="F296:G296"/>
    <mergeCell ref="A338:A346"/>
    <mergeCell ref="B310:C310"/>
    <mergeCell ref="D310:E310"/>
    <mergeCell ref="F310:G310"/>
    <mergeCell ref="B228:C228"/>
    <mergeCell ref="D228:E228"/>
    <mergeCell ref="F228:G228"/>
    <mergeCell ref="F272:G272"/>
    <mergeCell ref="B246:C246"/>
    <mergeCell ref="D246:E246"/>
    <mergeCell ref="F246:G246"/>
    <mergeCell ref="B272:C272"/>
    <mergeCell ref="D272:E272"/>
    <mergeCell ref="B347:C347"/>
    <mergeCell ref="D205:E205"/>
    <mergeCell ref="B205:C205"/>
    <mergeCell ref="B220:C220"/>
    <mergeCell ref="D220:E220"/>
    <mergeCell ref="B161:C161"/>
    <mergeCell ref="A206:A219"/>
    <mergeCell ref="A190:A201"/>
    <mergeCell ref="A273:A282"/>
    <mergeCell ref="A229:A234"/>
    <mergeCell ref="B235:C235"/>
    <mergeCell ref="A236:A245"/>
    <mergeCell ref="A221:A227"/>
    <mergeCell ref="B130:C130"/>
    <mergeCell ref="D130:E130"/>
    <mergeCell ref="F130:G130"/>
    <mergeCell ref="A131:A146"/>
    <mergeCell ref="A148:A160"/>
    <mergeCell ref="A178:A188"/>
    <mergeCell ref="B189:C189"/>
    <mergeCell ref="D189:E189"/>
    <mergeCell ref="B177:C177"/>
    <mergeCell ref="D177:E177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XFD1048576"/>
    </sheetView>
  </sheetViews>
  <sheetFormatPr defaultRowHeight="12.75" x14ac:dyDescent="0.25"/>
  <cols>
    <col min="1" max="1" width="4" style="7" bestFit="1" customWidth="1"/>
    <col min="2" max="2" width="21.28515625" style="7" customWidth="1"/>
    <col min="3" max="3" width="22.7109375" style="7" bestFit="1" customWidth="1"/>
    <col min="4" max="4" width="32.5703125" style="7" customWidth="1"/>
    <col min="5" max="5" width="57.28515625" style="7" customWidth="1"/>
    <col min="6" max="6" width="15.5703125" style="7" customWidth="1"/>
    <col min="7" max="7" width="17.7109375" style="7" customWidth="1"/>
    <col min="8" max="254" width="9.140625" style="7"/>
    <col min="255" max="255" width="4" style="7" bestFit="1" customWidth="1"/>
    <col min="256" max="256" width="26.7109375" style="7" bestFit="1" customWidth="1"/>
    <col min="257" max="257" width="22.7109375" style="7" bestFit="1" customWidth="1"/>
    <col min="258" max="258" width="32.5703125" style="7" customWidth="1"/>
    <col min="259" max="259" width="57.28515625" style="7" customWidth="1"/>
    <col min="260" max="260" width="15.5703125" style="7" customWidth="1"/>
    <col min="261" max="261" width="16.7109375" style="7" customWidth="1"/>
    <col min="262" max="510" width="9.140625" style="7"/>
    <col min="511" max="511" width="4" style="7" bestFit="1" customWidth="1"/>
    <col min="512" max="512" width="26.7109375" style="7" bestFit="1" customWidth="1"/>
    <col min="513" max="513" width="22.7109375" style="7" bestFit="1" customWidth="1"/>
    <col min="514" max="514" width="32.5703125" style="7" customWidth="1"/>
    <col min="515" max="515" width="57.28515625" style="7" customWidth="1"/>
    <col min="516" max="516" width="15.5703125" style="7" customWidth="1"/>
    <col min="517" max="517" width="16.7109375" style="7" customWidth="1"/>
    <col min="518" max="766" width="9.140625" style="7"/>
    <col min="767" max="767" width="4" style="7" bestFit="1" customWidth="1"/>
    <col min="768" max="768" width="26.7109375" style="7" bestFit="1" customWidth="1"/>
    <col min="769" max="769" width="22.7109375" style="7" bestFit="1" customWidth="1"/>
    <col min="770" max="770" width="32.5703125" style="7" customWidth="1"/>
    <col min="771" max="771" width="57.28515625" style="7" customWidth="1"/>
    <col min="772" max="772" width="15.5703125" style="7" customWidth="1"/>
    <col min="773" max="773" width="16.7109375" style="7" customWidth="1"/>
    <col min="774" max="1022" width="9.140625" style="7"/>
    <col min="1023" max="1023" width="4" style="7" bestFit="1" customWidth="1"/>
    <col min="1024" max="1024" width="26.7109375" style="7" bestFit="1" customWidth="1"/>
    <col min="1025" max="1025" width="22.7109375" style="7" bestFit="1" customWidth="1"/>
    <col min="1026" max="1026" width="32.5703125" style="7" customWidth="1"/>
    <col min="1027" max="1027" width="57.28515625" style="7" customWidth="1"/>
    <col min="1028" max="1028" width="15.5703125" style="7" customWidth="1"/>
    <col min="1029" max="1029" width="16.7109375" style="7" customWidth="1"/>
    <col min="1030" max="1278" width="9.140625" style="7"/>
    <col min="1279" max="1279" width="4" style="7" bestFit="1" customWidth="1"/>
    <col min="1280" max="1280" width="26.7109375" style="7" bestFit="1" customWidth="1"/>
    <col min="1281" max="1281" width="22.7109375" style="7" bestFit="1" customWidth="1"/>
    <col min="1282" max="1282" width="32.5703125" style="7" customWidth="1"/>
    <col min="1283" max="1283" width="57.28515625" style="7" customWidth="1"/>
    <col min="1284" max="1284" width="15.5703125" style="7" customWidth="1"/>
    <col min="1285" max="1285" width="16.7109375" style="7" customWidth="1"/>
    <col min="1286" max="1534" width="9.140625" style="7"/>
    <col min="1535" max="1535" width="4" style="7" bestFit="1" customWidth="1"/>
    <col min="1536" max="1536" width="26.7109375" style="7" bestFit="1" customWidth="1"/>
    <col min="1537" max="1537" width="22.7109375" style="7" bestFit="1" customWidth="1"/>
    <col min="1538" max="1538" width="32.5703125" style="7" customWidth="1"/>
    <col min="1539" max="1539" width="57.28515625" style="7" customWidth="1"/>
    <col min="1540" max="1540" width="15.5703125" style="7" customWidth="1"/>
    <col min="1541" max="1541" width="16.7109375" style="7" customWidth="1"/>
    <col min="1542" max="1790" width="9.140625" style="7"/>
    <col min="1791" max="1791" width="4" style="7" bestFit="1" customWidth="1"/>
    <col min="1792" max="1792" width="26.7109375" style="7" bestFit="1" customWidth="1"/>
    <col min="1793" max="1793" width="22.7109375" style="7" bestFit="1" customWidth="1"/>
    <col min="1794" max="1794" width="32.5703125" style="7" customWidth="1"/>
    <col min="1795" max="1795" width="57.28515625" style="7" customWidth="1"/>
    <col min="1796" max="1796" width="15.5703125" style="7" customWidth="1"/>
    <col min="1797" max="1797" width="16.7109375" style="7" customWidth="1"/>
    <col min="1798" max="2046" width="9.140625" style="7"/>
    <col min="2047" max="2047" width="4" style="7" bestFit="1" customWidth="1"/>
    <col min="2048" max="2048" width="26.7109375" style="7" bestFit="1" customWidth="1"/>
    <col min="2049" max="2049" width="22.7109375" style="7" bestFit="1" customWidth="1"/>
    <col min="2050" max="2050" width="32.5703125" style="7" customWidth="1"/>
    <col min="2051" max="2051" width="57.28515625" style="7" customWidth="1"/>
    <col min="2052" max="2052" width="15.5703125" style="7" customWidth="1"/>
    <col min="2053" max="2053" width="16.7109375" style="7" customWidth="1"/>
    <col min="2054" max="2302" width="9.140625" style="7"/>
    <col min="2303" max="2303" width="4" style="7" bestFit="1" customWidth="1"/>
    <col min="2304" max="2304" width="26.7109375" style="7" bestFit="1" customWidth="1"/>
    <col min="2305" max="2305" width="22.7109375" style="7" bestFit="1" customWidth="1"/>
    <col min="2306" max="2306" width="32.5703125" style="7" customWidth="1"/>
    <col min="2307" max="2307" width="57.28515625" style="7" customWidth="1"/>
    <col min="2308" max="2308" width="15.5703125" style="7" customWidth="1"/>
    <col min="2309" max="2309" width="16.7109375" style="7" customWidth="1"/>
    <col min="2310" max="2558" width="9.140625" style="7"/>
    <col min="2559" max="2559" width="4" style="7" bestFit="1" customWidth="1"/>
    <col min="2560" max="2560" width="26.7109375" style="7" bestFit="1" customWidth="1"/>
    <col min="2561" max="2561" width="22.7109375" style="7" bestFit="1" customWidth="1"/>
    <col min="2562" max="2562" width="32.5703125" style="7" customWidth="1"/>
    <col min="2563" max="2563" width="57.28515625" style="7" customWidth="1"/>
    <col min="2564" max="2564" width="15.5703125" style="7" customWidth="1"/>
    <col min="2565" max="2565" width="16.7109375" style="7" customWidth="1"/>
    <col min="2566" max="2814" width="9.140625" style="7"/>
    <col min="2815" max="2815" width="4" style="7" bestFit="1" customWidth="1"/>
    <col min="2816" max="2816" width="26.7109375" style="7" bestFit="1" customWidth="1"/>
    <col min="2817" max="2817" width="22.7109375" style="7" bestFit="1" customWidth="1"/>
    <col min="2818" max="2818" width="32.5703125" style="7" customWidth="1"/>
    <col min="2819" max="2819" width="57.28515625" style="7" customWidth="1"/>
    <col min="2820" max="2820" width="15.5703125" style="7" customWidth="1"/>
    <col min="2821" max="2821" width="16.7109375" style="7" customWidth="1"/>
    <col min="2822" max="3070" width="9.140625" style="7"/>
    <col min="3071" max="3071" width="4" style="7" bestFit="1" customWidth="1"/>
    <col min="3072" max="3072" width="26.7109375" style="7" bestFit="1" customWidth="1"/>
    <col min="3073" max="3073" width="22.7109375" style="7" bestFit="1" customWidth="1"/>
    <col min="3074" max="3074" width="32.5703125" style="7" customWidth="1"/>
    <col min="3075" max="3075" width="57.28515625" style="7" customWidth="1"/>
    <col min="3076" max="3076" width="15.5703125" style="7" customWidth="1"/>
    <col min="3077" max="3077" width="16.7109375" style="7" customWidth="1"/>
    <col min="3078" max="3326" width="9.140625" style="7"/>
    <col min="3327" max="3327" width="4" style="7" bestFit="1" customWidth="1"/>
    <col min="3328" max="3328" width="26.7109375" style="7" bestFit="1" customWidth="1"/>
    <col min="3329" max="3329" width="22.7109375" style="7" bestFit="1" customWidth="1"/>
    <col min="3330" max="3330" width="32.5703125" style="7" customWidth="1"/>
    <col min="3331" max="3331" width="57.28515625" style="7" customWidth="1"/>
    <col min="3332" max="3332" width="15.5703125" style="7" customWidth="1"/>
    <col min="3333" max="3333" width="16.7109375" style="7" customWidth="1"/>
    <col min="3334" max="3582" width="9.140625" style="7"/>
    <col min="3583" max="3583" width="4" style="7" bestFit="1" customWidth="1"/>
    <col min="3584" max="3584" width="26.7109375" style="7" bestFit="1" customWidth="1"/>
    <col min="3585" max="3585" width="22.7109375" style="7" bestFit="1" customWidth="1"/>
    <col min="3586" max="3586" width="32.5703125" style="7" customWidth="1"/>
    <col min="3587" max="3587" width="57.28515625" style="7" customWidth="1"/>
    <col min="3588" max="3588" width="15.5703125" style="7" customWidth="1"/>
    <col min="3589" max="3589" width="16.7109375" style="7" customWidth="1"/>
    <col min="3590" max="3838" width="9.140625" style="7"/>
    <col min="3839" max="3839" width="4" style="7" bestFit="1" customWidth="1"/>
    <col min="3840" max="3840" width="26.7109375" style="7" bestFit="1" customWidth="1"/>
    <col min="3841" max="3841" width="22.7109375" style="7" bestFit="1" customWidth="1"/>
    <col min="3842" max="3842" width="32.5703125" style="7" customWidth="1"/>
    <col min="3843" max="3843" width="57.28515625" style="7" customWidth="1"/>
    <col min="3844" max="3844" width="15.5703125" style="7" customWidth="1"/>
    <col min="3845" max="3845" width="16.7109375" style="7" customWidth="1"/>
    <col min="3846" max="4094" width="9.140625" style="7"/>
    <col min="4095" max="4095" width="4" style="7" bestFit="1" customWidth="1"/>
    <col min="4096" max="4096" width="26.7109375" style="7" bestFit="1" customWidth="1"/>
    <col min="4097" max="4097" width="22.7109375" style="7" bestFit="1" customWidth="1"/>
    <col min="4098" max="4098" width="32.5703125" style="7" customWidth="1"/>
    <col min="4099" max="4099" width="57.28515625" style="7" customWidth="1"/>
    <col min="4100" max="4100" width="15.5703125" style="7" customWidth="1"/>
    <col min="4101" max="4101" width="16.7109375" style="7" customWidth="1"/>
    <col min="4102" max="4350" width="9.140625" style="7"/>
    <col min="4351" max="4351" width="4" style="7" bestFit="1" customWidth="1"/>
    <col min="4352" max="4352" width="26.7109375" style="7" bestFit="1" customWidth="1"/>
    <col min="4353" max="4353" width="22.7109375" style="7" bestFit="1" customWidth="1"/>
    <col min="4354" max="4354" width="32.5703125" style="7" customWidth="1"/>
    <col min="4355" max="4355" width="57.28515625" style="7" customWidth="1"/>
    <col min="4356" max="4356" width="15.5703125" style="7" customWidth="1"/>
    <col min="4357" max="4357" width="16.7109375" style="7" customWidth="1"/>
    <col min="4358" max="4606" width="9.140625" style="7"/>
    <col min="4607" max="4607" width="4" style="7" bestFit="1" customWidth="1"/>
    <col min="4608" max="4608" width="26.7109375" style="7" bestFit="1" customWidth="1"/>
    <col min="4609" max="4609" width="22.7109375" style="7" bestFit="1" customWidth="1"/>
    <col min="4610" max="4610" width="32.5703125" style="7" customWidth="1"/>
    <col min="4611" max="4611" width="57.28515625" style="7" customWidth="1"/>
    <col min="4612" max="4612" width="15.5703125" style="7" customWidth="1"/>
    <col min="4613" max="4613" width="16.7109375" style="7" customWidth="1"/>
    <col min="4614" max="4862" width="9.140625" style="7"/>
    <col min="4863" max="4863" width="4" style="7" bestFit="1" customWidth="1"/>
    <col min="4864" max="4864" width="26.7109375" style="7" bestFit="1" customWidth="1"/>
    <col min="4865" max="4865" width="22.7109375" style="7" bestFit="1" customWidth="1"/>
    <col min="4866" max="4866" width="32.5703125" style="7" customWidth="1"/>
    <col min="4867" max="4867" width="57.28515625" style="7" customWidth="1"/>
    <col min="4868" max="4868" width="15.5703125" style="7" customWidth="1"/>
    <col min="4869" max="4869" width="16.7109375" style="7" customWidth="1"/>
    <col min="4870" max="5118" width="9.140625" style="7"/>
    <col min="5119" max="5119" width="4" style="7" bestFit="1" customWidth="1"/>
    <col min="5120" max="5120" width="26.7109375" style="7" bestFit="1" customWidth="1"/>
    <col min="5121" max="5121" width="22.7109375" style="7" bestFit="1" customWidth="1"/>
    <col min="5122" max="5122" width="32.5703125" style="7" customWidth="1"/>
    <col min="5123" max="5123" width="57.28515625" style="7" customWidth="1"/>
    <col min="5124" max="5124" width="15.5703125" style="7" customWidth="1"/>
    <col min="5125" max="5125" width="16.7109375" style="7" customWidth="1"/>
    <col min="5126" max="5374" width="9.140625" style="7"/>
    <col min="5375" max="5375" width="4" style="7" bestFit="1" customWidth="1"/>
    <col min="5376" max="5376" width="26.7109375" style="7" bestFit="1" customWidth="1"/>
    <col min="5377" max="5377" width="22.7109375" style="7" bestFit="1" customWidth="1"/>
    <col min="5378" max="5378" width="32.5703125" style="7" customWidth="1"/>
    <col min="5379" max="5379" width="57.28515625" style="7" customWidth="1"/>
    <col min="5380" max="5380" width="15.5703125" style="7" customWidth="1"/>
    <col min="5381" max="5381" width="16.7109375" style="7" customWidth="1"/>
    <col min="5382" max="5630" width="9.140625" style="7"/>
    <col min="5631" max="5631" width="4" style="7" bestFit="1" customWidth="1"/>
    <col min="5632" max="5632" width="26.7109375" style="7" bestFit="1" customWidth="1"/>
    <col min="5633" max="5633" width="22.7109375" style="7" bestFit="1" customWidth="1"/>
    <col min="5634" max="5634" width="32.5703125" style="7" customWidth="1"/>
    <col min="5635" max="5635" width="57.28515625" style="7" customWidth="1"/>
    <col min="5636" max="5636" width="15.5703125" style="7" customWidth="1"/>
    <col min="5637" max="5637" width="16.7109375" style="7" customWidth="1"/>
    <col min="5638" max="5886" width="9.140625" style="7"/>
    <col min="5887" max="5887" width="4" style="7" bestFit="1" customWidth="1"/>
    <col min="5888" max="5888" width="26.7109375" style="7" bestFit="1" customWidth="1"/>
    <col min="5889" max="5889" width="22.7109375" style="7" bestFit="1" customWidth="1"/>
    <col min="5890" max="5890" width="32.5703125" style="7" customWidth="1"/>
    <col min="5891" max="5891" width="57.28515625" style="7" customWidth="1"/>
    <col min="5892" max="5892" width="15.5703125" style="7" customWidth="1"/>
    <col min="5893" max="5893" width="16.7109375" style="7" customWidth="1"/>
    <col min="5894" max="6142" width="9.140625" style="7"/>
    <col min="6143" max="6143" width="4" style="7" bestFit="1" customWidth="1"/>
    <col min="6144" max="6144" width="26.7109375" style="7" bestFit="1" customWidth="1"/>
    <col min="6145" max="6145" width="22.7109375" style="7" bestFit="1" customWidth="1"/>
    <col min="6146" max="6146" width="32.5703125" style="7" customWidth="1"/>
    <col min="6147" max="6147" width="57.28515625" style="7" customWidth="1"/>
    <col min="6148" max="6148" width="15.5703125" style="7" customWidth="1"/>
    <col min="6149" max="6149" width="16.7109375" style="7" customWidth="1"/>
    <col min="6150" max="6398" width="9.140625" style="7"/>
    <col min="6399" max="6399" width="4" style="7" bestFit="1" customWidth="1"/>
    <col min="6400" max="6400" width="26.7109375" style="7" bestFit="1" customWidth="1"/>
    <col min="6401" max="6401" width="22.7109375" style="7" bestFit="1" customWidth="1"/>
    <col min="6402" max="6402" width="32.5703125" style="7" customWidth="1"/>
    <col min="6403" max="6403" width="57.28515625" style="7" customWidth="1"/>
    <col min="6404" max="6404" width="15.5703125" style="7" customWidth="1"/>
    <col min="6405" max="6405" width="16.7109375" style="7" customWidth="1"/>
    <col min="6406" max="6654" width="9.140625" style="7"/>
    <col min="6655" max="6655" width="4" style="7" bestFit="1" customWidth="1"/>
    <col min="6656" max="6656" width="26.7109375" style="7" bestFit="1" customWidth="1"/>
    <col min="6657" max="6657" width="22.7109375" style="7" bestFit="1" customWidth="1"/>
    <col min="6658" max="6658" width="32.5703125" style="7" customWidth="1"/>
    <col min="6659" max="6659" width="57.28515625" style="7" customWidth="1"/>
    <col min="6660" max="6660" width="15.5703125" style="7" customWidth="1"/>
    <col min="6661" max="6661" width="16.7109375" style="7" customWidth="1"/>
    <col min="6662" max="6910" width="9.140625" style="7"/>
    <col min="6911" max="6911" width="4" style="7" bestFit="1" customWidth="1"/>
    <col min="6912" max="6912" width="26.7109375" style="7" bestFit="1" customWidth="1"/>
    <col min="6913" max="6913" width="22.7109375" style="7" bestFit="1" customWidth="1"/>
    <col min="6914" max="6914" width="32.5703125" style="7" customWidth="1"/>
    <col min="6915" max="6915" width="57.28515625" style="7" customWidth="1"/>
    <col min="6916" max="6916" width="15.5703125" style="7" customWidth="1"/>
    <col min="6917" max="6917" width="16.7109375" style="7" customWidth="1"/>
    <col min="6918" max="7166" width="9.140625" style="7"/>
    <col min="7167" max="7167" width="4" style="7" bestFit="1" customWidth="1"/>
    <col min="7168" max="7168" width="26.7109375" style="7" bestFit="1" customWidth="1"/>
    <col min="7169" max="7169" width="22.7109375" style="7" bestFit="1" customWidth="1"/>
    <col min="7170" max="7170" width="32.5703125" style="7" customWidth="1"/>
    <col min="7171" max="7171" width="57.28515625" style="7" customWidth="1"/>
    <col min="7172" max="7172" width="15.5703125" style="7" customWidth="1"/>
    <col min="7173" max="7173" width="16.7109375" style="7" customWidth="1"/>
    <col min="7174" max="7422" width="9.140625" style="7"/>
    <col min="7423" max="7423" width="4" style="7" bestFit="1" customWidth="1"/>
    <col min="7424" max="7424" width="26.7109375" style="7" bestFit="1" customWidth="1"/>
    <col min="7425" max="7425" width="22.7109375" style="7" bestFit="1" customWidth="1"/>
    <col min="7426" max="7426" width="32.5703125" style="7" customWidth="1"/>
    <col min="7427" max="7427" width="57.28515625" style="7" customWidth="1"/>
    <col min="7428" max="7428" width="15.5703125" style="7" customWidth="1"/>
    <col min="7429" max="7429" width="16.7109375" style="7" customWidth="1"/>
    <col min="7430" max="7678" width="9.140625" style="7"/>
    <col min="7679" max="7679" width="4" style="7" bestFit="1" customWidth="1"/>
    <col min="7680" max="7680" width="26.7109375" style="7" bestFit="1" customWidth="1"/>
    <col min="7681" max="7681" width="22.7109375" style="7" bestFit="1" customWidth="1"/>
    <col min="7682" max="7682" width="32.5703125" style="7" customWidth="1"/>
    <col min="7683" max="7683" width="57.28515625" style="7" customWidth="1"/>
    <col min="7684" max="7684" width="15.5703125" style="7" customWidth="1"/>
    <col min="7685" max="7685" width="16.7109375" style="7" customWidth="1"/>
    <col min="7686" max="7934" width="9.140625" style="7"/>
    <col min="7935" max="7935" width="4" style="7" bestFit="1" customWidth="1"/>
    <col min="7936" max="7936" width="26.7109375" style="7" bestFit="1" customWidth="1"/>
    <col min="7937" max="7937" width="22.7109375" style="7" bestFit="1" customWidth="1"/>
    <col min="7938" max="7938" width="32.5703125" style="7" customWidth="1"/>
    <col min="7939" max="7939" width="57.28515625" style="7" customWidth="1"/>
    <col min="7940" max="7940" width="15.5703125" style="7" customWidth="1"/>
    <col min="7941" max="7941" width="16.7109375" style="7" customWidth="1"/>
    <col min="7942" max="8190" width="9.140625" style="7"/>
    <col min="8191" max="8191" width="4" style="7" bestFit="1" customWidth="1"/>
    <col min="8192" max="8192" width="26.7109375" style="7" bestFit="1" customWidth="1"/>
    <col min="8193" max="8193" width="22.7109375" style="7" bestFit="1" customWidth="1"/>
    <col min="8194" max="8194" width="32.5703125" style="7" customWidth="1"/>
    <col min="8195" max="8195" width="57.28515625" style="7" customWidth="1"/>
    <col min="8196" max="8196" width="15.5703125" style="7" customWidth="1"/>
    <col min="8197" max="8197" width="16.7109375" style="7" customWidth="1"/>
    <col min="8198" max="8446" width="9.140625" style="7"/>
    <col min="8447" max="8447" width="4" style="7" bestFit="1" customWidth="1"/>
    <col min="8448" max="8448" width="26.7109375" style="7" bestFit="1" customWidth="1"/>
    <col min="8449" max="8449" width="22.7109375" style="7" bestFit="1" customWidth="1"/>
    <col min="8450" max="8450" width="32.5703125" style="7" customWidth="1"/>
    <col min="8451" max="8451" width="57.28515625" style="7" customWidth="1"/>
    <col min="8452" max="8452" width="15.5703125" style="7" customWidth="1"/>
    <col min="8453" max="8453" width="16.7109375" style="7" customWidth="1"/>
    <col min="8454" max="8702" width="9.140625" style="7"/>
    <col min="8703" max="8703" width="4" style="7" bestFit="1" customWidth="1"/>
    <col min="8704" max="8704" width="26.7109375" style="7" bestFit="1" customWidth="1"/>
    <col min="8705" max="8705" width="22.7109375" style="7" bestFit="1" customWidth="1"/>
    <col min="8706" max="8706" width="32.5703125" style="7" customWidth="1"/>
    <col min="8707" max="8707" width="57.28515625" style="7" customWidth="1"/>
    <col min="8708" max="8708" width="15.5703125" style="7" customWidth="1"/>
    <col min="8709" max="8709" width="16.7109375" style="7" customWidth="1"/>
    <col min="8710" max="8958" width="9.140625" style="7"/>
    <col min="8959" max="8959" width="4" style="7" bestFit="1" customWidth="1"/>
    <col min="8960" max="8960" width="26.7109375" style="7" bestFit="1" customWidth="1"/>
    <col min="8961" max="8961" width="22.7109375" style="7" bestFit="1" customWidth="1"/>
    <col min="8962" max="8962" width="32.5703125" style="7" customWidth="1"/>
    <col min="8963" max="8963" width="57.28515625" style="7" customWidth="1"/>
    <col min="8964" max="8964" width="15.5703125" style="7" customWidth="1"/>
    <col min="8965" max="8965" width="16.7109375" style="7" customWidth="1"/>
    <col min="8966" max="9214" width="9.140625" style="7"/>
    <col min="9215" max="9215" width="4" style="7" bestFit="1" customWidth="1"/>
    <col min="9216" max="9216" width="26.7109375" style="7" bestFit="1" customWidth="1"/>
    <col min="9217" max="9217" width="22.7109375" style="7" bestFit="1" customWidth="1"/>
    <col min="9218" max="9218" width="32.5703125" style="7" customWidth="1"/>
    <col min="9219" max="9219" width="57.28515625" style="7" customWidth="1"/>
    <col min="9220" max="9220" width="15.5703125" style="7" customWidth="1"/>
    <col min="9221" max="9221" width="16.7109375" style="7" customWidth="1"/>
    <col min="9222" max="9470" width="9.140625" style="7"/>
    <col min="9471" max="9471" width="4" style="7" bestFit="1" customWidth="1"/>
    <col min="9472" max="9472" width="26.7109375" style="7" bestFit="1" customWidth="1"/>
    <col min="9473" max="9473" width="22.7109375" style="7" bestFit="1" customWidth="1"/>
    <col min="9474" max="9474" width="32.5703125" style="7" customWidth="1"/>
    <col min="9475" max="9475" width="57.28515625" style="7" customWidth="1"/>
    <col min="9476" max="9476" width="15.5703125" style="7" customWidth="1"/>
    <col min="9477" max="9477" width="16.7109375" style="7" customWidth="1"/>
    <col min="9478" max="9726" width="9.140625" style="7"/>
    <col min="9727" max="9727" width="4" style="7" bestFit="1" customWidth="1"/>
    <col min="9728" max="9728" width="26.7109375" style="7" bestFit="1" customWidth="1"/>
    <col min="9729" max="9729" width="22.7109375" style="7" bestFit="1" customWidth="1"/>
    <col min="9730" max="9730" width="32.5703125" style="7" customWidth="1"/>
    <col min="9731" max="9731" width="57.28515625" style="7" customWidth="1"/>
    <col min="9732" max="9732" width="15.5703125" style="7" customWidth="1"/>
    <col min="9733" max="9733" width="16.7109375" style="7" customWidth="1"/>
    <col min="9734" max="9982" width="9.140625" style="7"/>
    <col min="9983" max="9983" width="4" style="7" bestFit="1" customWidth="1"/>
    <col min="9984" max="9984" width="26.7109375" style="7" bestFit="1" customWidth="1"/>
    <col min="9985" max="9985" width="22.7109375" style="7" bestFit="1" customWidth="1"/>
    <col min="9986" max="9986" width="32.5703125" style="7" customWidth="1"/>
    <col min="9987" max="9987" width="57.28515625" style="7" customWidth="1"/>
    <col min="9988" max="9988" width="15.5703125" style="7" customWidth="1"/>
    <col min="9989" max="9989" width="16.7109375" style="7" customWidth="1"/>
    <col min="9990" max="10238" width="9.140625" style="7"/>
    <col min="10239" max="10239" width="4" style="7" bestFit="1" customWidth="1"/>
    <col min="10240" max="10240" width="26.7109375" style="7" bestFit="1" customWidth="1"/>
    <col min="10241" max="10241" width="22.7109375" style="7" bestFit="1" customWidth="1"/>
    <col min="10242" max="10242" width="32.5703125" style="7" customWidth="1"/>
    <col min="10243" max="10243" width="57.28515625" style="7" customWidth="1"/>
    <col min="10244" max="10244" width="15.5703125" style="7" customWidth="1"/>
    <col min="10245" max="10245" width="16.7109375" style="7" customWidth="1"/>
    <col min="10246" max="10494" width="9.140625" style="7"/>
    <col min="10495" max="10495" width="4" style="7" bestFit="1" customWidth="1"/>
    <col min="10496" max="10496" width="26.7109375" style="7" bestFit="1" customWidth="1"/>
    <col min="10497" max="10497" width="22.7109375" style="7" bestFit="1" customWidth="1"/>
    <col min="10498" max="10498" width="32.5703125" style="7" customWidth="1"/>
    <col min="10499" max="10499" width="57.28515625" style="7" customWidth="1"/>
    <col min="10500" max="10500" width="15.5703125" style="7" customWidth="1"/>
    <col min="10501" max="10501" width="16.7109375" style="7" customWidth="1"/>
    <col min="10502" max="10750" width="9.140625" style="7"/>
    <col min="10751" max="10751" width="4" style="7" bestFit="1" customWidth="1"/>
    <col min="10752" max="10752" width="26.7109375" style="7" bestFit="1" customWidth="1"/>
    <col min="10753" max="10753" width="22.7109375" style="7" bestFit="1" customWidth="1"/>
    <col min="10754" max="10754" width="32.5703125" style="7" customWidth="1"/>
    <col min="10755" max="10755" width="57.28515625" style="7" customWidth="1"/>
    <col min="10756" max="10756" width="15.5703125" style="7" customWidth="1"/>
    <col min="10757" max="10757" width="16.7109375" style="7" customWidth="1"/>
    <col min="10758" max="11006" width="9.140625" style="7"/>
    <col min="11007" max="11007" width="4" style="7" bestFit="1" customWidth="1"/>
    <col min="11008" max="11008" width="26.7109375" style="7" bestFit="1" customWidth="1"/>
    <col min="11009" max="11009" width="22.7109375" style="7" bestFit="1" customWidth="1"/>
    <col min="11010" max="11010" width="32.5703125" style="7" customWidth="1"/>
    <col min="11011" max="11011" width="57.28515625" style="7" customWidth="1"/>
    <col min="11012" max="11012" width="15.5703125" style="7" customWidth="1"/>
    <col min="11013" max="11013" width="16.7109375" style="7" customWidth="1"/>
    <col min="11014" max="11262" width="9.140625" style="7"/>
    <col min="11263" max="11263" width="4" style="7" bestFit="1" customWidth="1"/>
    <col min="11264" max="11264" width="26.7109375" style="7" bestFit="1" customWidth="1"/>
    <col min="11265" max="11265" width="22.7109375" style="7" bestFit="1" customWidth="1"/>
    <col min="11266" max="11266" width="32.5703125" style="7" customWidth="1"/>
    <col min="11267" max="11267" width="57.28515625" style="7" customWidth="1"/>
    <col min="11268" max="11268" width="15.5703125" style="7" customWidth="1"/>
    <col min="11269" max="11269" width="16.7109375" style="7" customWidth="1"/>
    <col min="11270" max="11518" width="9.140625" style="7"/>
    <col min="11519" max="11519" width="4" style="7" bestFit="1" customWidth="1"/>
    <col min="11520" max="11520" width="26.7109375" style="7" bestFit="1" customWidth="1"/>
    <col min="11521" max="11521" width="22.7109375" style="7" bestFit="1" customWidth="1"/>
    <col min="11522" max="11522" width="32.5703125" style="7" customWidth="1"/>
    <col min="11523" max="11523" width="57.28515625" style="7" customWidth="1"/>
    <col min="11524" max="11524" width="15.5703125" style="7" customWidth="1"/>
    <col min="11525" max="11525" width="16.7109375" style="7" customWidth="1"/>
    <col min="11526" max="11774" width="9.140625" style="7"/>
    <col min="11775" max="11775" width="4" style="7" bestFit="1" customWidth="1"/>
    <col min="11776" max="11776" width="26.7109375" style="7" bestFit="1" customWidth="1"/>
    <col min="11777" max="11777" width="22.7109375" style="7" bestFit="1" customWidth="1"/>
    <col min="11778" max="11778" width="32.5703125" style="7" customWidth="1"/>
    <col min="11779" max="11779" width="57.28515625" style="7" customWidth="1"/>
    <col min="11780" max="11780" width="15.5703125" style="7" customWidth="1"/>
    <col min="11781" max="11781" width="16.7109375" style="7" customWidth="1"/>
    <col min="11782" max="12030" width="9.140625" style="7"/>
    <col min="12031" max="12031" width="4" style="7" bestFit="1" customWidth="1"/>
    <col min="12032" max="12032" width="26.7109375" style="7" bestFit="1" customWidth="1"/>
    <col min="12033" max="12033" width="22.7109375" style="7" bestFit="1" customWidth="1"/>
    <col min="12034" max="12034" width="32.5703125" style="7" customWidth="1"/>
    <col min="12035" max="12035" width="57.28515625" style="7" customWidth="1"/>
    <col min="12036" max="12036" width="15.5703125" style="7" customWidth="1"/>
    <col min="12037" max="12037" width="16.7109375" style="7" customWidth="1"/>
    <col min="12038" max="12286" width="9.140625" style="7"/>
    <col min="12287" max="12287" width="4" style="7" bestFit="1" customWidth="1"/>
    <col min="12288" max="12288" width="26.7109375" style="7" bestFit="1" customWidth="1"/>
    <col min="12289" max="12289" width="22.7109375" style="7" bestFit="1" customWidth="1"/>
    <col min="12290" max="12290" width="32.5703125" style="7" customWidth="1"/>
    <col min="12291" max="12291" width="57.28515625" style="7" customWidth="1"/>
    <col min="12292" max="12292" width="15.5703125" style="7" customWidth="1"/>
    <col min="12293" max="12293" width="16.7109375" style="7" customWidth="1"/>
    <col min="12294" max="12542" width="9.140625" style="7"/>
    <col min="12543" max="12543" width="4" style="7" bestFit="1" customWidth="1"/>
    <col min="12544" max="12544" width="26.7109375" style="7" bestFit="1" customWidth="1"/>
    <col min="12545" max="12545" width="22.7109375" style="7" bestFit="1" customWidth="1"/>
    <col min="12546" max="12546" width="32.5703125" style="7" customWidth="1"/>
    <col min="12547" max="12547" width="57.28515625" style="7" customWidth="1"/>
    <col min="12548" max="12548" width="15.5703125" style="7" customWidth="1"/>
    <col min="12549" max="12549" width="16.7109375" style="7" customWidth="1"/>
    <col min="12550" max="12798" width="9.140625" style="7"/>
    <col min="12799" max="12799" width="4" style="7" bestFit="1" customWidth="1"/>
    <col min="12800" max="12800" width="26.7109375" style="7" bestFit="1" customWidth="1"/>
    <col min="12801" max="12801" width="22.7109375" style="7" bestFit="1" customWidth="1"/>
    <col min="12802" max="12802" width="32.5703125" style="7" customWidth="1"/>
    <col min="12803" max="12803" width="57.28515625" style="7" customWidth="1"/>
    <col min="12804" max="12804" width="15.5703125" style="7" customWidth="1"/>
    <col min="12805" max="12805" width="16.7109375" style="7" customWidth="1"/>
    <col min="12806" max="13054" width="9.140625" style="7"/>
    <col min="13055" max="13055" width="4" style="7" bestFit="1" customWidth="1"/>
    <col min="13056" max="13056" width="26.7109375" style="7" bestFit="1" customWidth="1"/>
    <col min="13057" max="13057" width="22.7109375" style="7" bestFit="1" customWidth="1"/>
    <col min="13058" max="13058" width="32.5703125" style="7" customWidth="1"/>
    <col min="13059" max="13059" width="57.28515625" style="7" customWidth="1"/>
    <col min="13060" max="13060" width="15.5703125" style="7" customWidth="1"/>
    <col min="13061" max="13061" width="16.7109375" style="7" customWidth="1"/>
    <col min="13062" max="13310" width="9.140625" style="7"/>
    <col min="13311" max="13311" width="4" style="7" bestFit="1" customWidth="1"/>
    <col min="13312" max="13312" width="26.7109375" style="7" bestFit="1" customWidth="1"/>
    <col min="13313" max="13313" width="22.7109375" style="7" bestFit="1" customWidth="1"/>
    <col min="13314" max="13314" width="32.5703125" style="7" customWidth="1"/>
    <col min="13315" max="13315" width="57.28515625" style="7" customWidth="1"/>
    <col min="13316" max="13316" width="15.5703125" style="7" customWidth="1"/>
    <col min="13317" max="13317" width="16.7109375" style="7" customWidth="1"/>
    <col min="13318" max="13566" width="9.140625" style="7"/>
    <col min="13567" max="13567" width="4" style="7" bestFit="1" customWidth="1"/>
    <col min="13568" max="13568" width="26.7109375" style="7" bestFit="1" customWidth="1"/>
    <col min="13569" max="13569" width="22.7109375" style="7" bestFit="1" customWidth="1"/>
    <col min="13570" max="13570" width="32.5703125" style="7" customWidth="1"/>
    <col min="13571" max="13571" width="57.28515625" style="7" customWidth="1"/>
    <col min="13572" max="13572" width="15.5703125" style="7" customWidth="1"/>
    <col min="13573" max="13573" width="16.7109375" style="7" customWidth="1"/>
    <col min="13574" max="13822" width="9.140625" style="7"/>
    <col min="13823" max="13823" width="4" style="7" bestFit="1" customWidth="1"/>
    <col min="13824" max="13824" width="26.7109375" style="7" bestFit="1" customWidth="1"/>
    <col min="13825" max="13825" width="22.7109375" style="7" bestFit="1" customWidth="1"/>
    <col min="13826" max="13826" width="32.5703125" style="7" customWidth="1"/>
    <col min="13827" max="13827" width="57.28515625" style="7" customWidth="1"/>
    <col min="13828" max="13828" width="15.5703125" style="7" customWidth="1"/>
    <col min="13829" max="13829" width="16.7109375" style="7" customWidth="1"/>
    <col min="13830" max="14078" width="9.140625" style="7"/>
    <col min="14079" max="14079" width="4" style="7" bestFit="1" customWidth="1"/>
    <col min="14080" max="14080" width="26.7109375" style="7" bestFit="1" customWidth="1"/>
    <col min="14081" max="14081" width="22.7109375" style="7" bestFit="1" customWidth="1"/>
    <col min="14082" max="14082" width="32.5703125" style="7" customWidth="1"/>
    <col min="14083" max="14083" width="57.28515625" style="7" customWidth="1"/>
    <col min="14084" max="14084" width="15.5703125" style="7" customWidth="1"/>
    <col min="14085" max="14085" width="16.7109375" style="7" customWidth="1"/>
    <col min="14086" max="14334" width="9.140625" style="7"/>
    <col min="14335" max="14335" width="4" style="7" bestFit="1" customWidth="1"/>
    <col min="14336" max="14336" width="26.7109375" style="7" bestFit="1" customWidth="1"/>
    <col min="14337" max="14337" width="22.7109375" style="7" bestFit="1" customWidth="1"/>
    <col min="14338" max="14338" width="32.5703125" style="7" customWidth="1"/>
    <col min="14339" max="14339" width="57.28515625" style="7" customWidth="1"/>
    <col min="14340" max="14340" width="15.5703125" style="7" customWidth="1"/>
    <col min="14341" max="14341" width="16.7109375" style="7" customWidth="1"/>
    <col min="14342" max="14590" width="9.140625" style="7"/>
    <col min="14591" max="14591" width="4" style="7" bestFit="1" customWidth="1"/>
    <col min="14592" max="14592" width="26.7109375" style="7" bestFit="1" customWidth="1"/>
    <col min="14593" max="14593" width="22.7109375" style="7" bestFit="1" customWidth="1"/>
    <col min="14594" max="14594" width="32.5703125" style="7" customWidth="1"/>
    <col min="14595" max="14595" width="57.28515625" style="7" customWidth="1"/>
    <col min="14596" max="14596" width="15.5703125" style="7" customWidth="1"/>
    <col min="14597" max="14597" width="16.7109375" style="7" customWidth="1"/>
    <col min="14598" max="14846" width="9.140625" style="7"/>
    <col min="14847" max="14847" width="4" style="7" bestFit="1" customWidth="1"/>
    <col min="14848" max="14848" width="26.7109375" style="7" bestFit="1" customWidth="1"/>
    <col min="14849" max="14849" width="22.7109375" style="7" bestFit="1" customWidth="1"/>
    <col min="14850" max="14850" width="32.5703125" style="7" customWidth="1"/>
    <col min="14851" max="14851" width="57.28515625" style="7" customWidth="1"/>
    <col min="14852" max="14852" width="15.5703125" style="7" customWidth="1"/>
    <col min="14853" max="14853" width="16.7109375" style="7" customWidth="1"/>
    <col min="14854" max="15102" width="9.140625" style="7"/>
    <col min="15103" max="15103" width="4" style="7" bestFit="1" customWidth="1"/>
    <col min="15104" max="15104" width="26.7109375" style="7" bestFit="1" customWidth="1"/>
    <col min="15105" max="15105" width="22.7109375" style="7" bestFit="1" customWidth="1"/>
    <col min="15106" max="15106" width="32.5703125" style="7" customWidth="1"/>
    <col min="15107" max="15107" width="57.28515625" style="7" customWidth="1"/>
    <col min="15108" max="15108" width="15.5703125" style="7" customWidth="1"/>
    <col min="15109" max="15109" width="16.7109375" style="7" customWidth="1"/>
    <col min="15110" max="15358" width="9.140625" style="7"/>
    <col min="15359" max="15359" width="4" style="7" bestFit="1" customWidth="1"/>
    <col min="15360" max="15360" width="26.7109375" style="7" bestFit="1" customWidth="1"/>
    <col min="15361" max="15361" width="22.7109375" style="7" bestFit="1" customWidth="1"/>
    <col min="15362" max="15362" width="32.5703125" style="7" customWidth="1"/>
    <col min="15363" max="15363" width="57.28515625" style="7" customWidth="1"/>
    <col min="15364" max="15364" width="15.5703125" style="7" customWidth="1"/>
    <col min="15365" max="15365" width="16.7109375" style="7" customWidth="1"/>
    <col min="15366" max="15614" width="9.140625" style="7"/>
    <col min="15615" max="15615" width="4" style="7" bestFit="1" customWidth="1"/>
    <col min="15616" max="15616" width="26.7109375" style="7" bestFit="1" customWidth="1"/>
    <col min="15617" max="15617" width="22.7109375" style="7" bestFit="1" customWidth="1"/>
    <col min="15618" max="15618" width="32.5703125" style="7" customWidth="1"/>
    <col min="15619" max="15619" width="57.28515625" style="7" customWidth="1"/>
    <col min="15620" max="15620" width="15.5703125" style="7" customWidth="1"/>
    <col min="15621" max="15621" width="16.7109375" style="7" customWidth="1"/>
    <col min="15622" max="15870" width="9.140625" style="7"/>
    <col min="15871" max="15871" width="4" style="7" bestFit="1" customWidth="1"/>
    <col min="15872" max="15872" width="26.7109375" style="7" bestFit="1" customWidth="1"/>
    <col min="15873" max="15873" width="22.7109375" style="7" bestFit="1" customWidth="1"/>
    <col min="15874" max="15874" width="32.5703125" style="7" customWidth="1"/>
    <col min="15875" max="15875" width="57.28515625" style="7" customWidth="1"/>
    <col min="15876" max="15876" width="15.5703125" style="7" customWidth="1"/>
    <col min="15877" max="15877" width="16.7109375" style="7" customWidth="1"/>
    <col min="15878" max="16126" width="9.140625" style="7"/>
    <col min="16127" max="16127" width="4" style="7" bestFit="1" customWidth="1"/>
    <col min="16128" max="16128" width="26.7109375" style="7" bestFit="1" customWidth="1"/>
    <col min="16129" max="16129" width="22.7109375" style="7" bestFit="1" customWidth="1"/>
    <col min="16130" max="16130" width="32.5703125" style="7" customWidth="1"/>
    <col min="16131" max="16131" width="57.28515625" style="7" customWidth="1"/>
    <col min="16132" max="16132" width="15.5703125" style="7" customWidth="1"/>
    <col min="16133" max="16133" width="16.7109375" style="7" customWidth="1"/>
    <col min="16134" max="16384" width="9.140625" style="7"/>
  </cols>
  <sheetData>
    <row r="1" spans="1:8" s="37" customFormat="1" ht="21" customHeight="1" x14ac:dyDescent="0.3">
      <c r="A1" s="148" t="s">
        <v>4</v>
      </c>
      <c r="B1" s="149"/>
      <c r="C1" s="150"/>
      <c r="D1" s="154" t="str">
        <f>Copertina!B8</f>
        <v>MEV 2025_48 PNRR Scheda Intervento Evolutive di SIES v1.0</v>
      </c>
      <c r="E1" s="155"/>
      <c r="F1" s="155"/>
      <c r="G1" s="156"/>
      <c r="H1" s="7"/>
    </row>
    <row r="2" spans="1:8" s="37" customFormat="1" ht="20.25" customHeight="1" thickBot="1" x14ac:dyDescent="0.35">
      <c r="A2" s="151" t="s">
        <v>11</v>
      </c>
      <c r="B2" s="152"/>
      <c r="C2" s="153"/>
      <c r="D2" s="157" t="str">
        <f>Copertina!B4</f>
        <v>B6437AAAEB-2025-48_PNRR_Allegato_al_Piano_dei_Test_Evolutive_di_SIES_v1.0.xlsx</v>
      </c>
      <c r="E2" s="158"/>
      <c r="F2" s="158"/>
      <c r="G2" s="159"/>
      <c r="H2" s="38"/>
    </row>
    <row r="3" spans="1:8" ht="42" customHeight="1" thickBot="1" x14ac:dyDescent="0.35">
      <c r="A3" s="4" t="s">
        <v>8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</row>
    <row r="4" spans="1:8" ht="45" x14ac:dyDescent="0.25">
      <c r="A4" s="39" t="s">
        <v>41</v>
      </c>
      <c r="B4" s="28" t="s">
        <v>42</v>
      </c>
      <c r="C4" s="28" t="s">
        <v>43</v>
      </c>
      <c r="D4" s="28" t="s">
        <v>44</v>
      </c>
      <c r="E4" s="27" t="s">
        <v>45</v>
      </c>
      <c r="F4" s="27" t="s">
        <v>46</v>
      </c>
      <c r="G4" s="27"/>
    </row>
    <row r="5" spans="1:8" ht="30" x14ac:dyDescent="0.25">
      <c r="A5" s="39" t="s">
        <v>47</v>
      </c>
      <c r="B5" s="28" t="s">
        <v>42</v>
      </c>
      <c r="C5" s="28" t="s">
        <v>48</v>
      </c>
      <c r="D5" s="28" t="s">
        <v>49</v>
      </c>
      <c r="E5" s="28" t="s">
        <v>50</v>
      </c>
      <c r="F5" s="28" t="s">
        <v>46</v>
      </c>
      <c r="G5" s="28"/>
    </row>
    <row r="6" spans="1:8" ht="30" x14ac:dyDescent="0.25">
      <c r="A6" s="39" t="s">
        <v>51</v>
      </c>
      <c r="B6" s="28" t="s">
        <v>42</v>
      </c>
      <c r="C6" s="28" t="s">
        <v>52</v>
      </c>
      <c r="D6" s="28" t="s">
        <v>53</v>
      </c>
      <c r="E6" s="28" t="s">
        <v>54</v>
      </c>
      <c r="F6" s="28" t="s">
        <v>46</v>
      </c>
      <c r="G6" s="28"/>
    </row>
    <row r="7" spans="1:8" ht="30" x14ac:dyDescent="0.25">
      <c r="A7" s="39" t="s">
        <v>55</v>
      </c>
      <c r="B7" s="28" t="s">
        <v>56</v>
      </c>
      <c r="C7" s="28" t="s">
        <v>57</v>
      </c>
      <c r="D7" s="28" t="s">
        <v>58</v>
      </c>
      <c r="E7" s="28" t="s">
        <v>59</v>
      </c>
      <c r="F7" s="28" t="s">
        <v>46</v>
      </c>
      <c r="G7" s="28"/>
    </row>
    <row r="8" spans="1:8" ht="60" x14ac:dyDescent="0.25">
      <c r="A8" s="39" t="s">
        <v>60</v>
      </c>
      <c r="B8" s="28" t="s">
        <v>61</v>
      </c>
      <c r="C8" s="28" t="s">
        <v>62</v>
      </c>
      <c r="D8" s="28" t="s">
        <v>63</v>
      </c>
      <c r="E8" s="28" t="s">
        <v>64</v>
      </c>
      <c r="F8" s="28" t="s">
        <v>46</v>
      </c>
      <c r="G8" s="28"/>
    </row>
    <row r="9" spans="1:8" ht="30" x14ac:dyDescent="0.25">
      <c r="A9" s="39" t="s">
        <v>65</v>
      </c>
      <c r="B9" s="28" t="s">
        <v>61</v>
      </c>
      <c r="C9" s="28" t="s">
        <v>62</v>
      </c>
      <c r="D9" s="28" t="s">
        <v>66</v>
      </c>
      <c r="E9" s="28" t="s">
        <v>67</v>
      </c>
      <c r="F9" s="28" t="s">
        <v>46</v>
      </c>
      <c r="G9" s="28"/>
    </row>
    <row r="10" spans="1:8" ht="30" x14ac:dyDescent="0.25">
      <c r="A10" s="39" t="s">
        <v>68</v>
      </c>
      <c r="B10" s="28" t="s">
        <v>61</v>
      </c>
      <c r="C10" s="28" t="s">
        <v>62</v>
      </c>
      <c r="D10" s="28" t="s">
        <v>69</v>
      </c>
      <c r="E10" s="28" t="s">
        <v>70</v>
      </c>
      <c r="F10" s="28" t="s">
        <v>46</v>
      </c>
      <c r="G10" s="28"/>
    </row>
    <row r="11" spans="1:8" ht="60" x14ac:dyDescent="0.25">
      <c r="A11" s="39" t="s">
        <v>71</v>
      </c>
      <c r="B11" s="28" t="s">
        <v>61</v>
      </c>
      <c r="C11" s="28" t="s">
        <v>72</v>
      </c>
      <c r="D11" s="28" t="s">
        <v>73</v>
      </c>
      <c r="E11" s="28" t="s">
        <v>74</v>
      </c>
      <c r="F11" s="28" t="s">
        <v>46</v>
      </c>
      <c r="G11" s="28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B1"/>
    </sheetView>
  </sheetViews>
  <sheetFormatPr defaultRowHeight="12.75" x14ac:dyDescent="0.2"/>
  <cols>
    <col min="1" max="1" width="24.140625" style="13" customWidth="1"/>
    <col min="2" max="2" width="29.85546875" style="13" customWidth="1"/>
    <col min="3" max="3" width="28.140625" style="13" customWidth="1"/>
    <col min="4" max="4" width="27" style="13" customWidth="1"/>
    <col min="5" max="5" width="30.5703125" style="13" customWidth="1"/>
    <col min="6" max="6" width="1.7109375" style="13" customWidth="1"/>
    <col min="7" max="256" width="9.140625" style="13"/>
    <col min="257" max="257" width="24.140625" style="13" customWidth="1"/>
    <col min="258" max="258" width="29.85546875" style="13" customWidth="1"/>
    <col min="259" max="259" width="28.140625" style="13" customWidth="1"/>
    <col min="260" max="260" width="27" style="13" customWidth="1"/>
    <col min="261" max="261" width="30.5703125" style="13" customWidth="1"/>
    <col min="262" max="262" width="1.7109375" style="13" customWidth="1"/>
    <col min="263" max="512" width="9.140625" style="13"/>
    <col min="513" max="513" width="24.140625" style="13" customWidth="1"/>
    <col min="514" max="514" width="29.85546875" style="13" customWidth="1"/>
    <col min="515" max="515" width="28.140625" style="13" customWidth="1"/>
    <col min="516" max="516" width="27" style="13" customWidth="1"/>
    <col min="517" max="517" width="30.5703125" style="13" customWidth="1"/>
    <col min="518" max="518" width="1.7109375" style="13" customWidth="1"/>
    <col min="519" max="768" width="9.140625" style="13"/>
    <col min="769" max="769" width="24.140625" style="13" customWidth="1"/>
    <col min="770" max="770" width="29.85546875" style="13" customWidth="1"/>
    <col min="771" max="771" width="28.140625" style="13" customWidth="1"/>
    <col min="772" max="772" width="27" style="13" customWidth="1"/>
    <col min="773" max="773" width="30.5703125" style="13" customWidth="1"/>
    <col min="774" max="774" width="1.7109375" style="13" customWidth="1"/>
    <col min="775" max="1024" width="9.140625" style="13"/>
    <col min="1025" max="1025" width="24.140625" style="13" customWidth="1"/>
    <col min="1026" max="1026" width="29.85546875" style="13" customWidth="1"/>
    <col min="1027" max="1027" width="28.140625" style="13" customWidth="1"/>
    <col min="1028" max="1028" width="27" style="13" customWidth="1"/>
    <col min="1029" max="1029" width="30.5703125" style="13" customWidth="1"/>
    <col min="1030" max="1030" width="1.7109375" style="13" customWidth="1"/>
    <col min="1031" max="1280" width="9.140625" style="13"/>
    <col min="1281" max="1281" width="24.140625" style="13" customWidth="1"/>
    <col min="1282" max="1282" width="29.85546875" style="13" customWidth="1"/>
    <col min="1283" max="1283" width="28.140625" style="13" customWidth="1"/>
    <col min="1284" max="1284" width="27" style="13" customWidth="1"/>
    <col min="1285" max="1285" width="30.5703125" style="13" customWidth="1"/>
    <col min="1286" max="1286" width="1.7109375" style="13" customWidth="1"/>
    <col min="1287" max="1536" width="9.140625" style="13"/>
    <col min="1537" max="1537" width="24.140625" style="13" customWidth="1"/>
    <col min="1538" max="1538" width="29.85546875" style="13" customWidth="1"/>
    <col min="1539" max="1539" width="28.140625" style="13" customWidth="1"/>
    <col min="1540" max="1540" width="27" style="13" customWidth="1"/>
    <col min="1541" max="1541" width="30.5703125" style="13" customWidth="1"/>
    <col min="1542" max="1542" width="1.7109375" style="13" customWidth="1"/>
    <col min="1543" max="1792" width="9.140625" style="13"/>
    <col min="1793" max="1793" width="24.140625" style="13" customWidth="1"/>
    <col min="1794" max="1794" width="29.85546875" style="13" customWidth="1"/>
    <col min="1795" max="1795" width="28.140625" style="13" customWidth="1"/>
    <col min="1796" max="1796" width="27" style="13" customWidth="1"/>
    <col min="1797" max="1797" width="30.5703125" style="13" customWidth="1"/>
    <col min="1798" max="1798" width="1.7109375" style="13" customWidth="1"/>
    <col min="1799" max="2048" width="9.140625" style="13"/>
    <col min="2049" max="2049" width="24.140625" style="13" customWidth="1"/>
    <col min="2050" max="2050" width="29.85546875" style="13" customWidth="1"/>
    <col min="2051" max="2051" width="28.140625" style="13" customWidth="1"/>
    <col min="2052" max="2052" width="27" style="13" customWidth="1"/>
    <col min="2053" max="2053" width="30.5703125" style="13" customWidth="1"/>
    <col min="2054" max="2054" width="1.7109375" style="13" customWidth="1"/>
    <col min="2055" max="2304" width="9.140625" style="13"/>
    <col min="2305" max="2305" width="24.140625" style="13" customWidth="1"/>
    <col min="2306" max="2306" width="29.85546875" style="13" customWidth="1"/>
    <col min="2307" max="2307" width="28.140625" style="13" customWidth="1"/>
    <col min="2308" max="2308" width="27" style="13" customWidth="1"/>
    <col min="2309" max="2309" width="30.5703125" style="13" customWidth="1"/>
    <col min="2310" max="2310" width="1.7109375" style="13" customWidth="1"/>
    <col min="2311" max="2560" width="9.140625" style="13"/>
    <col min="2561" max="2561" width="24.140625" style="13" customWidth="1"/>
    <col min="2562" max="2562" width="29.85546875" style="13" customWidth="1"/>
    <col min="2563" max="2563" width="28.140625" style="13" customWidth="1"/>
    <col min="2564" max="2564" width="27" style="13" customWidth="1"/>
    <col min="2565" max="2565" width="30.5703125" style="13" customWidth="1"/>
    <col min="2566" max="2566" width="1.7109375" style="13" customWidth="1"/>
    <col min="2567" max="2816" width="9.140625" style="13"/>
    <col min="2817" max="2817" width="24.140625" style="13" customWidth="1"/>
    <col min="2818" max="2818" width="29.85546875" style="13" customWidth="1"/>
    <col min="2819" max="2819" width="28.140625" style="13" customWidth="1"/>
    <col min="2820" max="2820" width="27" style="13" customWidth="1"/>
    <col min="2821" max="2821" width="30.5703125" style="13" customWidth="1"/>
    <col min="2822" max="2822" width="1.7109375" style="13" customWidth="1"/>
    <col min="2823" max="3072" width="9.140625" style="13"/>
    <col min="3073" max="3073" width="24.140625" style="13" customWidth="1"/>
    <col min="3074" max="3074" width="29.85546875" style="13" customWidth="1"/>
    <col min="3075" max="3075" width="28.140625" style="13" customWidth="1"/>
    <col min="3076" max="3076" width="27" style="13" customWidth="1"/>
    <col min="3077" max="3077" width="30.5703125" style="13" customWidth="1"/>
    <col min="3078" max="3078" width="1.7109375" style="13" customWidth="1"/>
    <col min="3079" max="3328" width="9.140625" style="13"/>
    <col min="3329" max="3329" width="24.140625" style="13" customWidth="1"/>
    <col min="3330" max="3330" width="29.85546875" style="13" customWidth="1"/>
    <col min="3331" max="3331" width="28.140625" style="13" customWidth="1"/>
    <col min="3332" max="3332" width="27" style="13" customWidth="1"/>
    <col min="3333" max="3333" width="30.5703125" style="13" customWidth="1"/>
    <col min="3334" max="3334" width="1.7109375" style="13" customWidth="1"/>
    <col min="3335" max="3584" width="9.140625" style="13"/>
    <col min="3585" max="3585" width="24.140625" style="13" customWidth="1"/>
    <col min="3586" max="3586" width="29.85546875" style="13" customWidth="1"/>
    <col min="3587" max="3587" width="28.140625" style="13" customWidth="1"/>
    <col min="3588" max="3588" width="27" style="13" customWidth="1"/>
    <col min="3589" max="3589" width="30.5703125" style="13" customWidth="1"/>
    <col min="3590" max="3590" width="1.7109375" style="13" customWidth="1"/>
    <col min="3591" max="3840" width="9.140625" style="13"/>
    <col min="3841" max="3841" width="24.140625" style="13" customWidth="1"/>
    <col min="3842" max="3842" width="29.85546875" style="13" customWidth="1"/>
    <col min="3843" max="3843" width="28.140625" style="13" customWidth="1"/>
    <col min="3844" max="3844" width="27" style="13" customWidth="1"/>
    <col min="3845" max="3845" width="30.5703125" style="13" customWidth="1"/>
    <col min="3846" max="3846" width="1.7109375" style="13" customWidth="1"/>
    <col min="3847" max="4096" width="9.140625" style="13"/>
    <col min="4097" max="4097" width="24.140625" style="13" customWidth="1"/>
    <col min="4098" max="4098" width="29.85546875" style="13" customWidth="1"/>
    <col min="4099" max="4099" width="28.140625" style="13" customWidth="1"/>
    <col min="4100" max="4100" width="27" style="13" customWidth="1"/>
    <col min="4101" max="4101" width="30.5703125" style="13" customWidth="1"/>
    <col min="4102" max="4102" width="1.7109375" style="13" customWidth="1"/>
    <col min="4103" max="4352" width="9.140625" style="13"/>
    <col min="4353" max="4353" width="24.140625" style="13" customWidth="1"/>
    <col min="4354" max="4354" width="29.85546875" style="13" customWidth="1"/>
    <col min="4355" max="4355" width="28.140625" style="13" customWidth="1"/>
    <col min="4356" max="4356" width="27" style="13" customWidth="1"/>
    <col min="4357" max="4357" width="30.5703125" style="13" customWidth="1"/>
    <col min="4358" max="4358" width="1.7109375" style="13" customWidth="1"/>
    <col min="4359" max="4608" width="9.140625" style="13"/>
    <col min="4609" max="4609" width="24.140625" style="13" customWidth="1"/>
    <col min="4610" max="4610" width="29.85546875" style="13" customWidth="1"/>
    <col min="4611" max="4611" width="28.140625" style="13" customWidth="1"/>
    <col min="4612" max="4612" width="27" style="13" customWidth="1"/>
    <col min="4613" max="4613" width="30.5703125" style="13" customWidth="1"/>
    <col min="4614" max="4614" width="1.7109375" style="13" customWidth="1"/>
    <col min="4615" max="4864" width="9.140625" style="13"/>
    <col min="4865" max="4865" width="24.140625" style="13" customWidth="1"/>
    <col min="4866" max="4866" width="29.85546875" style="13" customWidth="1"/>
    <col min="4867" max="4867" width="28.140625" style="13" customWidth="1"/>
    <col min="4868" max="4868" width="27" style="13" customWidth="1"/>
    <col min="4869" max="4869" width="30.5703125" style="13" customWidth="1"/>
    <col min="4870" max="4870" width="1.7109375" style="13" customWidth="1"/>
    <col min="4871" max="5120" width="9.140625" style="13"/>
    <col min="5121" max="5121" width="24.140625" style="13" customWidth="1"/>
    <col min="5122" max="5122" width="29.85546875" style="13" customWidth="1"/>
    <col min="5123" max="5123" width="28.140625" style="13" customWidth="1"/>
    <col min="5124" max="5124" width="27" style="13" customWidth="1"/>
    <col min="5125" max="5125" width="30.5703125" style="13" customWidth="1"/>
    <col min="5126" max="5126" width="1.7109375" style="13" customWidth="1"/>
    <col min="5127" max="5376" width="9.140625" style="13"/>
    <col min="5377" max="5377" width="24.140625" style="13" customWidth="1"/>
    <col min="5378" max="5378" width="29.85546875" style="13" customWidth="1"/>
    <col min="5379" max="5379" width="28.140625" style="13" customWidth="1"/>
    <col min="5380" max="5380" width="27" style="13" customWidth="1"/>
    <col min="5381" max="5381" width="30.5703125" style="13" customWidth="1"/>
    <col min="5382" max="5382" width="1.7109375" style="13" customWidth="1"/>
    <col min="5383" max="5632" width="9.140625" style="13"/>
    <col min="5633" max="5633" width="24.140625" style="13" customWidth="1"/>
    <col min="5634" max="5634" width="29.85546875" style="13" customWidth="1"/>
    <col min="5635" max="5635" width="28.140625" style="13" customWidth="1"/>
    <col min="5636" max="5636" width="27" style="13" customWidth="1"/>
    <col min="5637" max="5637" width="30.5703125" style="13" customWidth="1"/>
    <col min="5638" max="5638" width="1.7109375" style="13" customWidth="1"/>
    <col min="5639" max="5888" width="9.140625" style="13"/>
    <col min="5889" max="5889" width="24.140625" style="13" customWidth="1"/>
    <col min="5890" max="5890" width="29.85546875" style="13" customWidth="1"/>
    <col min="5891" max="5891" width="28.140625" style="13" customWidth="1"/>
    <col min="5892" max="5892" width="27" style="13" customWidth="1"/>
    <col min="5893" max="5893" width="30.5703125" style="13" customWidth="1"/>
    <col min="5894" max="5894" width="1.7109375" style="13" customWidth="1"/>
    <col min="5895" max="6144" width="9.140625" style="13"/>
    <col min="6145" max="6145" width="24.140625" style="13" customWidth="1"/>
    <col min="6146" max="6146" width="29.85546875" style="13" customWidth="1"/>
    <col min="6147" max="6147" width="28.140625" style="13" customWidth="1"/>
    <col min="6148" max="6148" width="27" style="13" customWidth="1"/>
    <col min="6149" max="6149" width="30.5703125" style="13" customWidth="1"/>
    <col min="6150" max="6150" width="1.7109375" style="13" customWidth="1"/>
    <col min="6151" max="6400" width="9.140625" style="13"/>
    <col min="6401" max="6401" width="24.140625" style="13" customWidth="1"/>
    <col min="6402" max="6402" width="29.85546875" style="13" customWidth="1"/>
    <col min="6403" max="6403" width="28.140625" style="13" customWidth="1"/>
    <col min="6404" max="6404" width="27" style="13" customWidth="1"/>
    <col min="6405" max="6405" width="30.5703125" style="13" customWidth="1"/>
    <col min="6406" max="6406" width="1.7109375" style="13" customWidth="1"/>
    <col min="6407" max="6656" width="9.140625" style="13"/>
    <col min="6657" max="6657" width="24.140625" style="13" customWidth="1"/>
    <col min="6658" max="6658" width="29.85546875" style="13" customWidth="1"/>
    <col min="6659" max="6659" width="28.140625" style="13" customWidth="1"/>
    <col min="6660" max="6660" width="27" style="13" customWidth="1"/>
    <col min="6661" max="6661" width="30.5703125" style="13" customWidth="1"/>
    <col min="6662" max="6662" width="1.7109375" style="13" customWidth="1"/>
    <col min="6663" max="6912" width="9.140625" style="13"/>
    <col min="6913" max="6913" width="24.140625" style="13" customWidth="1"/>
    <col min="6914" max="6914" width="29.85546875" style="13" customWidth="1"/>
    <col min="6915" max="6915" width="28.140625" style="13" customWidth="1"/>
    <col min="6916" max="6916" width="27" style="13" customWidth="1"/>
    <col min="6917" max="6917" width="30.5703125" style="13" customWidth="1"/>
    <col min="6918" max="6918" width="1.7109375" style="13" customWidth="1"/>
    <col min="6919" max="7168" width="9.140625" style="13"/>
    <col min="7169" max="7169" width="24.140625" style="13" customWidth="1"/>
    <col min="7170" max="7170" width="29.85546875" style="13" customWidth="1"/>
    <col min="7171" max="7171" width="28.140625" style="13" customWidth="1"/>
    <col min="7172" max="7172" width="27" style="13" customWidth="1"/>
    <col min="7173" max="7173" width="30.5703125" style="13" customWidth="1"/>
    <col min="7174" max="7174" width="1.7109375" style="13" customWidth="1"/>
    <col min="7175" max="7424" width="9.140625" style="13"/>
    <col min="7425" max="7425" width="24.140625" style="13" customWidth="1"/>
    <col min="7426" max="7426" width="29.85546875" style="13" customWidth="1"/>
    <col min="7427" max="7427" width="28.140625" style="13" customWidth="1"/>
    <col min="7428" max="7428" width="27" style="13" customWidth="1"/>
    <col min="7429" max="7429" width="30.5703125" style="13" customWidth="1"/>
    <col min="7430" max="7430" width="1.7109375" style="13" customWidth="1"/>
    <col min="7431" max="7680" width="9.140625" style="13"/>
    <col min="7681" max="7681" width="24.140625" style="13" customWidth="1"/>
    <col min="7682" max="7682" width="29.85546875" style="13" customWidth="1"/>
    <col min="7683" max="7683" width="28.140625" style="13" customWidth="1"/>
    <col min="7684" max="7684" width="27" style="13" customWidth="1"/>
    <col min="7685" max="7685" width="30.5703125" style="13" customWidth="1"/>
    <col min="7686" max="7686" width="1.7109375" style="13" customWidth="1"/>
    <col min="7687" max="7936" width="9.140625" style="13"/>
    <col min="7937" max="7937" width="24.140625" style="13" customWidth="1"/>
    <col min="7938" max="7938" width="29.85546875" style="13" customWidth="1"/>
    <col min="7939" max="7939" width="28.140625" style="13" customWidth="1"/>
    <col min="7940" max="7940" width="27" style="13" customWidth="1"/>
    <col min="7941" max="7941" width="30.5703125" style="13" customWidth="1"/>
    <col min="7942" max="7942" width="1.7109375" style="13" customWidth="1"/>
    <col min="7943" max="8192" width="9.140625" style="13"/>
    <col min="8193" max="8193" width="24.140625" style="13" customWidth="1"/>
    <col min="8194" max="8194" width="29.85546875" style="13" customWidth="1"/>
    <col min="8195" max="8195" width="28.140625" style="13" customWidth="1"/>
    <col min="8196" max="8196" width="27" style="13" customWidth="1"/>
    <col min="8197" max="8197" width="30.5703125" style="13" customWidth="1"/>
    <col min="8198" max="8198" width="1.7109375" style="13" customWidth="1"/>
    <col min="8199" max="8448" width="9.140625" style="13"/>
    <col min="8449" max="8449" width="24.140625" style="13" customWidth="1"/>
    <col min="8450" max="8450" width="29.85546875" style="13" customWidth="1"/>
    <col min="8451" max="8451" width="28.140625" style="13" customWidth="1"/>
    <col min="8452" max="8452" width="27" style="13" customWidth="1"/>
    <col min="8453" max="8453" width="30.5703125" style="13" customWidth="1"/>
    <col min="8454" max="8454" width="1.7109375" style="13" customWidth="1"/>
    <col min="8455" max="8704" width="9.140625" style="13"/>
    <col min="8705" max="8705" width="24.140625" style="13" customWidth="1"/>
    <col min="8706" max="8706" width="29.85546875" style="13" customWidth="1"/>
    <col min="8707" max="8707" width="28.140625" style="13" customWidth="1"/>
    <col min="8708" max="8708" width="27" style="13" customWidth="1"/>
    <col min="8709" max="8709" width="30.5703125" style="13" customWidth="1"/>
    <col min="8710" max="8710" width="1.7109375" style="13" customWidth="1"/>
    <col min="8711" max="8960" width="9.140625" style="13"/>
    <col min="8961" max="8961" width="24.140625" style="13" customWidth="1"/>
    <col min="8962" max="8962" width="29.85546875" style="13" customWidth="1"/>
    <col min="8963" max="8963" width="28.140625" style="13" customWidth="1"/>
    <col min="8964" max="8964" width="27" style="13" customWidth="1"/>
    <col min="8965" max="8965" width="30.5703125" style="13" customWidth="1"/>
    <col min="8966" max="8966" width="1.7109375" style="13" customWidth="1"/>
    <col min="8967" max="9216" width="9.140625" style="13"/>
    <col min="9217" max="9217" width="24.140625" style="13" customWidth="1"/>
    <col min="9218" max="9218" width="29.85546875" style="13" customWidth="1"/>
    <col min="9219" max="9219" width="28.140625" style="13" customWidth="1"/>
    <col min="9220" max="9220" width="27" style="13" customWidth="1"/>
    <col min="9221" max="9221" width="30.5703125" style="13" customWidth="1"/>
    <col min="9222" max="9222" width="1.7109375" style="13" customWidth="1"/>
    <col min="9223" max="9472" width="9.140625" style="13"/>
    <col min="9473" max="9473" width="24.140625" style="13" customWidth="1"/>
    <col min="9474" max="9474" width="29.85546875" style="13" customWidth="1"/>
    <col min="9475" max="9475" width="28.140625" style="13" customWidth="1"/>
    <col min="9476" max="9476" width="27" style="13" customWidth="1"/>
    <col min="9477" max="9477" width="30.5703125" style="13" customWidth="1"/>
    <col min="9478" max="9478" width="1.7109375" style="13" customWidth="1"/>
    <col min="9479" max="9728" width="9.140625" style="13"/>
    <col min="9729" max="9729" width="24.140625" style="13" customWidth="1"/>
    <col min="9730" max="9730" width="29.85546875" style="13" customWidth="1"/>
    <col min="9731" max="9731" width="28.140625" style="13" customWidth="1"/>
    <col min="9732" max="9732" width="27" style="13" customWidth="1"/>
    <col min="9733" max="9733" width="30.5703125" style="13" customWidth="1"/>
    <col min="9734" max="9734" width="1.7109375" style="13" customWidth="1"/>
    <col min="9735" max="9984" width="9.140625" style="13"/>
    <col min="9985" max="9985" width="24.140625" style="13" customWidth="1"/>
    <col min="9986" max="9986" width="29.85546875" style="13" customWidth="1"/>
    <col min="9987" max="9987" width="28.140625" style="13" customWidth="1"/>
    <col min="9988" max="9988" width="27" style="13" customWidth="1"/>
    <col min="9989" max="9989" width="30.5703125" style="13" customWidth="1"/>
    <col min="9990" max="9990" width="1.7109375" style="13" customWidth="1"/>
    <col min="9991" max="10240" width="9.140625" style="13"/>
    <col min="10241" max="10241" width="24.140625" style="13" customWidth="1"/>
    <col min="10242" max="10242" width="29.85546875" style="13" customWidth="1"/>
    <col min="10243" max="10243" width="28.140625" style="13" customWidth="1"/>
    <col min="10244" max="10244" width="27" style="13" customWidth="1"/>
    <col min="10245" max="10245" width="30.5703125" style="13" customWidth="1"/>
    <col min="10246" max="10246" width="1.7109375" style="13" customWidth="1"/>
    <col min="10247" max="10496" width="9.140625" style="13"/>
    <col min="10497" max="10497" width="24.140625" style="13" customWidth="1"/>
    <col min="10498" max="10498" width="29.85546875" style="13" customWidth="1"/>
    <col min="10499" max="10499" width="28.140625" style="13" customWidth="1"/>
    <col min="10500" max="10500" width="27" style="13" customWidth="1"/>
    <col min="10501" max="10501" width="30.5703125" style="13" customWidth="1"/>
    <col min="10502" max="10502" width="1.7109375" style="13" customWidth="1"/>
    <col min="10503" max="10752" width="9.140625" style="13"/>
    <col min="10753" max="10753" width="24.140625" style="13" customWidth="1"/>
    <col min="10754" max="10754" width="29.85546875" style="13" customWidth="1"/>
    <col min="10755" max="10755" width="28.140625" style="13" customWidth="1"/>
    <col min="10756" max="10756" width="27" style="13" customWidth="1"/>
    <col min="10757" max="10757" width="30.5703125" style="13" customWidth="1"/>
    <col min="10758" max="10758" width="1.7109375" style="13" customWidth="1"/>
    <col min="10759" max="11008" width="9.140625" style="13"/>
    <col min="11009" max="11009" width="24.140625" style="13" customWidth="1"/>
    <col min="11010" max="11010" width="29.85546875" style="13" customWidth="1"/>
    <col min="11011" max="11011" width="28.140625" style="13" customWidth="1"/>
    <col min="11012" max="11012" width="27" style="13" customWidth="1"/>
    <col min="11013" max="11013" width="30.5703125" style="13" customWidth="1"/>
    <col min="11014" max="11014" width="1.7109375" style="13" customWidth="1"/>
    <col min="11015" max="11264" width="9.140625" style="13"/>
    <col min="11265" max="11265" width="24.140625" style="13" customWidth="1"/>
    <col min="11266" max="11266" width="29.85546875" style="13" customWidth="1"/>
    <col min="11267" max="11267" width="28.140625" style="13" customWidth="1"/>
    <col min="11268" max="11268" width="27" style="13" customWidth="1"/>
    <col min="11269" max="11269" width="30.5703125" style="13" customWidth="1"/>
    <col min="11270" max="11270" width="1.7109375" style="13" customWidth="1"/>
    <col min="11271" max="11520" width="9.140625" style="13"/>
    <col min="11521" max="11521" width="24.140625" style="13" customWidth="1"/>
    <col min="11522" max="11522" width="29.85546875" style="13" customWidth="1"/>
    <col min="11523" max="11523" width="28.140625" style="13" customWidth="1"/>
    <col min="11524" max="11524" width="27" style="13" customWidth="1"/>
    <col min="11525" max="11525" width="30.5703125" style="13" customWidth="1"/>
    <col min="11526" max="11526" width="1.7109375" style="13" customWidth="1"/>
    <col min="11527" max="11776" width="9.140625" style="13"/>
    <col min="11777" max="11777" width="24.140625" style="13" customWidth="1"/>
    <col min="11778" max="11778" width="29.85546875" style="13" customWidth="1"/>
    <col min="11779" max="11779" width="28.140625" style="13" customWidth="1"/>
    <col min="11780" max="11780" width="27" style="13" customWidth="1"/>
    <col min="11781" max="11781" width="30.5703125" style="13" customWidth="1"/>
    <col min="11782" max="11782" width="1.7109375" style="13" customWidth="1"/>
    <col min="11783" max="12032" width="9.140625" style="13"/>
    <col min="12033" max="12033" width="24.140625" style="13" customWidth="1"/>
    <col min="12034" max="12034" width="29.85546875" style="13" customWidth="1"/>
    <col min="12035" max="12035" width="28.140625" style="13" customWidth="1"/>
    <col min="12036" max="12036" width="27" style="13" customWidth="1"/>
    <col min="12037" max="12037" width="30.5703125" style="13" customWidth="1"/>
    <col min="12038" max="12038" width="1.7109375" style="13" customWidth="1"/>
    <col min="12039" max="12288" width="9.140625" style="13"/>
    <col min="12289" max="12289" width="24.140625" style="13" customWidth="1"/>
    <col min="12290" max="12290" width="29.85546875" style="13" customWidth="1"/>
    <col min="12291" max="12291" width="28.140625" style="13" customWidth="1"/>
    <col min="12292" max="12292" width="27" style="13" customWidth="1"/>
    <col min="12293" max="12293" width="30.5703125" style="13" customWidth="1"/>
    <col min="12294" max="12294" width="1.7109375" style="13" customWidth="1"/>
    <col min="12295" max="12544" width="9.140625" style="13"/>
    <col min="12545" max="12545" width="24.140625" style="13" customWidth="1"/>
    <col min="12546" max="12546" width="29.85546875" style="13" customWidth="1"/>
    <col min="12547" max="12547" width="28.140625" style="13" customWidth="1"/>
    <col min="12548" max="12548" width="27" style="13" customWidth="1"/>
    <col min="12549" max="12549" width="30.5703125" style="13" customWidth="1"/>
    <col min="12550" max="12550" width="1.7109375" style="13" customWidth="1"/>
    <col min="12551" max="12800" width="9.140625" style="13"/>
    <col min="12801" max="12801" width="24.140625" style="13" customWidth="1"/>
    <col min="12802" max="12802" width="29.85546875" style="13" customWidth="1"/>
    <col min="12803" max="12803" width="28.140625" style="13" customWidth="1"/>
    <col min="12804" max="12804" width="27" style="13" customWidth="1"/>
    <col min="12805" max="12805" width="30.5703125" style="13" customWidth="1"/>
    <col min="12806" max="12806" width="1.7109375" style="13" customWidth="1"/>
    <col min="12807" max="13056" width="9.140625" style="13"/>
    <col min="13057" max="13057" width="24.140625" style="13" customWidth="1"/>
    <col min="13058" max="13058" width="29.85546875" style="13" customWidth="1"/>
    <col min="13059" max="13059" width="28.140625" style="13" customWidth="1"/>
    <col min="13060" max="13060" width="27" style="13" customWidth="1"/>
    <col min="13061" max="13061" width="30.5703125" style="13" customWidth="1"/>
    <col min="13062" max="13062" width="1.7109375" style="13" customWidth="1"/>
    <col min="13063" max="13312" width="9.140625" style="13"/>
    <col min="13313" max="13313" width="24.140625" style="13" customWidth="1"/>
    <col min="13314" max="13314" width="29.85546875" style="13" customWidth="1"/>
    <col min="13315" max="13315" width="28.140625" style="13" customWidth="1"/>
    <col min="13316" max="13316" width="27" style="13" customWidth="1"/>
    <col min="13317" max="13317" width="30.5703125" style="13" customWidth="1"/>
    <col min="13318" max="13318" width="1.7109375" style="13" customWidth="1"/>
    <col min="13319" max="13568" width="9.140625" style="13"/>
    <col min="13569" max="13569" width="24.140625" style="13" customWidth="1"/>
    <col min="13570" max="13570" width="29.85546875" style="13" customWidth="1"/>
    <col min="13571" max="13571" width="28.140625" style="13" customWidth="1"/>
    <col min="13572" max="13572" width="27" style="13" customWidth="1"/>
    <col min="13573" max="13573" width="30.5703125" style="13" customWidth="1"/>
    <col min="13574" max="13574" width="1.7109375" style="13" customWidth="1"/>
    <col min="13575" max="13824" width="9.140625" style="13"/>
    <col min="13825" max="13825" width="24.140625" style="13" customWidth="1"/>
    <col min="13826" max="13826" width="29.85546875" style="13" customWidth="1"/>
    <col min="13827" max="13827" width="28.140625" style="13" customWidth="1"/>
    <col min="13828" max="13828" width="27" style="13" customWidth="1"/>
    <col min="13829" max="13829" width="30.5703125" style="13" customWidth="1"/>
    <col min="13830" max="13830" width="1.7109375" style="13" customWidth="1"/>
    <col min="13831" max="14080" width="9.140625" style="13"/>
    <col min="14081" max="14081" width="24.140625" style="13" customWidth="1"/>
    <col min="14082" max="14082" width="29.85546875" style="13" customWidth="1"/>
    <col min="14083" max="14083" width="28.140625" style="13" customWidth="1"/>
    <col min="14084" max="14084" width="27" style="13" customWidth="1"/>
    <col min="14085" max="14085" width="30.5703125" style="13" customWidth="1"/>
    <col min="14086" max="14086" width="1.7109375" style="13" customWidth="1"/>
    <col min="14087" max="14336" width="9.140625" style="13"/>
    <col min="14337" max="14337" width="24.140625" style="13" customWidth="1"/>
    <col min="14338" max="14338" width="29.85546875" style="13" customWidth="1"/>
    <col min="14339" max="14339" width="28.140625" style="13" customWidth="1"/>
    <col min="14340" max="14340" width="27" style="13" customWidth="1"/>
    <col min="14341" max="14341" width="30.5703125" style="13" customWidth="1"/>
    <col min="14342" max="14342" width="1.7109375" style="13" customWidth="1"/>
    <col min="14343" max="14592" width="9.140625" style="13"/>
    <col min="14593" max="14593" width="24.140625" style="13" customWidth="1"/>
    <col min="14594" max="14594" width="29.85546875" style="13" customWidth="1"/>
    <col min="14595" max="14595" width="28.140625" style="13" customWidth="1"/>
    <col min="14596" max="14596" width="27" style="13" customWidth="1"/>
    <col min="14597" max="14597" width="30.5703125" style="13" customWidth="1"/>
    <col min="14598" max="14598" width="1.7109375" style="13" customWidth="1"/>
    <col min="14599" max="14848" width="9.140625" style="13"/>
    <col min="14849" max="14849" width="24.140625" style="13" customWidth="1"/>
    <col min="14850" max="14850" width="29.85546875" style="13" customWidth="1"/>
    <col min="14851" max="14851" width="28.140625" style="13" customWidth="1"/>
    <col min="14852" max="14852" width="27" style="13" customWidth="1"/>
    <col min="14853" max="14853" width="30.5703125" style="13" customWidth="1"/>
    <col min="14854" max="14854" width="1.7109375" style="13" customWidth="1"/>
    <col min="14855" max="15104" width="9.140625" style="13"/>
    <col min="15105" max="15105" width="24.140625" style="13" customWidth="1"/>
    <col min="15106" max="15106" width="29.85546875" style="13" customWidth="1"/>
    <col min="15107" max="15107" width="28.140625" style="13" customWidth="1"/>
    <col min="15108" max="15108" width="27" style="13" customWidth="1"/>
    <col min="15109" max="15109" width="30.5703125" style="13" customWidth="1"/>
    <col min="15110" max="15110" width="1.7109375" style="13" customWidth="1"/>
    <col min="15111" max="15360" width="9.140625" style="13"/>
    <col min="15361" max="15361" width="24.140625" style="13" customWidth="1"/>
    <col min="15362" max="15362" width="29.85546875" style="13" customWidth="1"/>
    <col min="15363" max="15363" width="28.140625" style="13" customWidth="1"/>
    <col min="15364" max="15364" width="27" style="13" customWidth="1"/>
    <col min="15365" max="15365" width="30.5703125" style="13" customWidth="1"/>
    <col min="15366" max="15366" width="1.7109375" style="13" customWidth="1"/>
    <col min="15367" max="15616" width="9.140625" style="13"/>
    <col min="15617" max="15617" width="24.140625" style="13" customWidth="1"/>
    <col min="15618" max="15618" width="29.85546875" style="13" customWidth="1"/>
    <col min="15619" max="15619" width="28.140625" style="13" customWidth="1"/>
    <col min="15620" max="15620" width="27" style="13" customWidth="1"/>
    <col min="15621" max="15621" width="30.5703125" style="13" customWidth="1"/>
    <col min="15622" max="15622" width="1.7109375" style="13" customWidth="1"/>
    <col min="15623" max="15872" width="9.140625" style="13"/>
    <col min="15873" max="15873" width="24.140625" style="13" customWidth="1"/>
    <col min="15874" max="15874" width="29.85546875" style="13" customWidth="1"/>
    <col min="15875" max="15875" width="28.140625" style="13" customWidth="1"/>
    <col min="15876" max="15876" width="27" style="13" customWidth="1"/>
    <col min="15877" max="15877" width="30.5703125" style="13" customWidth="1"/>
    <col min="15878" max="15878" width="1.7109375" style="13" customWidth="1"/>
    <col min="15879" max="16128" width="9.140625" style="13"/>
    <col min="16129" max="16129" width="24.140625" style="13" customWidth="1"/>
    <col min="16130" max="16130" width="29.85546875" style="13" customWidth="1"/>
    <col min="16131" max="16131" width="28.140625" style="13" customWidth="1"/>
    <col min="16132" max="16132" width="27" style="13" customWidth="1"/>
    <col min="16133" max="16133" width="30.5703125" style="13" customWidth="1"/>
    <col min="16134" max="16134" width="1.7109375" style="13" customWidth="1"/>
    <col min="16135" max="16384" width="9.140625" style="13"/>
  </cols>
  <sheetData>
    <row r="1" spans="1:9" s="2" customFormat="1" ht="21" customHeight="1" x14ac:dyDescent="0.3">
      <c r="A1" s="160" t="s">
        <v>4</v>
      </c>
      <c r="B1" s="160"/>
      <c r="C1" s="162" t="str">
        <f>Copertina!B8</f>
        <v>MEV 2025_48 PNRR Scheda Intervento Evolutive di SIES v1.0</v>
      </c>
      <c r="D1" s="162"/>
      <c r="E1" s="162"/>
      <c r="F1" s="8"/>
      <c r="G1" s="9"/>
      <c r="H1" s="1"/>
    </row>
    <row r="2" spans="1:9" s="2" customFormat="1" ht="20.25" customHeight="1" thickBot="1" x14ac:dyDescent="0.35">
      <c r="A2" s="161" t="s">
        <v>11</v>
      </c>
      <c r="B2" s="161"/>
      <c r="C2" s="163" t="str">
        <f>Copertina!B4</f>
        <v>B6437AAAEB-2025-48_PNRR_Allegato_al_Piano_dei_Test_Evolutive_di_SIES_v1.0.xlsx</v>
      </c>
      <c r="D2" s="163"/>
      <c r="E2" s="163"/>
      <c r="F2" s="10"/>
      <c r="G2" s="11"/>
      <c r="H2" s="3"/>
    </row>
    <row r="3" spans="1:9" s="12" customFormat="1" ht="27" customHeight="1" thickBot="1" x14ac:dyDescent="0.3">
      <c r="A3" s="172" t="s">
        <v>19</v>
      </c>
      <c r="B3" s="173"/>
      <c r="C3" s="173"/>
      <c r="D3" s="173"/>
      <c r="E3" s="174"/>
      <c r="G3" s="175" t="s">
        <v>20</v>
      </c>
      <c r="H3" s="176"/>
      <c r="I3" s="177"/>
    </row>
    <row r="4" spans="1:9" ht="23.25" customHeight="1" thickBot="1" x14ac:dyDescent="0.25">
      <c r="A4" s="184" t="s">
        <v>21</v>
      </c>
      <c r="B4" s="185" t="s">
        <v>22</v>
      </c>
      <c r="C4" s="186"/>
      <c r="D4" s="186"/>
      <c r="E4" s="187"/>
      <c r="G4" s="178"/>
      <c r="H4" s="179"/>
      <c r="I4" s="180"/>
    </row>
    <row r="5" spans="1:9" ht="26.25" customHeight="1" thickBot="1" x14ac:dyDescent="0.25">
      <c r="A5" s="168"/>
      <c r="B5" s="14">
        <v>1</v>
      </c>
      <c r="C5" s="14">
        <v>2</v>
      </c>
      <c r="D5" s="14">
        <v>3</v>
      </c>
      <c r="E5" s="15">
        <v>4</v>
      </c>
      <c r="G5" s="178"/>
      <c r="H5" s="179"/>
      <c r="I5" s="180"/>
    </row>
    <row r="6" spans="1:9" ht="15.75" thickBot="1" x14ac:dyDescent="0.25">
      <c r="A6" s="16" t="s">
        <v>23</v>
      </c>
      <c r="B6" s="17">
        <f>COUNTIFS(TabellaTest!$H$8:$H$332,1,TabellaTest!$I$8:$I$332,"A",TabellaTest!$J$8:$J$332,"KO")</f>
        <v>0</v>
      </c>
      <c r="C6" s="17">
        <f>COUNTIFS(TabellaTest!$H$8:$H$332,2,TabellaTest!$I$8:$I$332,"A",TabellaTest!$J$8:$J$332,"KO")</f>
        <v>0</v>
      </c>
      <c r="D6" s="17">
        <f>COUNTIFS(TabellaTest!$H$8:$H$332,3,TabellaTest!$I$8:$I$332,"A",TabellaTest!$J$8:$J$332,"KO")</f>
        <v>0</v>
      </c>
      <c r="E6" s="17">
        <f>COUNTIFS(TabellaTest!$H$8:$H$332,4,TabellaTest!$I$8:$I$332,"A",TabellaTest!$J$8:$J$332,"KO")</f>
        <v>0</v>
      </c>
      <c r="G6" s="178"/>
      <c r="H6" s="179"/>
      <c r="I6" s="180"/>
    </row>
    <row r="7" spans="1:9" ht="15.75" thickBot="1" x14ac:dyDescent="0.25">
      <c r="A7" s="18" t="s">
        <v>24</v>
      </c>
      <c r="B7" s="17">
        <f>COUNTIFS(TabellaTest!$H$8:$H$332,1,TabellaTest!$I$8:$I$332,"B",TabellaTest!$J$8:$J$332,"KO")</f>
        <v>0</v>
      </c>
      <c r="C7" s="17">
        <f>COUNTIFS(TabellaTest!$H$8:$H$332,2,TabellaTest!$I$8:$I$332,"B",TabellaTest!$J$8:$J$332,"KO")</f>
        <v>0</v>
      </c>
      <c r="D7" s="17">
        <f>COUNTIFS(TabellaTest!$H$8:$H$332,3,TabellaTest!$I$8:$I$332,"B",TabellaTest!$J$8:$J$332,"KO")</f>
        <v>0</v>
      </c>
      <c r="E7" s="17">
        <f>COUNTIFS(TabellaTest!$H$8:$H$332,4,TabellaTest!$I$8:$I$332,"B",TabellaTest!$J$8:$J$332,"KO")</f>
        <v>0</v>
      </c>
      <c r="G7" s="178"/>
      <c r="H7" s="179"/>
      <c r="I7" s="180"/>
    </row>
    <row r="8" spans="1:9" ht="15.75" thickBot="1" x14ac:dyDescent="0.25">
      <c r="A8" s="19" t="s">
        <v>25</v>
      </c>
      <c r="B8" s="17">
        <f>COUNTIFS(TabellaTest!$H$8:$H$332,1,TabellaTest!$I$8:$I$332,"C",TabellaTest!$J$8:$J$332,"KO")</f>
        <v>0</v>
      </c>
      <c r="C8" s="17">
        <f>COUNTIFS(TabellaTest!$H$8:$H$332,2,TabellaTest!$I$8:$I$332,"C",TabellaTest!$J$8:$J$332,"KO")</f>
        <v>0</v>
      </c>
      <c r="D8" s="17">
        <f>COUNTIFS(TabellaTest!$H$8:$H$332,3,TabellaTest!$I$8:$I$332,"C",TabellaTest!$J$8:$J$332,"KO")</f>
        <v>0</v>
      </c>
      <c r="E8" s="17">
        <f>COUNTIFS(TabellaTest!$H$8:$H$332,4,TabellaTest!$I$8:$I$332,"C",TabellaTest!$J$8:$J$332,"KO")</f>
        <v>0</v>
      </c>
      <c r="G8" s="181"/>
      <c r="H8" s="182"/>
      <c r="I8" s="183"/>
    </row>
    <row r="9" spans="1:9" ht="13.9" x14ac:dyDescent="0.3">
      <c r="G9" s="20"/>
      <c r="H9" s="20"/>
      <c r="I9" s="20"/>
    </row>
    <row r="12" spans="1:9" ht="10.5" customHeight="1" thickBot="1" x14ac:dyDescent="0.35"/>
    <row r="13" spans="1:9" ht="14.45" hidden="1" thickBot="1" x14ac:dyDescent="0.35"/>
    <row r="14" spans="1:9" s="12" customFormat="1" ht="28.5" customHeight="1" x14ac:dyDescent="0.25">
      <c r="A14" s="164" t="s">
        <v>26</v>
      </c>
      <c r="B14" s="165"/>
      <c r="C14" s="165"/>
      <c r="D14" s="165"/>
      <c r="E14" s="166"/>
    </row>
    <row r="15" spans="1:9" ht="15.75" thickBot="1" x14ac:dyDescent="0.25">
      <c r="A15" s="167" t="s">
        <v>21</v>
      </c>
      <c r="B15" s="169" t="s">
        <v>22</v>
      </c>
      <c r="C15" s="170"/>
      <c r="D15" s="170"/>
      <c r="E15" s="171"/>
    </row>
    <row r="16" spans="1:9" ht="15.75" thickBot="1" x14ac:dyDescent="0.25">
      <c r="A16" s="168"/>
      <c r="B16" s="21">
        <v>1</v>
      </c>
      <c r="C16" s="21">
        <v>2</v>
      </c>
      <c r="D16" s="21">
        <v>3</v>
      </c>
      <c r="E16" s="22">
        <v>4</v>
      </c>
    </row>
    <row r="17" spans="1:5" ht="15" thickBot="1" x14ac:dyDescent="0.35">
      <c r="A17" s="23" t="s">
        <v>23</v>
      </c>
      <c r="B17" s="24">
        <f>COUNTIFS(TabellaTest!$H$8:$H$332,1,TabellaTest!$I$8:$I$332,"A")</f>
        <v>0</v>
      </c>
      <c r="C17" s="24">
        <f>COUNTIFS(TabellaTest!$H$8:$H$332,2,TabellaTest!$I$8:$I$332,"A")</f>
        <v>0</v>
      </c>
      <c r="D17" s="24">
        <f>COUNTIFS(TabellaTest!$H$8:$H$332,3,TabellaTest!$I$8:$I$332,"A")</f>
        <v>0</v>
      </c>
      <c r="E17" s="24">
        <f>COUNTIFS(TabellaTest!$H$8:$H$332,4,TabellaTest!$I$8:$I$332,"A")</f>
        <v>0</v>
      </c>
    </row>
    <row r="18" spans="1:5" ht="15" thickBot="1" x14ac:dyDescent="0.35">
      <c r="A18" s="25" t="s">
        <v>24</v>
      </c>
      <c r="B18" s="24">
        <f>COUNTIFS(TabellaTest!$H$8:$H$332,1,TabellaTest!$I$8:$I$332,"B")</f>
        <v>0</v>
      </c>
      <c r="C18" s="24">
        <f>COUNTIFS(TabellaTest!$H$8:$H$332,2,TabellaTest!$I$8:$I$332,"B")</f>
        <v>15</v>
      </c>
      <c r="D18" s="24">
        <f>COUNTIFS(TabellaTest!$H$8:$H$332,3,TabellaTest!$I$8:$I$332,"B")</f>
        <v>0</v>
      </c>
      <c r="E18" s="24">
        <f>COUNTIFS(TabellaTest!$H$8:$H$332,4,TabellaTest!$I$8:$I$332,"B")</f>
        <v>0</v>
      </c>
    </row>
    <row r="19" spans="1:5" ht="15" thickBot="1" x14ac:dyDescent="0.35">
      <c r="A19" s="26" t="s">
        <v>25</v>
      </c>
      <c r="B19" s="24">
        <f>COUNTIFS(TabellaTest!$H$8:$H$332,1,TabellaTest!$I$8:$I$332,"C")</f>
        <v>0</v>
      </c>
      <c r="C19" s="24">
        <f>COUNTIFS(TabellaTest!$H$8:$H$332,2,TabellaTest!$I$8:$I$332,"C")</f>
        <v>0</v>
      </c>
      <c r="D19" s="24">
        <f>COUNTIFS(TabellaTest!$H$8:$H$332,3,TabellaTest!$I$8:$I$332,"C")</f>
        <v>12</v>
      </c>
      <c r="E19" s="24">
        <f>COUNTIFS(TabellaTest!$H$8:$H$332,4,TabellaTest!$I$8:$I$332,"C")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B1"/>
    <mergeCell ref="A2:B2"/>
    <mergeCell ref="C1:E1"/>
    <mergeCell ref="C2:E2"/>
    <mergeCell ref="A14:E1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661A27DDB5564DB260D886781D2EAA" ma:contentTypeVersion="11" ma:contentTypeDescription="Creare un nuovo documento." ma:contentTypeScope="" ma:versionID="18792330a02ec04c91ad73c241055c66">
  <xsd:schema xmlns:xsd="http://www.w3.org/2001/XMLSchema" xmlns:xs="http://www.w3.org/2001/XMLSchema" xmlns:p="http://schemas.microsoft.com/office/2006/metadata/properties" xmlns:ns2="75e085f0-8718-4866-8354-8788ce640d21" xmlns:ns3="f725a5e7-e092-40ab-9dcc-515fa0d4e97d" targetNamespace="http://schemas.microsoft.com/office/2006/metadata/properties" ma:root="true" ma:fieldsID="d7bf31fac48d061536d5445345bac2c5" ns2:_="" ns3:_="">
    <xsd:import namespace="75e085f0-8718-4866-8354-8788ce640d21"/>
    <xsd:import namespace="f725a5e7-e092-40ab-9dcc-515fa0d4e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085f0-8718-4866-8354-8788ce640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ag immagine" ma:readOnly="false" ma:fieldId="{5cf76f15-5ced-4ddc-b409-7134ff3c332f}" ma:taxonomyMulti="true" ma:sspId="b722dba8-3084-4906-8dc6-75cf80851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5a5e7-e092-40ab-9dcc-515fa0d4e97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943caba-b22c-4483-8ea5-f3a8d07f480f}" ma:internalName="TaxCatchAll" ma:showField="CatchAllData" ma:web="f725a5e7-e092-40ab-9dcc-515fa0d4e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085f0-8718-4866-8354-8788ce640d21">
      <Terms xmlns="http://schemas.microsoft.com/office/infopath/2007/PartnerControls"/>
    </lcf76f155ced4ddcb4097134ff3c332f>
    <TaxCatchAll xmlns="f725a5e7-e092-40ab-9dcc-515fa0d4e97d" xsi:nil="true"/>
  </documentManagement>
</p:properties>
</file>

<file path=customXml/itemProps1.xml><?xml version="1.0" encoding="utf-8"?>
<ds:datastoreItem xmlns:ds="http://schemas.openxmlformats.org/officeDocument/2006/customXml" ds:itemID="{5455A0B3-A4AD-4E08-9E6A-60A20509E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085f0-8718-4866-8354-8788ce640d21"/>
    <ds:schemaRef ds:uri="f725a5e7-e092-40ab-9dcc-515fa0d4e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A223A0-14F8-4CF7-B03D-5B8241C56AE5}">
  <ds:schemaRefs>
    <ds:schemaRef ds:uri="http://purl.org/dc/elements/1.1/"/>
    <ds:schemaRef ds:uri="http://schemas.microsoft.com/office/2006/metadata/properties"/>
    <ds:schemaRef ds:uri="a3ae56ea-36dd-4ec5-b67e-65253cb58edc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5f6d153-fdd9-4ea0-9d5e-dbae83f18a55"/>
    <ds:schemaRef ds:uri="http://www.w3.org/XML/1998/namespace"/>
    <ds:schemaRef ds:uri="75e085f0-8718-4866-8354-8788ce640d21"/>
    <ds:schemaRef ds:uri="f725a5e7-e092-40ab-9dcc-515fa0d4e9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3</vt:i4>
      </vt:variant>
    </vt:vector>
  </HeadingPairs>
  <TitlesOfParts>
    <vt:vector size="8" baseType="lpstr">
      <vt:lpstr>Copertina</vt:lpstr>
      <vt:lpstr>TabellaTest</vt:lpstr>
      <vt:lpstr>SpecificaTest</vt:lpstr>
      <vt:lpstr>VerificheConformità</vt:lpstr>
      <vt:lpstr>SogliaAccettazione</vt:lpstr>
      <vt:lpstr>TabellaTest!_Toc217052696</vt:lpstr>
      <vt:lpstr>TabellaTest!_Toc217052698</vt:lpstr>
      <vt:lpstr>VerificheConformità!Area_stampa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creator>Engineering</dc:creator>
  <cp:lastModifiedBy>Simone Gioggi</cp:lastModifiedBy>
  <cp:lastPrinted>2019-11-08T14:17:06Z</cp:lastPrinted>
  <dcterms:created xsi:type="dcterms:W3CDTF">2019-11-07T09:38:15Z</dcterms:created>
  <dcterms:modified xsi:type="dcterms:W3CDTF">2026-01-12T12:26:56Z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0x010100E8661A27DDB5564DB260D886781D2EAA</vt:lpwstr>
  </property>
</Properties>
</file>