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8715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1" i="3" l="1"/>
  <c r="D421" i="3"/>
  <c r="B421" i="3"/>
  <c r="A421" i="3"/>
  <c r="F511" i="3" l="1"/>
  <c r="D511" i="3"/>
  <c r="B511" i="3"/>
  <c r="A511" i="3"/>
  <c r="F502" i="3"/>
  <c r="D502" i="3"/>
  <c r="B502" i="3"/>
  <c r="A502" i="3"/>
  <c r="F493" i="3"/>
  <c r="D493" i="3"/>
  <c r="B493" i="3"/>
  <c r="A493" i="3"/>
  <c r="F484" i="3"/>
  <c r="D484" i="3"/>
  <c r="B484" i="3"/>
  <c r="A484" i="3"/>
  <c r="A475" i="3"/>
  <c r="F475" i="3"/>
  <c r="D475" i="3"/>
  <c r="B475" i="3"/>
  <c r="F468" i="3"/>
  <c r="D468" i="3"/>
  <c r="B468" i="3"/>
  <c r="A468" i="3"/>
  <c r="F461" i="3"/>
  <c r="D461" i="3"/>
  <c r="B461" i="3"/>
  <c r="A461" i="3"/>
  <c r="F454" i="3"/>
  <c r="D454" i="3"/>
  <c r="B454" i="3"/>
  <c r="A454" i="3"/>
  <c r="F448" i="3"/>
  <c r="D448" i="3"/>
  <c r="B448" i="3"/>
  <c r="A448" i="3"/>
  <c r="F441" i="3"/>
  <c r="D441" i="3"/>
  <c r="B441" i="3"/>
  <c r="A441" i="3"/>
  <c r="F434" i="3"/>
  <c r="D434" i="3"/>
  <c r="B434" i="3"/>
  <c r="A434" i="3"/>
  <c r="A408" i="3"/>
  <c r="F408" i="3"/>
  <c r="D408" i="3"/>
  <c r="B408" i="3"/>
  <c r="F395" i="3"/>
  <c r="D395" i="3"/>
  <c r="B395" i="3"/>
  <c r="A395" i="3"/>
  <c r="F382" i="3"/>
  <c r="D382" i="3"/>
  <c r="B382" i="3"/>
  <c r="A382" i="3"/>
  <c r="F522" i="3" l="1"/>
  <c r="D522" i="3"/>
  <c r="B522" i="3"/>
  <c r="A522" i="3"/>
  <c r="F369" i="3" l="1"/>
  <c r="D369" i="3"/>
  <c r="B369" i="3"/>
  <c r="A369" i="3"/>
  <c r="F356" i="3" l="1"/>
  <c r="D356" i="3"/>
  <c r="B356" i="3"/>
  <c r="A356" i="3"/>
  <c r="D159" i="3" l="1"/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<sst xmlns="http://schemas.openxmlformats.org/spreadsheetml/2006/main" count="2156" uniqueCount="488">
  <si>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</si>
  <si>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</si>
  <si>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</si>
  <si>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</si>
  <si>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</si>
  <si>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</si>
  <si>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</si>
  <si>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</si>
  <si>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</si>
  <si>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</si>
  <si>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</si>
  <si>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</si>
  <si>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</si>
  <si>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</si>
  <si>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</si>
  <si>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</si>
  <si>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</si>
  <si>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</si>
  <si>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</si>
  <si>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</si>
  <si>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</si>
  <si>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</si>
  <si>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</si>
  <si>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</si>
  <si>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</si>
  <si>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</si>
  <si>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</si>
  <si>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</si>
  <si>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</si>
  <si>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</si>
  <si>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</si>
  <si>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</si>
  <si>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</si>
  <si>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</si>
  <si>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</si>
  <si>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</si>
  <si>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</si>
  <si>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</si>
  <si>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</si>
  <si>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</si>
  <si>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</si>
  <si>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</si>
  <si>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</si>
  <si>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</si>
  <si>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</si>
  <si>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</si>
  <si>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</si>
  <si>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</si>
  <si>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</si>
  <si>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</si>
  <si>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</si>
  <si>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</si>
  <si>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</si>
  <si>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</si>
  <si>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</si>
  <si>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</si>
  <si>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</si>
  <si>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</si>
  <si>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</si>
  <si>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</si>
  <si>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</si>
  <si>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</si>
  <si>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</si>
  <si>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</si>
  <si>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</si>
  <si>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</si>
  <si>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</si>
  <si>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</si>
  <si>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</si>
  <si>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</si>
  <si>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</si>
  <si>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</si>
  <si>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</si>
  <si>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</si>
  <si>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</si>
  <si>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</si>
  <si>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</si>
  <si>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</si>
  <si>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</si>
  <si>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</si>
  <si>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</si>
  <si>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</si>
  <si>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</si>
  <si>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</si>
  <si>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</si>
  <si>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</si>
  <si>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</si>
  <si>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V</t>
  </si>
  <si>
    <t>Verifica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</si>
  <si>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</si>
  <si>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</si>
  <si>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</si>
  <si>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</si>
  <si>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</si>
  <si>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</si>
  <si>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</si>
  <si>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</si>
  <si>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</si>
  <si>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</si>
  <si>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</si>
  <si>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</si>
  <si>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</si>
  <si>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</si>
  <si>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</si>
  <si>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</si>
  <si>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</si>
  <si>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</si>
  <si>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</si>
  <si>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</si>
  <si>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</si>
  <si>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</si>
  <si>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</si>
  <si>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</si>
  <si>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</si>
  <si>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</si>
  <si>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</si>
  <si>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</si>
  <si>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</si>
  <si>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</si>
  <si>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</si>
  <si>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</si>
  <si>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</si>
  <si>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</si>
  <si>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</si>
  <si>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r>
      <t xml:space="preserve">Visualizazzione pagina </t>
    </r>
    <r>
      <rPr>
        <b/>
        <sz val="10"/>
        <rFont val="Calibri"/>
        <family val="2"/>
        <scheme val="minor"/>
      </rPr>
      <t>Ricerca Difensore</t>
    </r>
    <r>
      <rPr>
        <sz val="10"/>
        <rFont val="Calibri"/>
        <family val="2"/>
        <scheme val="minor"/>
      </rPr>
      <t xml:space="preserve"> </t>
    </r>
  </si>
  <si>
    <r>
      <t xml:space="preserve">Cliccare su </t>
    </r>
    <r>
      <rPr>
        <b/>
        <sz val="10"/>
        <rFont val="Calibri"/>
        <family val="2"/>
        <scheme val="minor"/>
      </rPr>
      <t>Ricerca</t>
    </r>
  </si>
  <si>
    <t>Verificare che nella colonna azioni non sia presente l'icona di Modifica</t>
  </si>
  <si>
    <r>
      <t xml:space="preserve">Visualizzazione pagina 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</si>
  <si>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Inserimento Difensore </t>
    </r>
  </si>
  <si>
    <r>
      <t xml:space="preserve">Selezionare dalla combo delle fuzionalità </t>
    </r>
    <r>
      <rPr>
        <b/>
        <sz val="10"/>
        <rFont val="Calibri"/>
        <family val="2"/>
        <scheme val="minor"/>
      </rPr>
      <t>Assegnazione Difensore</t>
    </r>
  </si>
  <si>
    <t>Verificare che tutti i campi siano non digitabili e che sia presente il link Seleziona da RegInde</t>
  </si>
  <si>
    <t>Visualizzazione popup per la ricerca dell'avvocato</t>
  </si>
  <si>
    <r>
      <t xml:space="preserve">Cliccare su link </t>
    </r>
    <r>
      <rPr>
        <b/>
        <sz val="10"/>
        <rFont val="Calibri"/>
        <family val="2"/>
        <scheme val="minor"/>
      </rPr>
      <t>Seleziona da RegInde</t>
    </r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</si>
  <si>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</si>
  <si>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</si>
  <si>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</si>
  <si>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r>
      <t>Ricercare un procedimento in stato</t>
    </r>
    <r>
      <rPr>
        <b/>
        <sz val="10"/>
        <rFont val="Calibri"/>
        <family val="2"/>
        <scheme val="minor"/>
      </rPr>
      <t xml:space="preserve"> Iscritto</t>
    </r>
  </si>
  <si>
    <t>Validare il procedimento dopo aver inserito tutte le informazioni propedeutiche alla validazione</t>
  </si>
  <si>
    <t xml:space="preserve">Ordini di Esecuzione/Scarcerazione » Ordine di Esecuzione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</si>
  <si>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Ordine di Esecuzione </t>
    </r>
  </si>
  <si>
    <t>Verificare che nella form visualizzata nella sezione Destinatario per notifica abbia Inità Destinazione UNEP associata al comune di Aversa</t>
  </si>
  <si>
    <t xml:space="preserve">Ordinanze » Emissione Ordinanza </t>
  </si>
  <si>
    <r>
      <rPr>
        <sz val="10"/>
        <rFont val="Calibri"/>
        <family val="2"/>
        <scheme val="minor"/>
      </rPr>
      <t>Inserire i dati obbligatori e</t>
    </r>
    <r>
      <rPr>
        <b/>
        <sz val="10"/>
        <rFont val="Calibri"/>
        <family val="2"/>
        <scheme val="minor"/>
      </rPr>
      <t xml:space="preserve"> Confermare</t>
    </r>
  </si>
  <si>
    <t>Inserire gli estremi di un procedimento SIUS su cui emettere l'ordinanza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</si>
  <si>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</t>
    </r>
  </si>
  <si>
    <r>
      <t>Cliccare sul link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</si>
  <si>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Emissione Ordinanza </t>
    </r>
  </si>
  <si>
    <r>
      <rPr>
        <sz val="10"/>
        <rFont val="Calibri"/>
        <family val="2"/>
        <scheme val="minor"/>
      </rPr>
      <t>Nella form inserire i dati obbligatori e</t>
    </r>
    <r>
      <rPr>
        <b/>
        <sz val="10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</si>
  <si>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0"/>
        <rFont val="Calibri"/>
        <family val="2"/>
        <scheme val="minor"/>
      </rPr>
      <t>Dettaglio Ordinanza</t>
    </r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</si>
  <si>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</si>
  <si>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</si>
  <si>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</si>
  <si>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</si>
  <si>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</si>
  <si>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Decreto </t>
    </r>
  </si>
  <si>
    <t>Inserire gli estremi di un procedimento SIUS su cui emettere il decreto</t>
  </si>
  <si>
    <r>
      <t xml:space="preserve">Se non è presente nessun difensore viene visualizzata la pagina di </t>
    </r>
    <r>
      <rPr>
        <b/>
        <sz val="10"/>
        <rFont val="Calibri"/>
        <family val="2"/>
        <scheme val="minor"/>
      </rPr>
      <t xml:space="preserve">Inserimento Difensore </t>
    </r>
    <r>
      <rPr>
        <sz val="10"/>
        <rFont val="Calibri"/>
        <family val="2"/>
        <scheme val="minor"/>
      </rPr>
      <t xml:space="preserve">altrimenti viene visualizzata la pagina di </t>
    </r>
    <r>
      <rPr>
        <b/>
        <sz val="10"/>
        <rFont val="Calibri"/>
        <family val="2"/>
        <scheme val="minor"/>
      </rPr>
      <t>Assegnazione Difensore</t>
    </r>
  </si>
  <si>
    <r>
      <t xml:space="preserve">Visualizzazione pagina  </t>
    </r>
    <r>
      <rPr>
        <b/>
        <sz val="10"/>
        <rFont val="Calibri"/>
        <family val="2"/>
        <scheme val="minor"/>
      </rPr>
      <t>Inserimento Difensore</t>
    </r>
  </si>
  <si>
    <t>Selezionare il difensore dall'elenco</t>
  </si>
  <si>
    <r>
      <t xml:space="preserve">Inserire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</si>
  <si>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Avvocato</t>
    </r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</si>
  <si>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</si>
  <si>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</si>
  <si>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</si>
  <si>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Decreto Latitanza </t>
    </r>
  </si>
  <si>
    <t>cliccare sull'apposito  pulsante per ritornare al dettaglio procedimento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</si>
  <si>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Reginde presenti in SIES</t>
    </r>
  </si>
  <si>
    <r>
      <t xml:space="preserve">Verificare che non sia presente il pulsante </t>
    </r>
    <r>
      <rPr>
        <b/>
        <sz val="10"/>
        <rFont val="Calibri"/>
        <family val="2"/>
        <scheme val="minor"/>
      </rPr>
      <t>Inserimento</t>
    </r>
  </si>
  <si>
    <r>
      <t>Visualizzazione pagina</t>
    </r>
    <r>
      <rPr>
        <b/>
        <sz val="10"/>
        <rFont val="Calibri"/>
        <family val="2"/>
        <scheme val="minor"/>
      </rPr>
      <t xml:space="preserve"> Elenco Avvocati  </t>
    </r>
  </si>
  <si>
    <t>Ricercare un difensore dopo aver selezionato il foro di appartenenza</t>
  </si>
  <si>
    <t>Verificare che l'avvocato selezionato da reginde sia stato associato correttamente</t>
  </si>
  <si>
    <r>
      <t>Cliccare su</t>
    </r>
    <r>
      <rPr>
        <b/>
        <sz val="10"/>
        <rFont val="Calibri"/>
        <family val="2"/>
        <scheme val="minor"/>
      </rPr>
      <t xml:space="preserve"> OK</t>
    </r>
  </si>
  <si>
    <r>
      <t xml:space="preserve">Visualizzazione popup </t>
    </r>
    <r>
      <rPr>
        <b/>
        <sz val="10"/>
        <rFont val="Calibri"/>
        <family val="2"/>
        <scheme val="minor"/>
      </rPr>
      <t>Elenco Avvocati Reginde</t>
    </r>
    <r>
      <rPr>
        <sz val="10"/>
        <rFont val="Calibri"/>
        <family val="2"/>
        <scheme val="minor"/>
      </rPr>
      <t xml:space="preserve"> in cui è presente il pulsante  </t>
    </r>
    <r>
      <rPr>
        <b/>
        <sz val="10"/>
        <rFont val="Calibri"/>
        <family val="2"/>
        <scheme val="minor"/>
      </rPr>
      <t>Ricerca su Sies</t>
    </r>
  </si>
  <si>
    <t>Verificare che la ricerca abbia estratto gli avvocati certificati RegInde presentiin Sies</t>
  </si>
  <si>
    <t>R1</t>
  </si>
  <si>
    <t>Riciclo Test</t>
  </si>
  <si>
    <t>Il difensore ricercato non è presente su Sies</t>
  </si>
  <si>
    <r>
      <t xml:space="preserve">Cliccare su </t>
    </r>
    <r>
      <rPr>
        <b/>
        <sz val="10"/>
        <rFont val="Calibri"/>
        <family val="2"/>
        <scheme val="minor"/>
      </rPr>
      <t>OK</t>
    </r>
  </si>
  <si>
    <r>
      <t>Visualizzazione pagina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</si>
  <si>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Inserire i dati anagrafici del difensore 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</si>
  <si>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</si>
  <si>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</si>
  <si>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 xml:space="preserve"> Ricerche e Visualizzazioni » Procedimento per n° SIUS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</si>
  <si>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 </t>
    </r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</si>
  <si>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</si>
  <si>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</si>
  <si>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</si>
  <si>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SIGE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</si>
  <si>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SIUS</t>
    </r>
  </si>
  <si>
    <r>
      <t xml:space="preserve">Se è già presente almeno un difensore viene visualizzata la pagina 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 xml:space="preserve"> altrimenti viene visualizzata la pagina </t>
    </r>
    <r>
      <rPr>
        <b/>
        <sz val="10"/>
        <rFont val="Calibri"/>
        <family val="2"/>
        <scheme val="minor"/>
      </rPr>
      <t>Inserimento Difensore</t>
    </r>
    <r>
      <rPr>
        <sz val="10"/>
        <rFont val="Calibri"/>
        <family val="2"/>
        <scheme val="minor"/>
      </rPr>
      <t xml:space="preserve"> (in questo ultimo caso saltare lo step 4)</t>
    </r>
  </si>
  <si>
    <t xml:space="preserve"> Ricerche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</si>
  <si>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Ricerche</t>
    </r>
  </si>
  <si>
    <r>
      <rPr>
        <sz val="10"/>
        <rFont val="Calibri"/>
        <family val="2"/>
        <scheme val="minor"/>
      </rPr>
      <t xml:space="preserve">Cliccare su </t>
    </r>
    <r>
      <rPr>
        <b/>
        <sz val="10"/>
        <rFont val="Calibri"/>
        <family val="2"/>
        <scheme val="minor"/>
      </rPr>
      <t>Procedimento</t>
    </r>
  </si>
  <si>
    <r>
      <t xml:space="preserve">Visualizzazione pagina </t>
    </r>
    <r>
      <rPr>
        <b/>
        <sz val="10"/>
        <rFont val="Calibri"/>
        <family val="2"/>
        <scheme val="minor"/>
      </rPr>
      <t>Ricerca Procedimento</t>
    </r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</si>
  <si>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</si>
  <si>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</si>
  <si>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</si>
  <si>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</si>
  <si>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</si>
  <si>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</si>
  <si>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</si>
  <si>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</si>
  <si>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TF005.UC01</t>
  </si>
  <si>
    <t>Verifica gestione omonimie in Inserimento Soggetto SIEP</t>
  </si>
  <si>
    <t>Iscrizione&gt;&gt;Soggetto</t>
  </si>
  <si>
    <t>Verificare che venga visualizzato il messaggio che segnala la presenza di comuni omonini e che bisogna selezionare il comune dalla Lista</t>
  </si>
  <si>
    <r>
      <t>Ritorno a Visualizazzione pagina di</t>
    </r>
    <r>
      <rPr>
        <b/>
        <sz val="10"/>
        <rFont val="Calibri"/>
        <family val="2"/>
        <scheme val="minor"/>
      </rPr>
      <t xml:space="preserve"> Inserimento Soggetto</t>
    </r>
    <r>
      <rPr>
        <sz val="10"/>
        <rFont val="Calibri"/>
        <family val="2"/>
        <scheme val="minor"/>
      </rPr>
      <t>, compilata</t>
    </r>
  </si>
  <si>
    <r>
      <t xml:space="preserve">nel campo </t>
    </r>
    <r>
      <rPr>
        <b/>
        <sz val="10"/>
        <rFont val="Calibri"/>
        <family val="2"/>
        <scheme val="minor"/>
      </rPr>
      <t>Filtra I Comuni per</t>
    </r>
    <r>
      <rPr>
        <sz val="10"/>
        <rFont val="Calibri"/>
        <family val="2"/>
        <scheme val="minor"/>
      </rPr>
      <t xml:space="preserve"> digitare il Comune di interesse e cliccare su Filtra</t>
    </r>
  </si>
  <si>
    <t>nell'Elenco cliccare accanto al Comune di Interesse</t>
  </si>
  <si>
    <r>
      <t>Cliccare sull'icona (</t>
    </r>
    <r>
      <rPr>
        <b/>
        <sz val="10"/>
        <rFont val="Calibri"/>
        <family val="2"/>
        <scheme val="minor"/>
      </rPr>
      <t>Lista Comuni</t>
    </r>
    <r>
      <rPr>
        <sz val="10"/>
        <rFont val="Calibri"/>
        <family val="2"/>
        <scheme val="minor"/>
      </rPr>
      <t>), presente accanto al campo Comune Nascita</t>
    </r>
  </si>
  <si>
    <r>
      <t xml:space="preserve">Visualizazzione Popup </t>
    </r>
    <r>
      <rPr>
        <b/>
        <sz val="10"/>
        <rFont val="Calibri"/>
        <family val="2"/>
        <scheme val="minor"/>
      </rPr>
      <t>Elenco Storico dei Comuni ...</t>
    </r>
  </si>
  <si>
    <r>
      <t>Visualizzazione</t>
    </r>
    <r>
      <rPr>
        <b/>
        <sz val="10"/>
        <rFont val="Calibri"/>
        <family val="2"/>
        <scheme val="minor"/>
      </rPr>
      <t xml:space="preserve"> Elenco dei Comuni con la denominazione digitata,</t>
    </r>
    <r>
      <rPr>
        <sz val="10"/>
        <rFont val="Calibri"/>
        <family val="2"/>
        <scheme val="minor"/>
      </rPr>
      <t xml:space="preserve"> con Provincia appartenenza e Data Fine Validità</t>
    </r>
  </si>
  <si>
    <r>
      <t xml:space="preserve">nella form di Inserimento Soggetto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</si>
  <si>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Soggetto</t>
    </r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</si>
  <si>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</si>
  <si>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</si>
  <si>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</si>
  <si>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</si>
  <si>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</si>
  <si>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r>
      <t xml:space="preserve">Visualizzazione pagina  </t>
    </r>
    <r>
      <rPr>
        <b/>
        <sz val="10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</si>
  <si>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</si>
  <si>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</si>
  <si>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>Ritorno a Visualizazzione pagina di</t>
    </r>
    <r>
      <rPr>
        <b/>
        <sz val="10"/>
        <rFont val="Calibri"/>
        <family val="2"/>
        <scheme val="minor"/>
      </rPr>
      <t xml:space="preserve"> Modifica Soggetto</t>
    </r>
    <r>
      <rPr>
        <sz val="10"/>
        <rFont val="Calibri"/>
        <family val="2"/>
        <scheme val="minor"/>
      </rPr>
      <t>, compilata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</si>
  <si>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</si>
  <si>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I</t>
    </r>
    <r>
      <rPr>
        <b/>
        <sz val="10"/>
        <rFont val="Calibri"/>
        <family val="2"/>
        <scheme val="minor"/>
      </rPr>
      <t>nserimento</t>
    </r>
  </si>
  <si>
    <r>
      <t xml:space="preserve">nella form di Modifica Soggetto cliccare su </t>
    </r>
    <r>
      <rPr>
        <b/>
        <sz val="10"/>
        <rFont val="Calibri"/>
        <family val="2"/>
        <scheme val="minor"/>
      </rPr>
      <t>Conferma</t>
    </r>
  </si>
  <si>
    <t>Verificare che i dati visualizzati siano uguali a quelli immessi nella form di Modifica, in particolare che il Comune di Nascita e la relativa Provincia siano uguali a quelli selezionati nella Popup</t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</si>
  <si>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</t>
    </r>
    <r>
      <rPr>
        <b/>
        <sz val="10"/>
        <rFont val="Calibri"/>
        <family val="2"/>
        <scheme val="minor"/>
      </rPr>
      <t>Inserimento</t>
    </r>
  </si>
  <si>
    <t>UC04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</si>
  <si>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Assegnazione Difensore </t>
    </r>
  </si>
  <si>
    <t>Ricercare un procedimento  non archiviato su cui sia già presente almeno un difensore</t>
  </si>
  <si>
    <r>
      <t xml:space="preserve">Cliccare sul radio-button presente accanto a un difensore e cliccare su </t>
    </r>
    <r>
      <rPr>
        <b/>
        <sz val="10"/>
        <rFont val="Calibri"/>
        <family val="2"/>
        <scheme val="minor"/>
      </rPr>
      <t xml:space="preserve">Sostituzione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</si>
  <si>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Sostituzione Difensore </t>
    </r>
  </si>
  <si>
    <t>Ricercare un difensore presente su reginde inserendo almeno  il cognome ed il foro di appartenenza o tutti i fori</t>
  </si>
  <si>
    <r>
      <t xml:space="preserve">Visualizzazione pagina  </t>
    </r>
    <r>
      <rPr>
        <b/>
        <sz val="10"/>
        <rFont val="Calibri"/>
        <family val="2"/>
        <scheme val="minor"/>
      </rPr>
      <t>Sostituzione Difensore</t>
    </r>
  </si>
  <si>
    <t>UC05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</si>
  <si>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</si>
  <si>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</si>
  <si>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</si>
  <si>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UC07</t>
  </si>
  <si>
    <t>Ricercare un difensore non presente su reginde inserendo le iniziali del cognome ed il foro di appartenenza o tutti i fori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</si>
  <si>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</si>
  <si>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</si>
  <si>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</si>
  <si>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</si>
  <si>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</si>
  <si>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</si>
  <si>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</si>
  <si>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</si>
  <si>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Verifica: verificare che nel sottosistema SIEP la sostituzionedi un avvocato avvenga tramite accesso a RegInde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</si>
  <si>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</si>
  <si>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</si>
  <si>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</si>
  <si>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</si>
  <si>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</si>
  <si>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</si>
  <si>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</si>
  <si>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r>
      <t xml:space="preserve">Selezionare dall'elenco provvedimenti sul link  </t>
    </r>
    <r>
      <rPr>
        <b/>
        <sz val="10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</si>
  <si>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</si>
  <si>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Inserimento Parte Civile</t>
    </r>
  </si>
  <si>
    <r>
      <t>Procedere all'I</t>
    </r>
    <r>
      <rPr>
        <b/>
        <sz val="10"/>
        <rFont val="Calibri"/>
        <family val="2"/>
        <scheme val="minor"/>
      </rPr>
      <t>nserimento della Parte</t>
    </r>
    <r>
      <rPr>
        <sz val="10"/>
        <rFont val="Calibri"/>
        <family val="2"/>
        <scheme val="minor"/>
      </rPr>
      <t xml:space="preserve"> o 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</si>
  <si>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 xml:space="preserve">Visualizzazione pagina </t>
    </r>
    <r>
      <rPr>
        <b/>
        <sz val="10"/>
        <rFont val="Calibri"/>
        <family val="2"/>
        <scheme val="minor"/>
      </rPr>
      <t>Inserimento Difensore Parte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Modifica Difensore e Convocazione Parte</t>
    </r>
  </si>
  <si>
    <r>
      <t>Cliccare sul link Gestione  Difensore</t>
    </r>
    <r>
      <rPr>
        <b/>
        <sz val="10"/>
        <rFont val="Calibri"/>
        <family val="2"/>
        <scheme val="minor"/>
      </rPr>
      <t xml:space="preserve"> </t>
    </r>
  </si>
  <si>
    <t>Ricercare un difensore  presente su reginde inserendo  il  cognome ed il foro di appartenenza o tutti i fori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</si>
  <si>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 presenti in Reginde</t>
    </r>
  </si>
  <si>
    <r>
      <t>Visualizzazione</t>
    </r>
    <r>
      <rPr>
        <b/>
        <sz val="10"/>
        <rFont val="Calibri"/>
        <family val="2"/>
        <scheme val="minor"/>
      </rPr>
      <t xml:space="preserve"> Elenco Difensori certificati  presenti in Reginde</t>
    </r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</si>
  <si>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</si>
  <si>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</si>
  <si>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</si>
  <si>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</si>
  <si>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</si>
  <si>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r>
      <t xml:space="preserve">Selezionare dal Dettaglio Fissazione Udienza sul link  </t>
    </r>
    <r>
      <rPr>
        <b/>
        <sz val="10"/>
        <rFont val="Calibri"/>
        <family val="2"/>
        <scheme val="minor"/>
      </rPr>
      <t>Gestione Parti Civili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</si>
  <si>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>,</t>
    </r>
  </si>
  <si>
    <t>Ricercare lo stesso  procedimento  del test precedente</t>
  </si>
  <si>
    <r>
      <t xml:space="preserve">selezionare l'icona </t>
    </r>
    <r>
      <rPr>
        <b/>
        <sz val="10"/>
        <rFont val="Calibri"/>
        <family val="2"/>
        <scheme val="minor"/>
      </rPr>
      <t>Modifica Difensore e Convocazione Parte</t>
    </r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</si>
  <si>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</si>
  <si>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</si>
  <si>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</si>
  <si>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</si>
  <si>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</si>
  <si>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</si>
  <si>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</si>
  <si>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</si>
  <si>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</si>
  <si>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</si>
  <si>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</si>
  <si>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</si>
  <si>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</si>
  <si>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</si>
  <si>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</si>
  <si>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</si>
  <si>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</si>
  <si>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</si>
  <si>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</si>
  <si>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</si>
  <si>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</si>
  <si>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r>
      <t xml:space="preserve">Selezionare dal menu verticale la voce </t>
    </r>
    <r>
      <rPr>
        <b/>
        <sz val="10"/>
        <rFont val="Calibri"/>
        <family val="2"/>
        <scheme val="minor"/>
      </rPr>
      <t>Istanze</t>
    </r>
  </si>
  <si>
    <r>
      <t xml:space="preserve">Visualizzazione pagina </t>
    </r>
    <r>
      <rPr>
        <b/>
        <sz val="10"/>
        <rFont val="Calibri"/>
        <family val="2"/>
        <scheme val="minor"/>
      </rPr>
      <t>Menu Istanze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</si>
  <si>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</t>
    </r>
  </si>
  <si>
    <r>
      <t xml:space="preserve">Visualizzazione pagina </t>
    </r>
    <r>
      <rPr>
        <b/>
        <sz val="10"/>
        <rFont val="Calibri"/>
        <family val="2"/>
        <scheme val="minor"/>
      </rPr>
      <t>Menu Iscrizione Istanza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</si>
  <si>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 per procedimento SIEP</t>
    </r>
  </si>
  <si>
    <r>
      <t xml:space="preserve">Visualizzazione  pagina </t>
    </r>
    <r>
      <rPr>
        <b/>
        <sz val="10"/>
        <rFont val="Calibri"/>
        <family val="2"/>
        <scheme val="minor"/>
      </rPr>
      <t xml:space="preserve"> Iscrizione Istanza per procedimento SIEP</t>
    </r>
  </si>
  <si>
    <r>
      <t xml:space="preserve">Visualizzazione pagina  </t>
    </r>
    <r>
      <rPr>
        <b/>
        <sz val="10"/>
        <rFont val="Calibri"/>
        <family val="2"/>
        <scheme val="minor"/>
      </rPr>
      <t>Iscrizione Istanza</t>
    </r>
    <r>
      <rPr>
        <sz val="10"/>
        <rFont val="Calibri"/>
        <family val="2"/>
        <scheme val="minor"/>
      </rPr>
      <t xml:space="preserve"> con i campi della sezione dedicata all'avvocato valorizzati</t>
    </r>
  </si>
  <si>
    <t>Compilare i campi della form obbligatori e confermare</t>
  </si>
  <si>
    <r>
      <t xml:space="preserve">Visualizzazione pagina </t>
    </r>
    <r>
      <rPr>
        <b/>
        <sz val="10"/>
        <rFont val="Calibri"/>
        <family val="2"/>
        <scheme val="minor"/>
      </rPr>
      <t>Dettaglio Istanza</t>
    </r>
  </si>
  <si>
    <t>Verificare che l'avvocato selezionato da reginde sia stato associato correttamente alla istanza</t>
  </si>
  <si>
    <t>L'utente si trova nella pagina principale dell'applicazione. Il servizio RegInde non è disponibile. 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</si>
  <si>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L'utente si trova nella pagina principale dell'applicazione. Il servizio RegInde non è disponibile.Per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</si>
  <si>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REQ- SIE-021-05</t>
  </si>
  <si>
    <t>L'utente si trova nella pagina principale dell'applicazione</t>
  </si>
  <si>
    <t>REQ- SIE-021-06</t>
  </si>
  <si>
    <t>TF006.UC01</t>
  </si>
  <si>
    <t>Verifica scambio informativo SIES-NSC per le nuove Nazioni</t>
  </si>
  <si>
    <t>L'utente si trova nella HomePage dell'applicazione</t>
  </si>
  <si>
    <t>Iscrizione » Soggetto</t>
  </si>
  <si>
    <r>
      <t>Visualizzazione pagina "</t>
    </r>
    <r>
      <rPr>
        <b/>
        <sz val="10"/>
        <rFont val="Calibri"/>
        <family val="2"/>
        <scheme val="minor"/>
      </rPr>
      <t>Inserimento Soggetto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</si>
  <si>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Conferma"</t>
    </r>
  </si>
  <si>
    <t>Stato di Nascita deve essere KOSOVO</t>
  </si>
  <si>
    <r>
      <t>Visualizzazione pagina "</t>
    </r>
    <r>
      <rPr>
        <b/>
        <sz val="10"/>
        <rFont val="Calibri"/>
        <family val="2"/>
        <scheme val="minor"/>
      </rPr>
      <t>Dettaglio Soggetto</t>
    </r>
    <r>
      <rPr>
        <sz val="10"/>
        <rFont val="Calibri"/>
        <family val="2"/>
        <scheme val="minor"/>
      </rPr>
      <t>"</t>
    </r>
  </si>
  <si>
    <t>Proseguire con l'iscrizione della sentenza e con l'assegnazione del Numero Siep (Classe I)</t>
  </si>
  <si>
    <r>
      <t>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</si>
  <si>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r>
      <t>Cliccare sull'icona di "</t>
    </r>
    <r>
      <rPr>
        <b/>
        <sz val="10"/>
        <rFont val="Calibri"/>
        <family val="2"/>
        <scheme val="minor"/>
      </rPr>
      <t>Trasferimento Provvedimento da Sies a Nsc</t>
    </r>
    <r>
      <rPr>
        <sz val="10"/>
        <rFont val="Calibri"/>
        <family val="2"/>
        <scheme val="minor"/>
      </rPr>
      <t>"</t>
    </r>
  </si>
  <si>
    <t>Istruttorie/Richieste » Richiesta Certificato Penale</t>
  </si>
  <si>
    <r>
      <t>Visualizzazione pagina "</t>
    </r>
    <r>
      <rPr>
        <b/>
        <sz val="10"/>
        <rFont val="Calibri"/>
        <family val="2"/>
        <scheme val="minor"/>
      </rPr>
      <t>Richiesta Certificato Penale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</si>
  <si>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Richiesta Certificato</t>
    </r>
    <r>
      <rPr>
        <sz val="10"/>
        <rFont val="Calibri"/>
        <family val="2"/>
        <scheme val="minor"/>
      </rPr>
      <t>"</t>
    </r>
  </si>
  <si>
    <t>Verificare che il trasferimento di soggetto e provvedimento provvisorio vada a buon fine e non restituisca errore</t>
  </si>
  <si>
    <r>
      <t>Verificare che la richiesta del certificato vada a buon fine e non restituisca l'errore "</t>
    </r>
    <r>
      <rPr>
        <b/>
        <sz val="10"/>
        <rFont val="Calibri"/>
        <family val="2"/>
        <scheme val="minor"/>
      </rPr>
      <t>CODICE STATO NASCITA NON UNIVOCO</t>
    </r>
    <r>
      <rPr>
        <sz val="10"/>
        <rFont val="Calibri"/>
        <family val="2"/>
        <scheme val="minor"/>
      </rPr>
      <t>"</t>
    </r>
  </si>
  <si>
    <t>TF006.UC02</t>
  </si>
  <si>
    <t>Verifica sostituzione anagrafica avvocato tramite RegInde in SIEP</t>
  </si>
  <si>
    <t>Verifica sostituzione anagrafica avvocato tramite RegInde in SIUS</t>
  </si>
  <si>
    <r>
      <t xml:space="preserve">Visualizzazione  pagina </t>
    </r>
    <r>
      <rPr>
        <b/>
        <sz val="10"/>
        <rFont val="Calibri"/>
        <family val="2"/>
        <scheme val="minor"/>
      </rPr>
      <t>Modifica Difensore e Convocazione Parte</t>
    </r>
  </si>
  <si>
    <r>
      <t>Verificare che la richiesta del certificato vada a buon fine e non restituisca l'errore "</t>
    </r>
    <r>
      <rPr>
        <b/>
        <sz val="10"/>
        <rFont val="Calibri"/>
        <family val="2"/>
        <scheme val="minor"/>
      </rPr>
      <t>CODICE LUOGO NASCITA NON UNIVOCO</t>
    </r>
    <r>
      <rPr>
        <sz val="10"/>
        <rFont val="Calibri"/>
        <family val="2"/>
        <scheme val="minor"/>
      </rPr>
      <t>"</t>
    </r>
  </si>
  <si>
    <t>Stato di Nascita deve essere ITALIA
Comune di Nascita deve essere BORGOMEZZAVALLE</t>
  </si>
  <si>
    <t>SIUT-SIE-PT-1.0-20210730-Piano_dei_Test_021_RegInde_SIES.pdf</t>
  </si>
  <si>
    <t>REQ- SIE-021-07</t>
  </si>
  <si>
    <t>TF007.UC01</t>
  </si>
  <si>
    <t>Verifica congruenza dati estratti in SIUS-Avvocati</t>
  </si>
  <si>
    <t xml:space="preserve">L'utente effettua l'accesso al sistema SIUS-Avvocati col proprio codice fiscale </t>
  </si>
  <si>
    <t>XXXXXXXXXXXXXXXX (Codice Fiscale Avvocato)</t>
  </si>
  <si>
    <t>dati soggetto</t>
  </si>
  <si>
    <r>
      <t>Visualizzazione pagina "</t>
    </r>
    <r>
      <rPr>
        <b/>
        <sz val="10"/>
        <rFont val="Calibri"/>
        <family val="2"/>
        <scheme val="minor"/>
      </rPr>
      <t>Soggetti - Ricerca Soggetti con Procedimenti di Sorveglianza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</si>
  <si>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Cerca"</t>
    </r>
  </si>
  <si>
    <r>
      <t>Visualizzazione pagina "</t>
    </r>
    <r>
      <rPr>
        <b/>
        <sz val="10"/>
        <rFont val="Calibri"/>
        <family val="2"/>
        <scheme val="minor"/>
      </rPr>
      <t>Soggetti - Elenco Soggetti con Procedimenti</t>
    </r>
    <r>
      <rPr>
        <sz val="10"/>
        <rFont val="Calibri"/>
        <family val="2"/>
        <scheme val="minor"/>
      </rPr>
      <t>"</t>
    </r>
  </si>
  <si>
    <t>Effettuare la procedura di bonifica</t>
  </si>
  <si>
    <t>Appuntarsi i campi di ricerca inseriti</t>
  </si>
  <si>
    <t>Effettuare la stessa ricerca dello step 2</t>
  </si>
  <si>
    <t>Verificare il risultato della ricerca</t>
  </si>
  <si>
    <t>Appuntarsi il risultato della ricerca</t>
  </si>
  <si>
    <t>Verificare che il risultato della ricerca sia lo stesso di quello ottenuto nello step di Verifica precedente</t>
  </si>
  <si>
    <t>1.4</t>
  </si>
  <si>
    <t>TF006.UC03</t>
  </si>
  <si>
    <t>TF006.UC05</t>
  </si>
  <si>
    <t>TF006.UC04</t>
  </si>
  <si>
    <t>Verifica scambio informativo SIES-NSC per i nuovi Comuni</t>
  </si>
  <si>
    <t>Verifica scambio informativo SIES-NSC per le Nazioni già esistenti</t>
  </si>
  <si>
    <t>Verifica scambio informativo SIES-NSC per i Comuni già esistenti</t>
  </si>
  <si>
    <t>Verifica scambio informativo SIES-NSC per i Comuni non esistenti, inseriti e poi cessati</t>
  </si>
  <si>
    <t>Stato di Nascita deve essere ITALIA
Comune di Nascita deve essere ROMA</t>
  </si>
  <si>
    <t>Stato di Nascita deve essere ITALIA
Comune di Nascita deve essere ABANO</t>
  </si>
  <si>
    <r>
      <t>Verificare che la richiesta del certificato restituisca l'errore "</t>
    </r>
    <r>
      <rPr>
        <b/>
        <sz val="10"/>
        <rFont val="Calibri"/>
        <family val="2"/>
        <scheme val="minor"/>
      </rPr>
      <t>CODICE LUOGO NASCITA NON UNIVOCO</t>
    </r>
    <r>
      <rPr>
        <sz val="10"/>
        <rFont val="Calibri"/>
        <family val="2"/>
        <scheme val="minor"/>
      </rPr>
      <t>"</t>
    </r>
  </si>
  <si>
    <t>Ricercare un Procedimento SIUS in cui è presente un avvocato non certificato su RegInde</t>
  </si>
  <si>
    <t>Ricercare un Procedimento in cui è presente un avvocato non certificato su RegInde</t>
  </si>
  <si>
    <t>Ricercare un Procedimento SIGE in cui è presente un avvocato non certificato su RegInde</t>
  </si>
  <si>
    <t>REQ- SIE-021-08</t>
  </si>
  <si>
    <t>TF008.UC01</t>
  </si>
  <si>
    <t>Verifica avvocato certificato</t>
  </si>
  <si>
    <t>Verifica avvocato NON certificato</t>
  </si>
  <si>
    <t>TF007.UC02</t>
  </si>
  <si>
    <t>Ricercare un procedimento su cui sia già presente almeno un difensore</t>
  </si>
  <si>
    <r>
      <t>Visualizzazione pagina "</t>
    </r>
    <r>
      <rPr>
        <b/>
        <sz val="10"/>
        <rFont val="Calibri"/>
        <family val="2"/>
        <scheme val="minor"/>
      </rPr>
      <t>Elenco Difensori</t>
    </r>
    <r>
      <rPr>
        <sz val="10"/>
        <rFont val="Calibri"/>
        <family val="2"/>
        <scheme val="minor"/>
      </rPr>
      <t>"</t>
    </r>
  </si>
  <si>
    <r>
      <t>Selezionare dalla combo delle fuzionalità "</t>
    </r>
    <r>
      <rPr>
        <b/>
        <sz val="10"/>
        <rFont val="Calibri"/>
        <family val="2"/>
        <scheme val="minor"/>
      </rPr>
      <t>Elenco Difensori</t>
    </r>
    <r>
      <rPr>
        <sz val="10"/>
        <rFont val="Calibri"/>
        <family val="2"/>
        <scheme val="minor"/>
      </rPr>
      <t>"</t>
    </r>
  </si>
  <si>
    <t>Attenzione!! L'anagrafica dell'Avvocato "COGNOME NOME" non risulta certificata su RegInde. Prima di procedere con l'emissione di nuovi provvedimenti è necessario provvedere ad aggiornare i dati dell'Avvocato utilizzando le opportune funzioni.</t>
  </si>
  <si>
    <t>TF007.UC03</t>
  </si>
  <si>
    <t>Verifica pendenza fascicolo e stato certificazione avvocato</t>
  </si>
  <si>
    <t>TF007.UC06</t>
  </si>
  <si>
    <t>TF007.UC05</t>
  </si>
  <si>
    <t>TF007.UC04</t>
  </si>
  <si>
    <t>Verifica pendenza fascicolo e certificazione avvocato</t>
  </si>
  <si>
    <t>SELECT *
  FROM XBA_VERIF_AVV_FAS_SIEP
 where COD_TIPO_UFFICIO = 'PM'
   AND DESCRIZIONE = 'descrizione sede PM'</t>
  </si>
  <si>
    <t>SELECT *
  FROM XBA_VERIF_AVV_FAS_SIGE
 where COD_TIPO_UFFICIO = 'CAP'
   AND DESCRIZIONE = 'descrizione sede CAP'</t>
  </si>
  <si>
    <t>Kxxxxx (Corte d'Appello)</t>
  </si>
  <si>
    <t>L'utente effettua l'accesso al sistema SIGE come Corte d'Appello</t>
  </si>
  <si>
    <r>
      <t>Selezionare dalla combo delle fuzionalità "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>"</t>
    </r>
  </si>
  <si>
    <r>
      <t>Visualizzazione pagina "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>"</t>
    </r>
  </si>
  <si>
    <t>Verifica aggiornamento campo nel database</t>
  </si>
  <si>
    <t>TF007.UC07</t>
  </si>
  <si>
    <t>TF007.UC08</t>
  </si>
  <si>
    <t>TF007.UC09</t>
  </si>
  <si>
    <t>TF007.UC10</t>
  </si>
  <si>
    <t>Verifica: Verificare che su SIEP il tasto "Inserimento Difensore" e "Modifica Difensore" siano oscurati</t>
  </si>
  <si>
    <t>Verifica: Verificare che su SIUS il tasto "Inserimento Difensore" e "Modifica Difensore" siano oscurati</t>
  </si>
  <si>
    <t>Verifica: Verificare che su SIGE il tasto "Inserimento Difensore" e "Modifica Difensore" siano oscurati</t>
  </si>
  <si>
    <t>Verifica: Verificare che su SIEP sia gestita l'omonimia per i Comuni che abbiano più occorrenze nella tabella COMUNE</t>
  </si>
  <si>
    <t>Verifica: Verificare che su SIES sia garantito lo scambio informativo con NSC anche per le nuove Nazioni</t>
  </si>
  <si>
    <t>Verifica: Verificare che su SIES sia garantito lo scambio informativo con NSC anche per i nuovi Comuni</t>
  </si>
  <si>
    <t>Verifica: Verificare che su SIES sia garantito lo scambio informativo con NSC anche per le Nazioni già esistenti</t>
  </si>
  <si>
    <t>Verifica: Verificare che su SIES sia garantito lo scambio informativo con NSC anche per i Comuni già esistenti</t>
  </si>
  <si>
    <t>Verifica: Verificare che su SIES sia garantito lo scambio informativo con NSC anche per i Comuni non esistenti, inseriti e poi cessati</t>
  </si>
  <si>
    <t>Verifica: Verificare che su SIES, dopo la bonifica, l'avvocato del fascicolo risulti certificato</t>
  </si>
  <si>
    <t>Verifica: Verificare che su SIES, dopo la bonifica, ci sia un avviso che attesti che l'avvocato del fascicolo NON è certificato</t>
  </si>
  <si>
    <t>Verifica: Verificare su SIES, se il fascicolo è pendente e lo stato di certificazione dell'avvocato</t>
  </si>
  <si>
    <t>Verifica: Verificare su SIES, il corretto aggiornamento del campo ‘avv_id_avvocato’ dei procedimenti SIEP pendenti</t>
  </si>
  <si>
    <t>Verifica: Verificare su SIES, il corretto aggiornamento del campo ‘avv_id_avvocato’ dei procedimenti SIGE pendenti</t>
  </si>
  <si>
    <t>Verifica: Verificare su SIES, il corretto aggiornamento del campo ‘avv_id_avvocato’ dei procedimenti SIUS pendenti</t>
  </si>
  <si>
    <t>Verifica: Verificare il corretto aggiornamento del campo ‘avv_id_avvocato’ dei records "AVVISI_AVVOCATO"</t>
  </si>
  <si>
    <t>Verifica: Verificare il corretto aggiornamento del campo ‘avv_id_avvocato’ dei records "PARTI_UDIENZA_DIFENSORE"</t>
  </si>
  <si>
    <t>Verifica: Verificare il corretto aggiornamento del campo ‘avv_id_avvocato’ dei records "STORICO_AVVOCATO"</t>
  </si>
  <si>
    <t>Verifica: Verificare che su SIUS-Avvocati la stessa ricerca fatta da un avvocato prima della bonifica restituisca gli stessi risultati dopo la bonifica</t>
  </si>
  <si>
    <t>REQ- SIE-021-09</t>
  </si>
  <si>
    <t>TF009.UC01</t>
  </si>
  <si>
    <t>Verifica iscrizione soggetto</t>
  </si>
  <si>
    <t>Verifica: Verificare che al momento dell’iscrizione in SIES di un nuovo soggetto, insieme al valore del 'COD_COMUNE' viene riportato anche il valore di 'COD_SEDE_GIUDIZIARIA'</t>
  </si>
  <si>
    <t>SELECT *
  FROM XBA_VERIF_AVV_FAS_SIUS
 where COD_TIPO_UFFICIO = 'TDS'
   AND DESCRIZIONE = 'descrizione sede TDS'</t>
  </si>
  <si>
    <t>Collegarsi al database</t>
  </si>
  <si>
    <t>Utenza e password del Distretto</t>
  </si>
  <si>
    <t>Se visualizzata la pagina Assegnazione Difensore con i relativi bottoni è possibile Deassegnare , Sostituire o Assegnare un Difensore Si procede con l'Assegnazione di un Difensore cliccando sul relativo pulsante</t>
  </si>
  <si>
    <t>Se visualizzata la pagina Assegnazione Difensore con i relativi bottoni è possibile Deassegnare , Sostituire o Assegnare un Difensore; si procede con l'Assegnazione di un Difensore cliccando sul relativo pulsante</t>
  </si>
  <si>
    <t xml:space="preserve">Visualizzazione messaggio in cui si dice che non è presente il collegamento su RegInde ma è possibile effettuare la ricerca su Sies </t>
  </si>
  <si>
    <r>
      <t xml:space="preserve">Ricercare un difensore inserendo almeno due caratteri per il cognome ed il foro di appartenenza; cliccare su </t>
    </r>
    <r>
      <rPr>
        <b/>
        <sz val="10"/>
        <rFont val="Calibri"/>
        <family val="2"/>
        <scheme val="minor"/>
      </rPr>
      <t>Cerca su Sies</t>
    </r>
  </si>
  <si>
    <t>Visualizzazione messaggio in cui si dice che non è stato trovato nessun difensore su Sies e se si vuole procedere con l'inserimento di un difensore non certificato RegInde</t>
  </si>
  <si>
    <t>Verificare che nella pagina di Dettaglio del procedimento SIUS siano evidenziati in giallo (blinkante) il Cognome, Nome ed il Tipo</t>
  </si>
  <si>
    <t>Tramite i relativi bottoni è possibile Deassegnare , Sostituire o Assegnare un Difensore; si procede con l'Assegnazione di un Difensore cliccando sul relativo pulsante</t>
  </si>
  <si>
    <t>Verificare che nella pagina di Dettaglio del procedimento siano evidenziati in giallo (blinkante) il Cognome, Nome ed il Foro di Appartenenza</t>
  </si>
  <si>
    <t>Ricercare un difensore inserendo almeno due caratteri per il cognome ed il foro di appartenenza; cliccare su Cerca su Sies</t>
  </si>
  <si>
    <t>Il difensore ricercato non è presente su Sies; per simulare tale condizione digitare nel campo cognome la stringa 'XYZW'</t>
  </si>
  <si>
    <t>Verificare che nella pagina di Dettaglio del procedimento SIGE siano evidenziati in giallo (blinkante) il Cognome, Nome ed il Foro di appartenenza</t>
  </si>
  <si>
    <t xml:space="preserve">Visualizzazione messaggio in cui si dice che non è presentel alcun difensore su RegInde ma è possibile effettuare la ricerca su Sies </t>
  </si>
  <si>
    <t>L'utente si trova nella pagina principale dell'applicazione; il servizio RegInde non è disponibile</t>
  </si>
  <si>
    <t>L'utente ha avuto accesso al database</t>
  </si>
  <si>
    <t>Eseguire la seguente query</t>
  </si>
  <si>
    <t>SELECT * FROM XBA_VERIF_AVVISI_AVVOCATO</t>
  </si>
  <si>
    <t>Dall'elenco ottenuto selezionare a campione alcuni records, per ciascuno annotarsi il valore (NNNNNNN) della colonna 'ID_AVVISO'</t>
  </si>
  <si>
    <t>SELECT a.ID_AVVOCATO, COD_FISCALE, COGNOME, NOME, FORO, FLAG_REGINDE
  FROM AVVOCATO a, AVVISI_AVVOCATO aa
 WHERE ID_AVVISO = NNNNNNN
   AND a.ID_AVVOCATO = aa.ID_AVVOCATO</t>
  </si>
  <si>
    <t>Visualizza i dati anagrafici principali dell’avvocato, collegato all’avviso ed aggiornato a seguito della bonifica</t>
  </si>
  <si>
    <t>Verificare che FLAG_REGINDE = ‘SI’</t>
  </si>
  <si>
    <t>SELECT a.ID_AVVOCATO, COD_FISCALE, COGNOME, NOME, FORO, FLAG_REGINDE
  FROM AVVOCATO a, AVVISI_AVVOCATO_SXBA aa
 WHERE ID_AVVISO = NNNNNNN
   AND a.ID_AVVOCATO = aa.ID_AVVOCATO</t>
  </si>
  <si>
    <t>Visualizza i dati anagrafici principali dell’avvocato, collegato all’avviso prima della bonifica</t>
  </si>
  <si>
    <t>SELECT * FROM XBA_VERIF_PARTI_UDIENZA_DIF</t>
  </si>
  <si>
    <t>Dall'elenco ottenuto selezionare a campione alcuni records, per ciascuno annotarsi il valore (NNNNNNN) della colonna 'ID_AVVOCATO_PARTE_UDIENZA'</t>
  </si>
  <si>
    <t>SELECT a.ID_AVVOCATO, COD_FISCALE, COGNOME, NOME, FORO, FLAG_REGINDE
  FROM AVVOCATO a, PARTI_UDIENZA_DIFENSORE pud
 WHERE ID_AVVOCATO_PARTE_UDIENZA = NNNNNNN
   AND a.ID_AVVOCATO = pud.AVV_ID_AVVOCATO</t>
  </si>
  <si>
    <t>Visualizza i dati anagrafici principali dell’avvocato, collegato a 'PARTE_UDIENZA_DIFENSORE' ed aggiornato a seguito della bonifica</t>
  </si>
  <si>
    <t>SELECT a.ID_AVVOCATO, COD_FISCALE, COGNOME, NOME, FORO, FLAG_REGINDE
  FROM AVVOCATO a, PARTI_UDIENZA_DIFENSORE_SXBA pud
 WHERE ID_AVVOCATO_PARTE_UDIENZA = NNNNNNN
   AND a.ID_AVVOCATO = pud.AVV_ID_AVVOCATO</t>
  </si>
  <si>
    <t>Visualizza i dati anagrafici principali dell’avvocato, collegato a 'PARTE_UDIENZA_DIFENSORE' prima della bonifica</t>
  </si>
  <si>
    <t>Verificare che FLAG_REGINDE = ‘NO’</t>
  </si>
  <si>
    <t>SELECT * FROM XBA_VERIF_STORICO_AVVOCATO</t>
  </si>
  <si>
    <t>Dall'elenco ottenuto selezionare a campione alcuni records, per ciascuno annotarsi il valore (NNNNNNN) della colonna 'ID_STORICO_AVVOCATO'</t>
  </si>
  <si>
    <t>SELECT a.ID_AVVOCATO,
       a.COD_FISCALE,
       a.COGNOME,
       a.NOME,
       a.FORO,
       FLAG_REGINDE
  FROM AVVOCATO a, STORICO_AVVOCATO sa
 WHERE ID_STORICO_AVVOCATO = NNNNNNN
   AND a.ID_AVVOCATO = sa.AVV_ID_AVVOCATO</t>
  </si>
  <si>
    <t>Visualizza i dati anagrafici principali dell’avvocato, collegato a 'STORICO_AVVOCATO' ed aggiornato a seguito della bonifica</t>
  </si>
  <si>
    <t>Visualizza i dati anagrafici principali dell’avvocato, collegato a 'STORICO_AVVOCATO' prima della bonifica</t>
  </si>
  <si>
    <t>SELECT a.ID_AVVOCATO,
       a.COD_FISCALE,
       a.COGNOME,
       a.NOME,
       a.FORO,
       FLAG_REGINDE
  FROM AVVOCATO a, STORICO_AVVOCATO_SXBA sa
 WHERE ID_STORICO_AVVOCATO = NNNNNNN
   AND a.ID_AVVOCATO = sa.AVV_ID_AVVOCATO</t>
  </si>
  <si>
    <t>Verifica: Verificare il corretto aggiornamento del campo ‘avv_id_avvocato’ e 'avv_id_avvocato_presentante' dei records "NUOVA_ISTANZA"</t>
  </si>
  <si>
    <t>Dall'elenco ottenuto selezionare a campione alcuni records, per ciascuno annotarsi il valore (NNNNNNN) della colonna 'ID_NUOVA_ISTANZA'</t>
  </si>
  <si>
    <t>SELECT a.ID_AVVOCATO,
       a.COD_FISCALE,
       a.COGNOME,
       a.NOME,
       a.FORO,
       a.FLAG_REGINDE,
       aa.ID_AVVOCATO "AVVOCATO_PRESENTANTE",
       aa.COD_FISCALE,
       aa.COGNOME,
       aa.NOME,
       aa.FORO,
       aa.FLAG_REGINDE
  FROM AVVOCATO a, AVVOCATO aa, NUOVA_ISTANZA ni
 WHERE ID_NUOVA_ISTANZA = NNNNNNN
   AND a.ID_AVVOCATO = ni.AVV_ID_AVVOCATO
   AND aa.ID_AVVOCATO = ni.AVV_ID_AVVOCATO_PRESENTANTE</t>
  </si>
  <si>
    <t>Visualizza i dati anagrafici principali dell’avvocato, collegato a 'NUOVA_ISTANZA' ed aggiornato a seguito della bonifica</t>
  </si>
  <si>
    <t>SELECT a.ID_AVVOCATO,
       a.COD_FISCALE,
       a.COGNOME,
       a.NOME,
       a.FORO,
       a.FLAG_REGINDE,
       aa.ID_AVVOCATO "AVVOCATO_PRESENTANTE",
       aa.COD_FISCALE,
       aa.COGNOME,
       aa.NOME,
       aa.FORO,
       aa.FLAG_REGINDE
  FROM AVVOCATO a, AVVOCATO aa, NUOVA_ISTANZA_SXBA ni
 WHERE ID_NUOVA_ISTANZA = NNNNNNN
   AND a.ID_AVVOCATO = ni.AVV_ID_AVVOCATO
   AND aa.ID_AVVOCATO = ni.AVV_ID_AVVOCATO_PRESENTANTE</t>
  </si>
  <si>
    <t>Visualizza i dati anagrafici principali dell’avvocato, collegato a 'NUOVA_ISTANZA' prima della bonifica</t>
  </si>
  <si>
    <t>Iscrizione &gt;&gt; Soggetto</t>
  </si>
  <si>
    <r>
      <t>Visualizzazione pagina "</t>
    </r>
    <r>
      <rPr>
        <b/>
        <sz val="10"/>
        <rFont val="Calibri"/>
        <family val="2"/>
        <scheme val="minor"/>
      </rPr>
      <t>Inserimento Soggetto"</t>
    </r>
  </si>
  <si>
    <r>
      <t>Inserire i dati anagrafici di un soggetto, digitando come Comune Nascita '</t>
    </r>
    <r>
      <rPr>
        <b/>
        <sz val="10"/>
        <rFont val="Calibri"/>
        <family val="2"/>
        <scheme val="minor"/>
      </rPr>
      <t>PINEROLO</t>
    </r>
    <r>
      <rPr>
        <sz val="10"/>
        <rFont val="Calibri"/>
        <family val="2"/>
        <scheme val="minor"/>
      </rPr>
      <t>' (che ha cambiato codice da 306 a 414) e cliccare sul tasto "</t>
    </r>
    <r>
      <rPr>
        <b/>
        <sz val="10"/>
        <rFont val="Calibri"/>
        <family val="2"/>
        <scheme val="minor"/>
      </rPr>
      <t>Conferma"</t>
    </r>
  </si>
  <si>
    <t>Visualizza il codice comune casellario ed il codice sede giudiziaria</t>
  </si>
  <si>
    <t>Verificare che i due codici estratti coincidano</t>
  </si>
  <si>
    <t>SELECT s.cod_comune_casellario, c.cod_sede_giudiziaria
  from soggetto s, fascicolo_siep fs, comune c
 where s.id_soggetto = fs.sog_id_soggetto
   and fs.chiave_anno = anno
   and fs.chiave_progr = prog
   and c.cod_comune = s.cod_comune_nascita</t>
  </si>
  <si>
    <t>Iscrivere Sentenza e Fascicolo</t>
  </si>
  <si>
    <t>Annotarsi anno e numero del fascicolo creato</t>
  </si>
  <si>
    <t>TF006.UC06</t>
  </si>
  <si>
    <t>Verifica scambio informativo SIES-NSC per gli Stati non esistenti</t>
  </si>
  <si>
    <t>Verifica: Verificare che su SIES sia garantito lo scambio informativo con NSC anche per gli Stati non esistenti</t>
  </si>
  <si>
    <t>Stato di Nascita deve essere CURACAO</t>
  </si>
  <si>
    <r>
      <t>Verificare che la richiesta del certificato restituisca l'errore "</t>
    </r>
    <r>
      <rPr>
        <b/>
        <sz val="10"/>
        <rFont val="Calibri"/>
        <family val="2"/>
        <scheme val="minor"/>
      </rPr>
      <t>CODICE STATO NASCITA NON UNIVOCO</t>
    </r>
    <r>
      <rPr>
        <sz val="10"/>
        <rFont val="Calibri"/>
        <family val="2"/>
        <scheme val="minor"/>
      </rPr>
      <t>"</t>
    </r>
  </si>
  <si>
    <t>Verificare che la richiesta del certificato vada a buon fine e non restituisca errore</t>
  </si>
  <si>
    <t>Stato di Nascita deve essere SPAGNA</t>
  </si>
  <si>
    <t>Verificare che per l'avvocato selezionato non sia presente alcun messaggio circa il fatto che NON sia certificato su RegInde</t>
  </si>
  <si>
    <t>Verificare che per l'avvocato selezionato sia presente il messaggio che attesti il fatto che NON sia certificato su RegInde</t>
  </si>
  <si>
    <t>Verificare che per l'avvocato selezionato sia presente il messaggio che attesti il fatto che NON sia certificato su RegInde e che il fascicolo risulti pendente</t>
  </si>
  <si>
    <t>Verificare che per l'avvocato selezionato non sia presente alcun messaggio circa il fatto che NON sia certificato su RegInde e che il fascicolo sia pendente</t>
  </si>
  <si>
    <t>SIUT-SIE-CT-1.4-20230110-Allegato_al_piano_test_021_RegInde_SIES.xlsx</t>
  </si>
  <si>
    <t xml:space="preserve">N.B. impostare 'descrizione sede ufficio' </t>
  </si>
  <si>
    <t>SELECT DISTINCT COD_FISCALE,
                COGNOME,
                NOME,
                FLAG_REGINDE,
                CHIAVE_ANNO,
                CHIAVE_PROGR,
                COD_TIPO_UFF,
                DESCRCOMUNE,
                ID_FASCICOLO_SIEP,
                ID_AVVOCATO,
                afs.data_fine_validita
  FROM POST_XBA_AVVOCATI_CON_PENDENZE acp, AVVOCATO_FASCICOLO_SIUS afs
 WHERE FLAG_REGINDE = 'NO'
   AND COD_TIPO_UFF = 'TDS'
   AND DESCRCOMUNE = 'descrizione sede ufficio'
   AND afs.FAS_SIU_ID_FASCICOLO_SIUS = acp.ID_FASCICOLO_SIUS
   AND afs.DATA_FINE_VALIDITA IS NULL
   AND afs.AVV_ID_AVVOCATO = ID_AVVOCATO</t>
  </si>
  <si>
    <t>N.B. impostare 'descrizione sede ufficio'</t>
  </si>
  <si>
    <t>SELECT DISTINCT COD_FISCALE,
                COGNOME,
                NOME,
                FLAG_REGINDE,
                CHIAVE_ANNO,
                CHIAVE_PROGR,
                COD_TIPO_UFF,
                DESCRCOMUNE,
                ID_FASCICOLO_SIEP,
                ID_AVVOCATO,
                afs.data_fine_validita
  FROM POST_XBA_AVVOCATI_CON_PENDENZE acp, AVVOCATO_FASCICOLO_SIEP afs
 WHERE FLAG_REGINDE = 'NO'
   AND COD_TIPO_UFF = 'PM'
   AND DESCRCOMUNE = 'descrizione sede ufficio'
   AND afs.FAS_SIE_ID_FASCICOLO_SIEP = acp.ID_FASCICOLO_SIEP
   AND afs.DATA_FINE_VALIDITA IS NULL
   AND afs.AVV_ID_AVVOCATO = ID_AVVOCATO</t>
  </si>
  <si>
    <t>SELECT DISTINCT COD_FISCALE,
                COGNOME,
                NOME,
                FLAG_REGINDE,
                CHIAVE_ANNO,
                CHIAVE_PROGR,
                COD_TIPO_UFF,
                DESCRCOMUNE,
                ID_FASCICOLO_SIGE,
                ID_AVVOCATO,
                afs.data_fine_validita
  FROM POST_XBA_AVVOCATI_CON_PENDENZE acp, AVVOCATO_FASCICOLO_SIGE afs
 WHERE FLAG_REGINDE = 'NO'
   AND COD_TIPO_UFF = 'DIB'
   AND DESCRCOMUNE = 'descrizione sede ufficio'
   AND afs.FAS_SIGE_ID_FASCICOLO_SIGE = acp.ID_FASCICOLO_SIGE
   AND afs.DATA_FINE_VALIDITA IS NULL
   AND afs.AVV_ID_AVVOCATO = ID_AVVOCATO</t>
  </si>
  <si>
    <t>SELECT DISTINCT COD_FISCALE,
                COGNOME,
                NOME,
                FLAG_REGINDE,
                CHIAVE_ANNO,
                CHIAVE_PROGR,
                COD_TIPO_UFF,
                DESCRCOMUNE,
                ID_FASCICOLO_SIEP,
                ID_AVVOCATO,
                afs.data_fine_validita
  FROM POST_XBA_AVVOCATI_CON_PENDENZE acp, AVVOCATO_FASCICOLO_SIEP afs
 WHERE FLAG_REGINDE = 'SI'
   AND COD_TIPO_UFF = 'PM'
   AND DESCRCOMUNE = 'descrizione sede ufficio'
   AND afs.FAS_SIE_ID_FASCICOLO_SIEP = acp.ID_FASCICOLO_SIEP
   AND afs.DATA_FINE_VALIDITA IS NULL
   AND afs.AVV_ID_AVVOCATO = ID_AVVOCATO</t>
  </si>
  <si>
    <r>
      <rPr>
        <b/>
        <sz val="10"/>
        <color rgb="FFFF0000"/>
        <rFont val="Calibri"/>
        <family val="2"/>
        <scheme val="minor"/>
      </rPr>
      <t>N.B. impostare 'descrizione sede ufficio'</t>
    </r>
    <r>
      <rPr>
        <sz val="10"/>
        <rFont val="Calibri"/>
        <family val="2"/>
        <scheme val="minor"/>
      </rPr>
      <t xml:space="preserve">
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</si>
  <si>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t>SELECT DISTINCT acp.COD_FISCALE,
                acp.COGNOME,
                acp.NOME,
                CHIAVE_ANNO,
                CHIAVE_PROGR,
                COD_TIPO_UFF,
                DESCRCOMUNE,
                acp.ID_AVVOCATO,
                acp.ID_FASCICOLO_SIEP
  FROM PRE_XBA_AVVOCATI_CON_PENDENZE acp,
       AVVOCATO                      a,
       AVVOCATO_FASCICOLO_SIEP       afs
 WHERE COD_TIPO_UFF = 'PM'
   AND DESCRCOMUNE = 'descrizione sede ufficio'
   AND a.ID_AVVOCATO = acp.ID_AVVOCATO
   AND a.FLAG_REGINDE = 'NO'
   AND afs.FAS_SIE_ID_FASCICOLO_SIEP = acp.ID_FASCICOLO_SIEP
   AND afs.AVV_ID_AVVOCATO = acp.ID_AVVOCATO
   AND afs.DATA_FINE_VALIDITA IS NULL</t>
  </si>
  <si>
    <r>
      <rPr>
        <b/>
        <sz val="10"/>
        <color rgb="FFFF0000"/>
        <rFont val="Calibri"/>
        <family val="2"/>
        <scheme val="minor"/>
      </rPr>
      <t>N.B. impostare 'descrizione sede PM'</t>
    </r>
    <r>
      <rPr>
        <sz val="10"/>
        <rFont val="Calibri"/>
        <family val="2"/>
        <scheme val="minor"/>
      </rPr>
      <t xml:space="preserve">
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</si>
  <si>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r>
      <rPr>
        <b/>
        <sz val="10"/>
        <color rgb="FFFF0000"/>
        <rFont val="Calibri"/>
        <family val="2"/>
        <scheme val="minor"/>
      </rPr>
      <t>N.B. impostare 'descrizione sede CAP'</t>
    </r>
    <r>
      <rPr>
        <sz val="10"/>
        <rFont val="Calibri"/>
        <family val="2"/>
        <scheme val="minor"/>
      </rPr>
      <t xml:space="preserve">
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</si>
  <si>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r>
      <rPr>
        <b/>
        <sz val="10"/>
        <color rgb="FFFF0000"/>
        <rFont val="Calibri"/>
        <family val="2"/>
        <scheme val="minor"/>
      </rPr>
      <t>N.B. impostare 'descrizione sede TDS'</t>
    </r>
    <r>
      <rPr>
        <sz val="10"/>
        <rFont val="Calibri"/>
        <family val="2"/>
        <scheme val="minor"/>
      </rPr>
      <t xml:space="preserve">
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</si>
  <si>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t>SELECT *
  FROM XBA_VERIF_NUOVA_ISTANZA
 WHERE AVV_ID_AVVOCATO_NEW IS NOT NULL
   AND AVV_ID_AVVPRES_NEW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</si>
</sst>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74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0" xfId="2" applyFont="1" applyFill="1" applyBorder="1" applyAlignment="1">
      <alignment horizontal="center" vertical="center" wrapText="1"/>
    </xf>
    <xf numFmtId="0" fontId="13" fillId="9" borderId="14" xfId="2" applyFont="1" applyFill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3" fillId="9" borderId="19" xfId="2" applyFont="1" applyFill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0" xfId="2" applyFont="1" applyFill="1" applyBorder="1" applyAlignment="1">
      <alignment horizontal="center" vertical="center" wrapText="1"/>
    </xf>
    <xf numFmtId="0" fontId="13" fillId="11" borderId="14" xfId="2" applyFont="1" applyFill="1" applyBorder="1" applyAlignment="1">
      <alignment horizontal="center" vertical="center" wrapText="1"/>
    </xf>
    <xf numFmtId="0" fontId="14" fillId="11" borderId="19" xfId="2" applyFont="1" applyFill="1" applyBorder="1" applyAlignment="1">
      <alignment horizontal="center" vertical="center" wrapText="1"/>
    </xf>
    <xf numFmtId="1" fontId="0" fillId="0" borderId="20" xfId="2" applyNumberFormat="1" applyFont="1" applyBorder="1" applyAlignment="1" applyProtection="1">
      <alignment horizontal="center" vertical="center" wrapText="1"/>
      <protection hidden="1"/>
    </xf>
    <xf numFmtId="0" fontId="13" fillId="11" borderId="19" xfId="2" applyFont="1" applyFill="1" applyBorder="1" applyAlignment="1">
      <alignment horizontal="center" vertical="center" wrapText="1"/>
    </xf>
    <xf numFmtId="0" fontId="14" fillId="11" borderId="21" xfId="2" applyFont="1" applyFill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20" fillId="0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8" fillId="16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4" borderId="30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49" fontId="3" fillId="6" borderId="30" xfId="0" applyNumberFormat="1" applyFont="1" applyFill="1" applyBorder="1" applyAlignment="1">
      <alignment horizontal="center" vertical="center" wrapText="1"/>
    </xf>
    <xf numFmtId="49" fontId="3" fillId="5" borderId="30" xfId="0" applyNumberFormat="1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49" fontId="6" fillId="6" borderId="37" xfId="1" applyNumberFormat="1" applyFont="1" applyFill="1" applyBorder="1" applyAlignment="1">
      <alignment horizontal="center" vertical="center" wrapText="1"/>
    </xf>
    <xf numFmtId="49" fontId="3" fillId="6" borderId="38" xfId="1" applyNumberFormat="1" applyFont="1" applyFill="1" applyBorder="1" applyAlignment="1">
      <alignment horizontal="center" vertical="center" wrapText="1"/>
    </xf>
    <xf numFmtId="49" fontId="3" fillId="6" borderId="39" xfId="1" applyNumberFormat="1" applyFont="1" applyFill="1" applyBorder="1" applyAlignment="1">
      <alignment horizontal="center" vertical="center" wrapText="1"/>
    </xf>
    <xf numFmtId="49" fontId="9" fillId="0" borderId="40" xfId="0" applyNumberFormat="1" applyFont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vertical="center" wrapText="1"/>
    </xf>
    <xf numFmtId="49" fontId="9" fillId="0" borderId="43" xfId="0" applyNumberFormat="1" applyFont="1" applyBorder="1" applyAlignment="1">
      <alignment horizontal="center" vertical="center" wrapText="1"/>
    </xf>
    <xf numFmtId="49" fontId="0" fillId="0" borderId="44" xfId="0" applyNumberFormat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 wrapText="1"/>
    </xf>
    <xf numFmtId="49" fontId="0" fillId="0" borderId="47" xfId="0" applyNumberFormat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49" fontId="8" fillId="15" borderId="30" xfId="0" applyNumberFormat="1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49" fontId="8" fillId="16" borderId="4" xfId="0" applyNumberFormat="1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8" fillId="18" borderId="35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22" fillId="12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" fontId="20" fillId="0" borderId="27" xfId="0" applyNumberFormat="1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8" fillId="18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22" fillId="12" borderId="5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8" fillId="17" borderId="2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22" fillId="14" borderId="30" xfId="0" applyFont="1" applyFill="1" applyBorder="1" applyAlignment="1">
      <alignment horizontal="center" vertical="center" wrapText="1"/>
    </xf>
    <xf numFmtId="0" fontId="22" fillId="14" borderId="31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14" borderId="33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2" fillId="12" borderId="3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8" fillId="17" borderId="4" xfId="0" applyNumberFormat="1" applyFont="1" applyFill="1" applyBorder="1" applyAlignment="1">
      <alignment horizontal="center" vertical="center" wrapText="1"/>
    </xf>
    <xf numFmtId="0" fontId="8" fillId="17" borderId="27" xfId="0" applyNumberFormat="1" applyFont="1" applyFill="1" applyBorder="1" applyAlignment="1">
      <alignment horizontal="center" vertical="center" wrapText="1"/>
    </xf>
    <xf numFmtId="0" fontId="20" fillId="19" borderId="34" xfId="0" applyFont="1" applyFill="1" applyBorder="1" applyAlignment="1">
      <alignment horizontal="center" vertical="center" wrapText="1"/>
    </xf>
    <xf numFmtId="1" fontId="20" fillId="19" borderId="35" xfId="0" applyNumberFormat="1" applyFont="1" applyFill="1" applyBorder="1" applyAlignment="1">
      <alignment horizontal="center" vertical="center"/>
    </xf>
    <xf numFmtId="0" fontId="20" fillId="19" borderId="35" xfId="0" applyFont="1" applyFill="1" applyBorder="1" applyAlignment="1">
      <alignment horizontal="center" vertical="center" wrapText="1"/>
    </xf>
    <xf numFmtId="0" fontId="9" fillId="19" borderId="35" xfId="0" applyFont="1" applyFill="1" applyBorder="1" applyAlignment="1">
      <alignment horizontal="center" vertical="center" wrapText="1"/>
    </xf>
    <xf numFmtId="0" fontId="20" fillId="19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0" fontId="22" fillId="12" borderId="32" xfId="0" applyFont="1" applyFill="1" applyBorder="1" applyAlignment="1">
      <alignment horizontal="center" vertical="center" wrapText="1"/>
    </xf>
    <xf numFmtId="1" fontId="20" fillId="13" borderId="4" xfId="0" applyNumberFormat="1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22" fillId="12" borderId="48" xfId="0" applyFont="1" applyFill="1" applyBorder="1" applyAlignment="1">
      <alignment horizontal="center" vertical="center" wrapText="1"/>
    </xf>
    <xf numFmtId="0" fontId="22" fillId="12" borderId="49" xfId="0" applyFont="1" applyFill="1" applyBorder="1" applyAlignment="1">
      <alignment horizontal="center" vertical="center" wrapText="1"/>
    </xf>
    <xf numFmtId="0" fontId="22" fillId="12" borderId="50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2" fillId="12" borderId="51" xfId="0" applyFont="1" applyFill="1" applyBorder="1" applyAlignment="1">
      <alignment horizontal="center" vertical="center" wrapText="1"/>
    </xf>
    <xf numFmtId="0" fontId="25" fillId="2" borderId="28" xfId="0" applyFont="1" applyFill="1" applyBorder="1" applyAlignment="1" applyProtection="1">
      <alignment horizontal="center" vertical="center" wrapText="1"/>
      <protection locked="0"/>
    </xf>
    <xf numFmtId="49" fontId="26" fillId="0" borderId="28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49" fontId="27" fillId="0" borderId="28" xfId="0" applyNumberFormat="1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6" fillId="15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2" fillId="12" borderId="29" xfId="0" applyFont="1" applyFill="1" applyBorder="1" applyAlignment="1">
      <alignment horizontal="center" vertical="center" wrapText="1"/>
    </xf>
    <xf numFmtId="49" fontId="0" fillId="0" borderId="28" xfId="0" applyNumberFormat="1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22" xfId="2" applyFont="1" applyFill="1" applyBorder="1" applyAlignment="1">
      <alignment horizontal="center" vertical="center"/>
    </xf>
    <xf numFmtId="0" fontId="8" fillId="10" borderId="10" xfId="2" applyFont="1" applyFill="1" applyBorder="1" applyAlignment="1">
      <alignment horizontal="center" vertical="center"/>
    </xf>
    <xf numFmtId="0" fontId="8" fillId="10" borderId="11" xfId="2" applyFont="1" applyFill="1" applyBorder="1" applyAlignment="1">
      <alignment horizontal="center" vertical="center"/>
    </xf>
    <xf numFmtId="0" fontId="3" fillId="8" borderId="23" xfId="2" applyFont="1" applyFill="1" applyBorder="1" applyAlignment="1">
      <alignment horizontal="left" vertical="center" wrapText="1"/>
    </xf>
    <xf numFmtId="0" fontId="3" fillId="8" borderId="19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13" xfId="2" applyFont="1" applyFill="1" applyBorder="1" applyAlignment="1">
      <alignment horizontal="center" vertical="center" wrapText="1"/>
    </xf>
    <xf numFmtId="0" fontId="12" fillId="8" borderId="14" xfId="2" applyFont="1" applyFill="1" applyBorder="1" applyAlignment="1">
      <alignment horizontal="center" vertical="center" wrapText="1"/>
    </xf>
    <xf numFmtId="0" fontId="8" fillId="7" borderId="25" xfId="2" applyFont="1" applyFill="1" applyBorder="1" applyAlignment="1">
      <alignment horizontal="center" vertical="center"/>
    </xf>
    <xf numFmtId="0" fontId="8" fillId="7" borderId="13" xfId="2" applyFont="1" applyFill="1" applyBorder="1" applyAlignment="1">
      <alignment horizontal="center" vertical="center"/>
    </xf>
    <xf numFmtId="0" fontId="8" fillId="7" borderId="14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15" xfId="2" applyFont="1" applyFill="1" applyBorder="1" applyAlignment="1">
      <alignment horizontal="left" vertical="center" wrapText="1"/>
    </xf>
    <xf numFmtId="0" fontId="12" fillId="8" borderId="16" xfId="2" applyFont="1" applyFill="1" applyBorder="1" applyAlignment="1">
      <alignment horizontal="center" vertical="center" wrapText="1"/>
    </xf>
    <xf numFmtId="0" fontId="12" fillId="8" borderId="17" xfId="2" applyFont="1" applyFill="1" applyBorder="1" applyAlignment="1">
      <alignment horizontal="center" vertical="center" wrapText="1"/>
    </xf>
    <xf numFmtId="0" fontId="12" fillId="8" borderId="18" xfId="2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28" customWidth="1"/>
    <col min="2" max="2" width="31.28515625" style="28" customWidth="1"/>
    <col min="3" max="3" width="94.7109375" style="28" customWidth="1"/>
    <col min="4" max="4" width="51.7109375" style="28" customWidth="1"/>
    <col min="5" max="256" width="9.140625" style="28"/>
    <col min="257" max="257" width="1.42578125" style="28" customWidth="1"/>
    <col min="258" max="258" width="31.28515625" style="28" customWidth="1"/>
    <col min="259" max="259" width="83.5703125" style="28" bestFit="1" customWidth="1"/>
    <col min="260" max="260" width="51.7109375" style="28" customWidth="1"/>
    <col min="261" max="512" width="9.140625" style="28"/>
    <col min="513" max="513" width="1.42578125" style="28" customWidth="1"/>
    <col min="514" max="514" width="31.28515625" style="28" customWidth="1"/>
    <col min="515" max="515" width="83.5703125" style="28" bestFit="1" customWidth="1"/>
    <col min="516" max="516" width="51.7109375" style="28" customWidth="1"/>
    <col min="517" max="768" width="9.140625" style="28"/>
    <col min="769" max="769" width="1.42578125" style="28" customWidth="1"/>
    <col min="770" max="770" width="31.28515625" style="28" customWidth="1"/>
    <col min="771" max="771" width="83.5703125" style="28" bestFit="1" customWidth="1"/>
    <col min="772" max="772" width="51.7109375" style="28" customWidth="1"/>
    <col min="773" max="1024" width="9.140625" style="28"/>
    <col min="1025" max="1025" width="1.42578125" style="28" customWidth="1"/>
    <col min="1026" max="1026" width="31.28515625" style="28" customWidth="1"/>
    <col min="1027" max="1027" width="83.5703125" style="28" bestFit="1" customWidth="1"/>
    <col min="1028" max="1028" width="51.7109375" style="28" customWidth="1"/>
    <col min="1029" max="1280" width="9.140625" style="28"/>
    <col min="1281" max="1281" width="1.42578125" style="28" customWidth="1"/>
    <col min="1282" max="1282" width="31.28515625" style="28" customWidth="1"/>
    <col min="1283" max="1283" width="83.5703125" style="28" bestFit="1" customWidth="1"/>
    <col min="1284" max="1284" width="51.7109375" style="28" customWidth="1"/>
    <col min="1285" max="1536" width="9.140625" style="28"/>
    <col min="1537" max="1537" width="1.42578125" style="28" customWidth="1"/>
    <col min="1538" max="1538" width="31.28515625" style="28" customWidth="1"/>
    <col min="1539" max="1539" width="83.5703125" style="28" bestFit="1" customWidth="1"/>
    <col min="1540" max="1540" width="51.7109375" style="28" customWidth="1"/>
    <col min="1541" max="1792" width="9.140625" style="28"/>
    <col min="1793" max="1793" width="1.42578125" style="28" customWidth="1"/>
    <col min="1794" max="1794" width="31.28515625" style="28" customWidth="1"/>
    <col min="1795" max="1795" width="83.5703125" style="28" bestFit="1" customWidth="1"/>
    <col min="1796" max="1796" width="51.7109375" style="28" customWidth="1"/>
    <col min="1797" max="2048" width="9.140625" style="28"/>
    <col min="2049" max="2049" width="1.42578125" style="28" customWidth="1"/>
    <col min="2050" max="2050" width="31.28515625" style="28" customWidth="1"/>
    <col min="2051" max="2051" width="83.5703125" style="28" bestFit="1" customWidth="1"/>
    <col min="2052" max="2052" width="51.7109375" style="28" customWidth="1"/>
    <col min="2053" max="2304" width="9.140625" style="28"/>
    <col min="2305" max="2305" width="1.42578125" style="28" customWidth="1"/>
    <col min="2306" max="2306" width="31.28515625" style="28" customWidth="1"/>
    <col min="2307" max="2307" width="83.5703125" style="28" bestFit="1" customWidth="1"/>
    <col min="2308" max="2308" width="51.7109375" style="28" customWidth="1"/>
    <col min="2309" max="2560" width="9.140625" style="28"/>
    <col min="2561" max="2561" width="1.42578125" style="28" customWidth="1"/>
    <col min="2562" max="2562" width="31.28515625" style="28" customWidth="1"/>
    <col min="2563" max="2563" width="83.5703125" style="28" bestFit="1" customWidth="1"/>
    <col min="2564" max="2564" width="51.7109375" style="28" customWidth="1"/>
    <col min="2565" max="2816" width="9.140625" style="28"/>
    <col min="2817" max="2817" width="1.42578125" style="28" customWidth="1"/>
    <col min="2818" max="2818" width="31.28515625" style="28" customWidth="1"/>
    <col min="2819" max="2819" width="83.5703125" style="28" bestFit="1" customWidth="1"/>
    <col min="2820" max="2820" width="51.7109375" style="28" customWidth="1"/>
    <col min="2821" max="3072" width="9.140625" style="28"/>
    <col min="3073" max="3073" width="1.42578125" style="28" customWidth="1"/>
    <col min="3074" max="3074" width="31.28515625" style="28" customWidth="1"/>
    <col min="3075" max="3075" width="83.5703125" style="28" bestFit="1" customWidth="1"/>
    <col min="3076" max="3076" width="51.7109375" style="28" customWidth="1"/>
    <col min="3077" max="3328" width="9.140625" style="28"/>
    <col min="3329" max="3329" width="1.42578125" style="28" customWidth="1"/>
    <col min="3330" max="3330" width="31.28515625" style="28" customWidth="1"/>
    <col min="3331" max="3331" width="83.5703125" style="28" bestFit="1" customWidth="1"/>
    <col min="3332" max="3332" width="51.7109375" style="28" customWidth="1"/>
    <col min="3333" max="3584" width="9.140625" style="28"/>
    <col min="3585" max="3585" width="1.42578125" style="28" customWidth="1"/>
    <col min="3586" max="3586" width="31.28515625" style="28" customWidth="1"/>
    <col min="3587" max="3587" width="83.5703125" style="28" bestFit="1" customWidth="1"/>
    <col min="3588" max="3588" width="51.7109375" style="28" customWidth="1"/>
    <col min="3589" max="3840" width="9.140625" style="28"/>
    <col min="3841" max="3841" width="1.42578125" style="28" customWidth="1"/>
    <col min="3842" max="3842" width="31.28515625" style="28" customWidth="1"/>
    <col min="3843" max="3843" width="83.5703125" style="28" bestFit="1" customWidth="1"/>
    <col min="3844" max="3844" width="51.7109375" style="28" customWidth="1"/>
    <col min="3845" max="4096" width="9.140625" style="28"/>
    <col min="4097" max="4097" width="1.42578125" style="28" customWidth="1"/>
    <col min="4098" max="4098" width="31.28515625" style="28" customWidth="1"/>
    <col min="4099" max="4099" width="83.5703125" style="28" bestFit="1" customWidth="1"/>
    <col min="4100" max="4100" width="51.7109375" style="28" customWidth="1"/>
    <col min="4101" max="4352" width="9.140625" style="28"/>
    <col min="4353" max="4353" width="1.42578125" style="28" customWidth="1"/>
    <col min="4354" max="4354" width="31.28515625" style="28" customWidth="1"/>
    <col min="4355" max="4355" width="83.5703125" style="28" bestFit="1" customWidth="1"/>
    <col min="4356" max="4356" width="51.7109375" style="28" customWidth="1"/>
    <col min="4357" max="4608" width="9.140625" style="28"/>
    <col min="4609" max="4609" width="1.42578125" style="28" customWidth="1"/>
    <col min="4610" max="4610" width="31.28515625" style="28" customWidth="1"/>
    <col min="4611" max="4611" width="83.5703125" style="28" bestFit="1" customWidth="1"/>
    <col min="4612" max="4612" width="51.7109375" style="28" customWidth="1"/>
    <col min="4613" max="4864" width="9.140625" style="28"/>
    <col min="4865" max="4865" width="1.42578125" style="28" customWidth="1"/>
    <col min="4866" max="4866" width="31.28515625" style="28" customWidth="1"/>
    <col min="4867" max="4867" width="83.5703125" style="28" bestFit="1" customWidth="1"/>
    <col min="4868" max="4868" width="51.7109375" style="28" customWidth="1"/>
    <col min="4869" max="5120" width="9.140625" style="28"/>
    <col min="5121" max="5121" width="1.42578125" style="28" customWidth="1"/>
    <col min="5122" max="5122" width="31.28515625" style="28" customWidth="1"/>
    <col min="5123" max="5123" width="83.5703125" style="28" bestFit="1" customWidth="1"/>
    <col min="5124" max="5124" width="51.7109375" style="28" customWidth="1"/>
    <col min="5125" max="5376" width="9.140625" style="28"/>
    <col min="5377" max="5377" width="1.42578125" style="28" customWidth="1"/>
    <col min="5378" max="5378" width="31.28515625" style="28" customWidth="1"/>
    <col min="5379" max="5379" width="83.5703125" style="28" bestFit="1" customWidth="1"/>
    <col min="5380" max="5380" width="51.7109375" style="28" customWidth="1"/>
    <col min="5381" max="5632" width="9.140625" style="28"/>
    <col min="5633" max="5633" width="1.42578125" style="28" customWidth="1"/>
    <col min="5634" max="5634" width="31.28515625" style="28" customWidth="1"/>
    <col min="5635" max="5635" width="83.5703125" style="28" bestFit="1" customWidth="1"/>
    <col min="5636" max="5636" width="51.7109375" style="28" customWidth="1"/>
    <col min="5637" max="5888" width="9.140625" style="28"/>
    <col min="5889" max="5889" width="1.42578125" style="28" customWidth="1"/>
    <col min="5890" max="5890" width="31.28515625" style="28" customWidth="1"/>
    <col min="5891" max="5891" width="83.5703125" style="28" bestFit="1" customWidth="1"/>
    <col min="5892" max="5892" width="51.7109375" style="28" customWidth="1"/>
    <col min="5893" max="6144" width="9.140625" style="28"/>
    <col min="6145" max="6145" width="1.42578125" style="28" customWidth="1"/>
    <col min="6146" max="6146" width="31.28515625" style="28" customWidth="1"/>
    <col min="6147" max="6147" width="83.5703125" style="28" bestFit="1" customWidth="1"/>
    <col min="6148" max="6148" width="51.7109375" style="28" customWidth="1"/>
    <col min="6149" max="6400" width="9.140625" style="28"/>
    <col min="6401" max="6401" width="1.42578125" style="28" customWidth="1"/>
    <col min="6402" max="6402" width="31.28515625" style="28" customWidth="1"/>
    <col min="6403" max="6403" width="83.5703125" style="28" bestFit="1" customWidth="1"/>
    <col min="6404" max="6404" width="51.7109375" style="28" customWidth="1"/>
    <col min="6405" max="6656" width="9.140625" style="28"/>
    <col min="6657" max="6657" width="1.42578125" style="28" customWidth="1"/>
    <col min="6658" max="6658" width="31.28515625" style="28" customWidth="1"/>
    <col min="6659" max="6659" width="83.5703125" style="28" bestFit="1" customWidth="1"/>
    <col min="6660" max="6660" width="51.7109375" style="28" customWidth="1"/>
    <col min="6661" max="6912" width="9.140625" style="28"/>
    <col min="6913" max="6913" width="1.42578125" style="28" customWidth="1"/>
    <col min="6914" max="6914" width="31.28515625" style="28" customWidth="1"/>
    <col min="6915" max="6915" width="83.5703125" style="28" bestFit="1" customWidth="1"/>
    <col min="6916" max="6916" width="51.7109375" style="28" customWidth="1"/>
    <col min="6917" max="7168" width="9.140625" style="28"/>
    <col min="7169" max="7169" width="1.42578125" style="28" customWidth="1"/>
    <col min="7170" max="7170" width="31.28515625" style="28" customWidth="1"/>
    <col min="7171" max="7171" width="83.5703125" style="28" bestFit="1" customWidth="1"/>
    <col min="7172" max="7172" width="51.7109375" style="28" customWidth="1"/>
    <col min="7173" max="7424" width="9.140625" style="28"/>
    <col min="7425" max="7425" width="1.42578125" style="28" customWidth="1"/>
    <col min="7426" max="7426" width="31.28515625" style="28" customWidth="1"/>
    <col min="7427" max="7427" width="83.5703125" style="28" bestFit="1" customWidth="1"/>
    <col min="7428" max="7428" width="51.7109375" style="28" customWidth="1"/>
    <col min="7429" max="7680" width="9.140625" style="28"/>
    <col min="7681" max="7681" width="1.42578125" style="28" customWidth="1"/>
    <col min="7682" max="7682" width="31.28515625" style="28" customWidth="1"/>
    <col min="7683" max="7683" width="83.5703125" style="28" bestFit="1" customWidth="1"/>
    <col min="7684" max="7684" width="51.7109375" style="28" customWidth="1"/>
    <col min="7685" max="7936" width="9.140625" style="28"/>
    <col min="7937" max="7937" width="1.42578125" style="28" customWidth="1"/>
    <col min="7938" max="7938" width="31.28515625" style="28" customWidth="1"/>
    <col min="7939" max="7939" width="83.5703125" style="28" bestFit="1" customWidth="1"/>
    <col min="7940" max="7940" width="51.7109375" style="28" customWidth="1"/>
    <col min="7941" max="8192" width="9.140625" style="28"/>
    <col min="8193" max="8193" width="1.42578125" style="28" customWidth="1"/>
    <col min="8194" max="8194" width="31.28515625" style="28" customWidth="1"/>
    <col min="8195" max="8195" width="83.5703125" style="28" bestFit="1" customWidth="1"/>
    <col min="8196" max="8196" width="51.7109375" style="28" customWidth="1"/>
    <col min="8197" max="8448" width="9.140625" style="28"/>
    <col min="8449" max="8449" width="1.42578125" style="28" customWidth="1"/>
    <col min="8450" max="8450" width="31.28515625" style="28" customWidth="1"/>
    <col min="8451" max="8451" width="83.5703125" style="28" bestFit="1" customWidth="1"/>
    <col min="8452" max="8452" width="51.7109375" style="28" customWidth="1"/>
    <col min="8453" max="8704" width="9.140625" style="28"/>
    <col min="8705" max="8705" width="1.42578125" style="28" customWidth="1"/>
    <col min="8706" max="8706" width="31.28515625" style="28" customWidth="1"/>
    <col min="8707" max="8707" width="83.5703125" style="28" bestFit="1" customWidth="1"/>
    <col min="8708" max="8708" width="51.7109375" style="28" customWidth="1"/>
    <col min="8709" max="8960" width="9.140625" style="28"/>
    <col min="8961" max="8961" width="1.42578125" style="28" customWidth="1"/>
    <col min="8962" max="8962" width="31.28515625" style="28" customWidth="1"/>
    <col min="8963" max="8963" width="83.5703125" style="28" bestFit="1" customWidth="1"/>
    <col min="8964" max="8964" width="51.7109375" style="28" customWidth="1"/>
    <col min="8965" max="9216" width="9.140625" style="28"/>
    <col min="9217" max="9217" width="1.42578125" style="28" customWidth="1"/>
    <col min="9218" max="9218" width="31.28515625" style="28" customWidth="1"/>
    <col min="9219" max="9219" width="83.5703125" style="28" bestFit="1" customWidth="1"/>
    <col min="9220" max="9220" width="51.7109375" style="28" customWidth="1"/>
    <col min="9221" max="9472" width="9.140625" style="28"/>
    <col min="9473" max="9473" width="1.42578125" style="28" customWidth="1"/>
    <col min="9474" max="9474" width="31.28515625" style="28" customWidth="1"/>
    <col min="9475" max="9475" width="83.5703125" style="28" bestFit="1" customWidth="1"/>
    <col min="9476" max="9476" width="51.7109375" style="28" customWidth="1"/>
    <col min="9477" max="9728" width="9.140625" style="28"/>
    <col min="9729" max="9729" width="1.42578125" style="28" customWidth="1"/>
    <col min="9730" max="9730" width="31.28515625" style="28" customWidth="1"/>
    <col min="9731" max="9731" width="83.5703125" style="28" bestFit="1" customWidth="1"/>
    <col min="9732" max="9732" width="51.7109375" style="28" customWidth="1"/>
    <col min="9733" max="9984" width="9.140625" style="28"/>
    <col min="9985" max="9985" width="1.42578125" style="28" customWidth="1"/>
    <col min="9986" max="9986" width="31.28515625" style="28" customWidth="1"/>
    <col min="9987" max="9987" width="83.5703125" style="28" bestFit="1" customWidth="1"/>
    <col min="9988" max="9988" width="51.7109375" style="28" customWidth="1"/>
    <col min="9989" max="10240" width="9.140625" style="28"/>
    <col min="10241" max="10241" width="1.42578125" style="28" customWidth="1"/>
    <col min="10242" max="10242" width="31.28515625" style="28" customWidth="1"/>
    <col min="10243" max="10243" width="83.5703125" style="28" bestFit="1" customWidth="1"/>
    <col min="10244" max="10244" width="51.7109375" style="28" customWidth="1"/>
    <col min="10245" max="10496" width="9.140625" style="28"/>
    <col min="10497" max="10497" width="1.42578125" style="28" customWidth="1"/>
    <col min="10498" max="10498" width="31.28515625" style="28" customWidth="1"/>
    <col min="10499" max="10499" width="83.5703125" style="28" bestFit="1" customWidth="1"/>
    <col min="10500" max="10500" width="51.7109375" style="28" customWidth="1"/>
    <col min="10501" max="10752" width="9.140625" style="28"/>
    <col min="10753" max="10753" width="1.42578125" style="28" customWidth="1"/>
    <col min="10754" max="10754" width="31.28515625" style="28" customWidth="1"/>
    <col min="10755" max="10755" width="83.5703125" style="28" bestFit="1" customWidth="1"/>
    <col min="10756" max="10756" width="51.7109375" style="28" customWidth="1"/>
    <col min="10757" max="11008" width="9.140625" style="28"/>
    <col min="11009" max="11009" width="1.42578125" style="28" customWidth="1"/>
    <col min="11010" max="11010" width="31.28515625" style="28" customWidth="1"/>
    <col min="11011" max="11011" width="83.5703125" style="28" bestFit="1" customWidth="1"/>
    <col min="11012" max="11012" width="51.7109375" style="28" customWidth="1"/>
    <col min="11013" max="11264" width="9.140625" style="28"/>
    <col min="11265" max="11265" width="1.42578125" style="28" customWidth="1"/>
    <col min="11266" max="11266" width="31.28515625" style="28" customWidth="1"/>
    <col min="11267" max="11267" width="83.5703125" style="28" bestFit="1" customWidth="1"/>
    <col min="11268" max="11268" width="51.7109375" style="28" customWidth="1"/>
    <col min="11269" max="11520" width="9.140625" style="28"/>
    <col min="11521" max="11521" width="1.42578125" style="28" customWidth="1"/>
    <col min="11522" max="11522" width="31.28515625" style="28" customWidth="1"/>
    <col min="11523" max="11523" width="83.5703125" style="28" bestFit="1" customWidth="1"/>
    <col min="11524" max="11524" width="51.7109375" style="28" customWidth="1"/>
    <col min="11525" max="11776" width="9.140625" style="28"/>
    <col min="11777" max="11777" width="1.42578125" style="28" customWidth="1"/>
    <col min="11778" max="11778" width="31.28515625" style="28" customWidth="1"/>
    <col min="11779" max="11779" width="83.5703125" style="28" bestFit="1" customWidth="1"/>
    <col min="11780" max="11780" width="51.7109375" style="28" customWidth="1"/>
    <col min="11781" max="12032" width="9.140625" style="28"/>
    <col min="12033" max="12033" width="1.42578125" style="28" customWidth="1"/>
    <col min="12034" max="12034" width="31.28515625" style="28" customWidth="1"/>
    <col min="12035" max="12035" width="83.5703125" style="28" bestFit="1" customWidth="1"/>
    <col min="12036" max="12036" width="51.7109375" style="28" customWidth="1"/>
    <col min="12037" max="12288" width="9.140625" style="28"/>
    <col min="12289" max="12289" width="1.42578125" style="28" customWidth="1"/>
    <col min="12290" max="12290" width="31.28515625" style="28" customWidth="1"/>
    <col min="12291" max="12291" width="83.5703125" style="28" bestFit="1" customWidth="1"/>
    <col min="12292" max="12292" width="51.7109375" style="28" customWidth="1"/>
    <col min="12293" max="12544" width="9.140625" style="28"/>
    <col min="12545" max="12545" width="1.42578125" style="28" customWidth="1"/>
    <col min="12546" max="12546" width="31.28515625" style="28" customWidth="1"/>
    <col min="12547" max="12547" width="83.5703125" style="28" bestFit="1" customWidth="1"/>
    <col min="12548" max="12548" width="51.7109375" style="28" customWidth="1"/>
    <col min="12549" max="12800" width="9.140625" style="28"/>
    <col min="12801" max="12801" width="1.42578125" style="28" customWidth="1"/>
    <col min="12802" max="12802" width="31.28515625" style="28" customWidth="1"/>
    <col min="12803" max="12803" width="83.5703125" style="28" bestFit="1" customWidth="1"/>
    <col min="12804" max="12804" width="51.7109375" style="28" customWidth="1"/>
    <col min="12805" max="13056" width="9.140625" style="28"/>
    <col min="13057" max="13057" width="1.42578125" style="28" customWidth="1"/>
    <col min="13058" max="13058" width="31.28515625" style="28" customWidth="1"/>
    <col min="13059" max="13059" width="83.5703125" style="28" bestFit="1" customWidth="1"/>
    <col min="13060" max="13060" width="51.7109375" style="28" customWidth="1"/>
    <col min="13061" max="13312" width="9.140625" style="28"/>
    <col min="13313" max="13313" width="1.42578125" style="28" customWidth="1"/>
    <col min="13314" max="13314" width="31.28515625" style="28" customWidth="1"/>
    <col min="13315" max="13315" width="83.5703125" style="28" bestFit="1" customWidth="1"/>
    <col min="13316" max="13316" width="51.7109375" style="28" customWidth="1"/>
    <col min="13317" max="13568" width="9.140625" style="28"/>
    <col min="13569" max="13569" width="1.42578125" style="28" customWidth="1"/>
    <col min="13570" max="13570" width="31.28515625" style="28" customWidth="1"/>
    <col min="13571" max="13571" width="83.5703125" style="28" bestFit="1" customWidth="1"/>
    <col min="13572" max="13572" width="51.7109375" style="28" customWidth="1"/>
    <col min="13573" max="13824" width="9.140625" style="28"/>
    <col min="13825" max="13825" width="1.42578125" style="28" customWidth="1"/>
    <col min="13826" max="13826" width="31.28515625" style="28" customWidth="1"/>
    <col min="13827" max="13827" width="83.5703125" style="28" bestFit="1" customWidth="1"/>
    <col min="13828" max="13828" width="51.7109375" style="28" customWidth="1"/>
    <col min="13829" max="14080" width="9.140625" style="28"/>
    <col min="14081" max="14081" width="1.42578125" style="28" customWidth="1"/>
    <col min="14082" max="14082" width="31.28515625" style="28" customWidth="1"/>
    <col min="14083" max="14083" width="83.5703125" style="28" bestFit="1" customWidth="1"/>
    <col min="14084" max="14084" width="51.7109375" style="28" customWidth="1"/>
    <col min="14085" max="14336" width="9.140625" style="28"/>
    <col min="14337" max="14337" width="1.42578125" style="28" customWidth="1"/>
    <col min="14338" max="14338" width="31.28515625" style="28" customWidth="1"/>
    <col min="14339" max="14339" width="83.5703125" style="28" bestFit="1" customWidth="1"/>
    <col min="14340" max="14340" width="51.7109375" style="28" customWidth="1"/>
    <col min="14341" max="14592" width="9.140625" style="28"/>
    <col min="14593" max="14593" width="1.42578125" style="28" customWidth="1"/>
    <col min="14594" max="14594" width="31.28515625" style="28" customWidth="1"/>
    <col min="14595" max="14595" width="83.5703125" style="28" bestFit="1" customWidth="1"/>
    <col min="14596" max="14596" width="51.7109375" style="28" customWidth="1"/>
    <col min="14597" max="14848" width="9.140625" style="28"/>
    <col min="14849" max="14849" width="1.42578125" style="28" customWidth="1"/>
    <col min="14850" max="14850" width="31.28515625" style="28" customWidth="1"/>
    <col min="14851" max="14851" width="83.5703125" style="28" bestFit="1" customWidth="1"/>
    <col min="14852" max="14852" width="51.7109375" style="28" customWidth="1"/>
    <col min="14853" max="15104" width="9.140625" style="28"/>
    <col min="15105" max="15105" width="1.42578125" style="28" customWidth="1"/>
    <col min="15106" max="15106" width="31.28515625" style="28" customWidth="1"/>
    <col min="15107" max="15107" width="83.5703125" style="28" bestFit="1" customWidth="1"/>
    <col min="15108" max="15108" width="51.7109375" style="28" customWidth="1"/>
    <col min="15109" max="15360" width="9.140625" style="28"/>
    <col min="15361" max="15361" width="1.42578125" style="28" customWidth="1"/>
    <col min="15362" max="15362" width="31.28515625" style="28" customWidth="1"/>
    <col min="15363" max="15363" width="83.5703125" style="28" bestFit="1" customWidth="1"/>
    <col min="15364" max="15364" width="51.7109375" style="28" customWidth="1"/>
    <col min="15365" max="15616" width="9.140625" style="28"/>
    <col min="15617" max="15617" width="1.42578125" style="28" customWidth="1"/>
    <col min="15618" max="15618" width="31.28515625" style="28" customWidth="1"/>
    <col min="15619" max="15619" width="83.5703125" style="28" bestFit="1" customWidth="1"/>
    <col min="15620" max="15620" width="51.7109375" style="28" customWidth="1"/>
    <col min="15621" max="15872" width="9.140625" style="28"/>
    <col min="15873" max="15873" width="1.42578125" style="28" customWidth="1"/>
    <col min="15874" max="15874" width="31.28515625" style="28" customWidth="1"/>
    <col min="15875" max="15875" width="83.5703125" style="28" bestFit="1" customWidth="1"/>
    <col min="15876" max="15876" width="51.7109375" style="28" customWidth="1"/>
    <col min="15877" max="16128" width="9.140625" style="28"/>
    <col min="16129" max="16129" width="1.42578125" style="28" customWidth="1"/>
    <col min="16130" max="16130" width="31.28515625" style="28" customWidth="1"/>
    <col min="16131" max="16131" width="83.5703125" style="28" bestFit="1" customWidth="1"/>
    <col min="16132" max="16132" width="51.7109375" style="28" customWidth="1"/>
    <col min="16133" max="16384" width="9.140625" style="28"/>
  </cols>
  <sheetData>
    <row r="1" spans="1:3" ht="131.25" customHeight="1" x14ac:dyDescent="0.3">
      <c r="A1" s="81"/>
    </row>
    <row r="2" spans="1:3" ht="56.25" customHeight="1" x14ac:dyDescent="0.25">
      <c r="A2" s="30"/>
      <c r="B2" s="116" t="s">
        <v>44</v>
      </c>
      <c r="C2" s="117"/>
    </row>
    <row r="3" spans="1:3" ht="16.5" customHeight="1" x14ac:dyDescent="0.3">
      <c r="A3" s="30"/>
      <c r="B3" s="31" t="s">
        <v>0</v>
      </c>
      <c r="C3" s="32" t="s">
        <v>475</v>
      </c>
    </row>
    <row r="4" spans="1:3" ht="16.5" customHeight="1" x14ac:dyDescent="0.3">
      <c r="A4" s="30"/>
      <c r="B4" s="31" t="s">
        <v>1</v>
      </c>
      <c r="C4" s="32" t="s">
        <v>333</v>
      </c>
    </row>
    <row r="5" spans="1:3" ht="18.75" customHeight="1" x14ac:dyDescent="0.3">
      <c r="A5" s="30"/>
      <c r="B5" s="31" t="s">
        <v>2</v>
      </c>
      <c r="C5" s="32" t="s">
        <v>349</v>
      </c>
    </row>
    <row r="6" spans="1:3" ht="15" customHeight="1" x14ac:dyDescent="0.3">
      <c r="A6" s="30"/>
      <c r="B6" s="31" t="s">
        <v>3</v>
      </c>
      <c r="C6" s="33">
        <v>44936</v>
      </c>
    </row>
    <row r="7" spans="1:3" ht="16.5" customHeight="1" x14ac:dyDescent="0.3">
      <c r="A7" s="30"/>
      <c r="B7" s="31" t="s">
        <v>4</v>
      </c>
      <c r="C7" s="32" t="s">
        <v>201</v>
      </c>
    </row>
    <row r="8" spans="1:3" ht="16.5" customHeight="1" x14ac:dyDescent="0.3">
      <c r="A8" s="30"/>
      <c r="B8" s="31" t="s">
        <v>5</v>
      </c>
      <c r="C8" s="32" t="s">
        <v>85</v>
      </c>
    </row>
    <row r="9" spans="1:3" ht="120.75" customHeight="1" x14ac:dyDescent="0.3">
      <c r="A9" s="30"/>
      <c r="B9" s="115" t="s">
        <v>6</v>
      </c>
      <c r="C9" s="115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140625" style="28" bestFit="1" customWidth="1"/>
    <col min="2" max="2" width="16.5703125" style="28" customWidth="1"/>
    <col min="3" max="3" width="15.7109375" style="28" customWidth="1"/>
    <col min="4" max="4" width="10.7109375" style="28" customWidth="1"/>
    <col min="5" max="5" width="30.7109375" style="28" customWidth="1"/>
    <col min="6" max="6" width="10.7109375" style="28" customWidth="1"/>
    <col min="7" max="7" width="45.7109375" style="28" customWidth="1"/>
    <col min="8" max="8" width="15.7109375" style="28" customWidth="1"/>
    <col min="9" max="9" width="18.7109375" style="28" customWidth="1"/>
    <col min="10" max="10" width="10.7109375" style="28" customWidth="1"/>
    <col min="11" max="11" width="11.28515625" style="28" bestFit="1" customWidth="1"/>
    <col min="12" max="16384" width="9.140625" style="28"/>
  </cols>
  <sheetData>
    <row r="1" spans="1:11" ht="30" customHeight="1" thickTop="1" thickBot="1" x14ac:dyDescent="0.35">
      <c r="A1" s="119" t="s">
        <v>4</v>
      </c>
      <c r="B1" s="119"/>
      <c r="C1" s="118" t="str">
        <f>Copertina!C7</f>
        <v>MEV 19_021 RegInde</v>
      </c>
      <c r="D1" s="118"/>
      <c r="E1" s="118"/>
      <c r="F1" s="118"/>
      <c r="G1" s="118"/>
      <c r="H1" s="118"/>
      <c r="I1" s="118"/>
      <c r="J1" s="118"/>
    </row>
    <row r="2" spans="1:11" ht="30" customHeight="1" thickTop="1" thickBot="1" x14ac:dyDescent="0.35">
      <c r="A2" s="119" t="s">
        <v>12</v>
      </c>
      <c r="B2" s="119"/>
      <c r="C2" s="118" t="str">
        <f>Copertina!C3</f>
        <v>SIUT-SIE-CT-1.4-20230110-Allegato_al_piano_test_021_RegInde_SIES.xlsx</v>
      </c>
      <c r="D2" s="118"/>
      <c r="E2" s="118"/>
      <c r="F2" s="118"/>
      <c r="G2" s="118"/>
      <c r="H2" s="118"/>
      <c r="I2" s="118"/>
      <c r="J2" s="118"/>
    </row>
    <row r="3" spans="1:11" ht="30" customHeight="1" thickTop="1" x14ac:dyDescent="0.25">
      <c r="A3" s="47" t="s">
        <v>7</v>
      </c>
      <c r="B3" s="48" t="s">
        <v>32</v>
      </c>
      <c r="C3" s="49" t="s">
        <v>33</v>
      </c>
      <c r="D3" s="49" t="s">
        <v>31</v>
      </c>
      <c r="E3" s="49" t="s">
        <v>30</v>
      </c>
      <c r="F3" s="50" t="s">
        <v>8</v>
      </c>
      <c r="G3" s="51" t="s">
        <v>29</v>
      </c>
      <c r="H3" s="52" t="s">
        <v>9</v>
      </c>
      <c r="I3" s="53" t="s">
        <v>10</v>
      </c>
      <c r="J3" s="54" t="s">
        <v>11</v>
      </c>
    </row>
    <row r="4" spans="1:11" ht="45" customHeight="1" x14ac:dyDescent="0.3">
      <c r="A4" s="55" t="s">
        <v>86</v>
      </c>
      <c r="B4" s="29" t="s">
        <v>89</v>
      </c>
      <c r="C4" s="29" t="s">
        <v>89</v>
      </c>
      <c r="D4" s="56" t="s">
        <v>79</v>
      </c>
      <c r="E4" s="38" t="s">
        <v>107</v>
      </c>
      <c r="F4" s="57" t="s">
        <v>80</v>
      </c>
      <c r="G4" s="38" t="s">
        <v>108</v>
      </c>
      <c r="H4" s="58">
        <v>3</v>
      </c>
      <c r="I4" s="58" t="s">
        <v>26</v>
      </c>
      <c r="J4" s="59"/>
      <c r="K4" s="46"/>
    </row>
    <row r="5" spans="1:11" ht="45" customHeight="1" x14ac:dyDescent="0.3">
      <c r="A5" s="55" t="s">
        <v>86</v>
      </c>
      <c r="B5" s="29" t="s">
        <v>89</v>
      </c>
      <c r="C5" s="29" t="s">
        <v>89</v>
      </c>
      <c r="D5" s="56" t="s">
        <v>81</v>
      </c>
      <c r="E5" s="38" t="s">
        <v>110</v>
      </c>
      <c r="F5" s="57" t="s">
        <v>84</v>
      </c>
      <c r="G5" s="38" t="s">
        <v>112</v>
      </c>
      <c r="H5" s="58">
        <v>3</v>
      </c>
      <c r="I5" s="58" t="s">
        <v>26</v>
      </c>
      <c r="J5" s="59"/>
      <c r="K5" s="46"/>
    </row>
    <row r="6" spans="1:11" ht="45" customHeight="1" x14ac:dyDescent="0.3">
      <c r="A6" s="55" t="s">
        <v>86</v>
      </c>
      <c r="B6" s="29" t="s">
        <v>89</v>
      </c>
      <c r="C6" s="29" t="s">
        <v>89</v>
      </c>
      <c r="D6" s="56" t="s">
        <v>82</v>
      </c>
      <c r="E6" s="38" t="s">
        <v>111</v>
      </c>
      <c r="F6" s="57" t="s">
        <v>109</v>
      </c>
      <c r="G6" s="38" t="s">
        <v>113</v>
      </c>
      <c r="H6" s="58">
        <v>3</v>
      </c>
      <c r="I6" s="58" t="s">
        <v>26</v>
      </c>
      <c r="J6" s="59"/>
      <c r="K6" s="46"/>
    </row>
    <row r="7" spans="1:11" ht="45" customHeight="1" x14ac:dyDescent="0.3">
      <c r="A7" s="55" t="s">
        <v>86</v>
      </c>
      <c r="B7" s="29" t="s">
        <v>90</v>
      </c>
      <c r="C7" s="29" t="s">
        <v>90</v>
      </c>
      <c r="D7" s="56" t="s">
        <v>79</v>
      </c>
      <c r="E7" s="38" t="s">
        <v>104</v>
      </c>
      <c r="F7" s="57" t="s">
        <v>91</v>
      </c>
      <c r="G7" s="38" t="s">
        <v>114</v>
      </c>
      <c r="H7" s="58">
        <v>2</v>
      </c>
      <c r="I7" s="58" t="s">
        <v>25</v>
      </c>
      <c r="J7" s="59"/>
      <c r="K7" s="46"/>
    </row>
    <row r="8" spans="1:11" ht="45" customHeight="1" x14ac:dyDescent="0.3">
      <c r="A8" s="55" t="s">
        <v>86</v>
      </c>
      <c r="B8" s="29" t="s">
        <v>90</v>
      </c>
      <c r="C8" s="29" t="s">
        <v>90</v>
      </c>
      <c r="D8" s="56" t="s">
        <v>81</v>
      </c>
      <c r="E8" s="38" t="s">
        <v>105</v>
      </c>
      <c r="F8" s="57" t="s">
        <v>92</v>
      </c>
      <c r="G8" s="38" t="s">
        <v>115</v>
      </c>
      <c r="H8" s="58">
        <v>2</v>
      </c>
      <c r="I8" s="58" t="s">
        <v>25</v>
      </c>
      <c r="J8" s="59"/>
      <c r="K8" s="46"/>
    </row>
    <row r="9" spans="1:11" ht="45" customHeight="1" x14ac:dyDescent="0.3">
      <c r="A9" s="55" t="s">
        <v>86</v>
      </c>
      <c r="B9" s="29" t="s">
        <v>90</v>
      </c>
      <c r="C9" s="29" t="s">
        <v>90</v>
      </c>
      <c r="D9" s="56" t="s">
        <v>82</v>
      </c>
      <c r="E9" s="38" t="s">
        <v>106</v>
      </c>
      <c r="F9" s="57" t="s">
        <v>83</v>
      </c>
      <c r="G9" s="38" t="s">
        <v>116</v>
      </c>
      <c r="H9" s="58">
        <v>2</v>
      </c>
      <c r="I9" s="58" t="s">
        <v>25</v>
      </c>
      <c r="J9" s="59"/>
      <c r="K9" s="46"/>
    </row>
    <row r="10" spans="1:11" ht="45" customHeight="1" x14ac:dyDescent="0.25">
      <c r="A10" s="55" t="s">
        <v>86</v>
      </c>
      <c r="B10" s="29" t="s">
        <v>93</v>
      </c>
      <c r="C10" s="29" t="s">
        <v>93</v>
      </c>
      <c r="D10" s="56" t="s">
        <v>79</v>
      </c>
      <c r="E10" s="38" t="s">
        <v>98</v>
      </c>
      <c r="F10" s="57" t="s">
        <v>101</v>
      </c>
      <c r="G10" s="38" t="s">
        <v>194</v>
      </c>
      <c r="H10" s="58">
        <v>2</v>
      </c>
      <c r="I10" s="58" t="s">
        <v>25</v>
      </c>
      <c r="J10" s="59"/>
      <c r="K10" s="46"/>
    </row>
    <row r="11" spans="1:11" ht="45" customHeight="1" x14ac:dyDescent="0.25">
      <c r="A11" s="55" t="s">
        <v>86</v>
      </c>
      <c r="B11" s="29" t="s">
        <v>93</v>
      </c>
      <c r="C11" s="29" t="s">
        <v>93</v>
      </c>
      <c r="D11" s="56" t="s">
        <v>81</v>
      </c>
      <c r="E11" s="38" t="s">
        <v>99</v>
      </c>
      <c r="F11" s="57" t="s">
        <v>102</v>
      </c>
      <c r="G11" s="38" t="s">
        <v>195</v>
      </c>
      <c r="H11" s="58">
        <v>2</v>
      </c>
      <c r="I11" s="58" t="s">
        <v>25</v>
      </c>
      <c r="J11" s="59"/>
    </row>
    <row r="12" spans="1:11" ht="45" customHeight="1" x14ac:dyDescent="0.25">
      <c r="A12" s="55" t="s">
        <v>86</v>
      </c>
      <c r="B12" s="29" t="s">
        <v>93</v>
      </c>
      <c r="C12" s="29" t="s">
        <v>93</v>
      </c>
      <c r="D12" s="56" t="s">
        <v>82</v>
      </c>
      <c r="E12" s="38" t="s">
        <v>100</v>
      </c>
      <c r="F12" s="57" t="s">
        <v>103</v>
      </c>
      <c r="G12" s="38" t="s">
        <v>196</v>
      </c>
      <c r="H12" s="58">
        <v>2</v>
      </c>
      <c r="I12" s="58" t="s">
        <v>25</v>
      </c>
      <c r="J12" s="59"/>
    </row>
    <row r="13" spans="1:11" ht="45" customHeight="1" x14ac:dyDescent="0.25">
      <c r="A13" s="55" t="s">
        <v>86</v>
      </c>
      <c r="B13" s="29" t="s">
        <v>90</v>
      </c>
      <c r="C13" s="29" t="s">
        <v>90</v>
      </c>
      <c r="D13" s="56" t="s">
        <v>228</v>
      </c>
      <c r="E13" s="38" t="s">
        <v>328</v>
      </c>
      <c r="F13" s="57" t="s">
        <v>283</v>
      </c>
      <c r="G13" s="38" t="s">
        <v>249</v>
      </c>
      <c r="H13" s="58">
        <v>2</v>
      </c>
      <c r="I13" s="58" t="s">
        <v>25</v>
      </c>
      <c r="J13" s="59"/>
    </row>
    <row r="14" spans="1:11" ht="45" customHeight="1" x14ac:dyDescent="0.25">
      <c r="A14" s="55" t="s">
        <v>86</v>
      </c>
      <c r="B14" s="29" t="s">
        <v>90</v>
      </c>
      <c r="C14" s="29" t="s">
        <v>90</v>
      </c>
      <c r="D14" s="56" t="s">
        <v>235</v>
      </c>
      <c r="E14" s="38" t="s">
        <v>329</v>
      </c>
      <c r="F14" s="57" t="s">
        <v>284</v>
      </c>
      <c r="G14" s="38" t="s">
        <v>250</v>
      </c>
      <c r="H14" s="58">
        <v>2</v>
      </c>
      <c r="I14" s="58" t="s">
        <v>25</v>
      </c>
      <c r="J14" s="59"/>
    </row>
    <row r="15" spans="1:11" ht="45" customHeight="1" x14ac:dyDescent="0.25">
      <c r="A15" s="55" t="s">
        <v>86</v>
      </c>
      <c r="B15" s="29" t="s">
        <v>90</v>
      </c>
      <c r="C15" s="29" t="s">
        <v>90</v>
      </c>
      <c r="D15" s="56" t="s">
        <v>238</v>
      </c>
      <c r="E15" s="38" t="s">
        <v>248</v>
      </c>
      <c r="F15" s="57" t="s">
        <v>285</v>
      </c>
      <c r="G15" s="38" t="s">
        <v>251</v>
      </c>
      <c r="H15" s="58">
        <v>2</v>
      </c>
      <c r="I15" s="58" t="s">
        <v>25</v>
      </c>
      <c r="J15" s="59"/>
    </row>
    <row r="16" spans="1:11" ht="45" customHeight="1" x14ac:dyDescent="0.25">
      <c r="A16" s="55" t="s">
        <v>86</v>
      </c>
      <c r="B16" s="29" t="s">
        <v>90</v>
      </c>
      <c r="C16" s="29" t="s">
        <v>90</v>
      </c>
      <c r="D16" s="56" t="s">
        <v>239</v>
      </c>
      <c r="E16" s="38" t="s">
        <v>247</v>
      </c>
      <c r="F16" s="57" t="s">
        <v>286</v>
      </c>
      <c r="G16" s="38" t="s">
        <v>252</v>
      </c>
      <c r="H16" s="58">
        <v>2</v>
      </c>
      <c r="I16" s="58" t="s">
        <v>25</v>
      </c>
      <c r="J16" s="59"/>
    </row>
    <row r="17" spans="1:10" ht="45" customHeight="1" x14ac:dyDescent="0.25">
      <c r="A17" s="55" t="s">
        <v>86</v>
      </c>
      <c r="B17" s="29" t="s">
        <v>90</v>
      </c>
      <c r="C17" s="29" t="s">
        <v>90</v>
      </c>
      <c r="D17" s="56" t="s">
        <v>242</v>
      </c>
      <c r="E17" s="38" t="s">
        <v>246</v>
      </c>
      <c r="F17" s="57" t="s">
        <v>287</v>
      </c>
      <c r="G17" s="38" t="s">
        <v>253</v>
      </c>
      <c r="H17" s="58">
        <v>2</v>
      </c>
      <c r="I17" s="58" t="s">
        <v>25</v>
      </c>
      <c r="J17" s="59"/>
    </row>
    <row r="18" spans="1:10" ht="45" customHeight="1" x14ac:dyDescent="0.25">
      <c r="A18" s="55" t="s">
        <v>86</v>
      </c>
      <c r="B18" s="29" t="s">
        <v>90</v>
      </c>
      <c r="C18" s="29" t="s">
        <v>90</v>
      </c>
      <c r="D18" s="56" t="s">
        <v>243</v>
      </c>
      <c r="E18" s="38" t="s">
        <v>245</v>
      </c>
      <c r="F18" s="57" t="s">
        <v>288</v>
      </c>
      <c r="G18" s="38" t="s">
        <v>254</v>
      </c>
      <c r="H18" s="58">
        <v>2</v>
      </c>
      <c r="I18" s="58" t="s">
        <v>25</v>
      </c>
      <c r="J18" s="59"/>
    </row>
    <row r="19" spans="1:10" ht="45" customHeight="1" x14ac:dyDescent="0.25">
      <c r="A19" s="55" t="s">
        <v>86</v>
      </c>
      <c r="B19" s="29" t="s">
        <v>90</v>
      </c>
      <c r="C19" s="29" t="s">
        <v>90</v>
      </c>
      <c r="D19" s="56" t="s">
        <v>244</v>
      </c>
      <c r="E19" s="38" t="s">
        <v>255</v>
      </c>
      <c r="F19" s="57" t="s">
        <v>289</v>
      </c>
      <c r="G19" s="38" t="s">
        <v>270</v>
      </c>
      <c r="H19" s="58">
        <v>2</v>
      </c>
      <c r="I19" s="58" t="s">
        <v>25</v>
      </c>
      <c r="J19" s="59"/>
    </row>
    <row r="20" spans="1:10" ht="45" customHeight="1" x14ac:dyDescent="0.25">
      <c r="A20" s="55" t="s">
        <v>86</v>
      </c>
      <c r="B20" s="29" t="s">
        <v>90</v>
      </c>
      <c r="C20" s="29" t="s">
        <v>90</v>
      </c>
      <c r="D20" s="56" t="s">
        <v>267</v>
      </c>
      <c r="E20" s="38" t="s">
        <v>268</v>
      </c>
      <c r="F20" s="57" t="s">
        <v>290</v>
      </c>
      <c r="G20" s="38" t="s">
        <v>269</v>
      </c>
      <c r="H20" s="58">
        <v>2</v>
      </c>
      <c r="I20" s="58" t="s">
        <v>25</v>
      </c>
      <c r="J20" s="59"/>
    </row>
    <row r="21" spans="1:10" ht="45" customHeight="1" x14ac:dyDescent="0.25">
      <c r="A21" s="55" t="s">
        <v>86</v>
      </c>
      <c r="B21" s="29" t="s">
        <v>90</v>
      </c>
      <c r="C21" s="29" t="s">
        <v>90</v>
      </c>
      <c r="D21" s="56" t="s">
        <v>277</v>
      </c>
      <c r="E21" s="38" t="s">
        <v>278</v>
      </c>
      <c r="F21" s="57" t="s">
        <v>291</v>
      </c>
      <c r="G21" s="38" t="s">
        <v>279</v>
      </c>
      <c r="H21" s="58">
        <v>2</v>
      </c>
      <c r="I21" s="58" t="s">
        <v>25</v>
      </c>
      <c r="J21" s="59"/>
    </row>
    <row r="22" spans="1:10" ht="45" customHeight="1" x14ac:dyDescent="0.25">
      <c r="A22" s="55" t="s">
        <v>86</v>
      </c>
      <c r="B22" s="29" t="s">
        <v>90</v>
      </c>
      <c r="C22" s="29" t="s">
        <v>90</v>
      </c>
      <c r="D22" s="56" t="s">
        <v>292</v>
      </c>
      <c r="E22" s="38" t="s">
        <v>293</v>
      </c>
      <c r="F22" s="57" t="s">
        <v>294</v>
      </c>
      <c r="G22" s="38" t="s">
        <v>279</v>
      </c>
      <c r="H22" s="58">
        <v>2</v>
      </c>
      <c r="I22" s="58" t="s">
        <v>25</v>
      </c>
      <c r="J22" s="59"/>
    </row>
    <row r="23" spans="1:10" ht="30" customHeight="1" x14ac:dyDescent="0.25">
      <c r="A23" s="55" t="s">
        <v>86</v>
      </c>
      <c r="B23" s="29" t="s">
        <v>94</v>
      </c>
      <c r="C23" s="29" t="s">
        <v>94</v>
      </c>
      <c r="D23" s="56" t="s">
        <v>79</v>
      </c>
      <c r="E23" s="38" t="s">
        <v>197</v>
      </c>
      <c r="F23" s="57" t="s">
        <v>95</v>
      </c>
      <c r="G23" s="38" t="s">
        <v>389</v>
      </c>
      <c r="H23" s="58">
        <v>4</v>
      </c>
      <c r="I23" s="58" t="s">
        <v>26</v>
      </c>
      <c r="J23" s="59"/>
    </row>
    <row r="24" spans="1:10" ht="30" customHeight="1" x14ac:dyDescent="0.25">
      <c r="A24" s="55" t="s">
        <v>86</v>
      </c>
      <c r="B24" s="29" t="s">
        <v>94</v>
      </c>
      <c r="C24" s="29" t="s">
        <v>94</v>
      </c>
      <c r="D24" s="56" t="s">
        <v>81</v>
      </c>
      <c r="E24" s="38" t="s">
        <v>198</v>
      </c>
      <c r="F24" s="57" t="s">
        <v>96</v>
      </c>
      <c r="G24" s="38" t="s">
        <v>390</v>
      </c>
      <c r="H24" s="58">
        <v>4</v>
      </c>
      <c r="I24" s="58" t="s">
        <v>26</v>
      </c>
      <c r="J24" s="59"/>
    </row>
    <row r="25" spans="1:10" ht="30" customHeight="1" x14ac:dyDescent="0.25">
      <c r="A25" s="55" t="s">
        <v>86</v>
      </c>
      <c r="B25" s="29" t="s">
        <v>94</v>
      </c>
      <c r="C25" s="29" t="s">
        <v>94</v>
      </c>
      <c r="D25" s="56" t="s">
        <v>82</v>
      </c>
      <c r="E25" s="38" t="s">
        <v>199</v>
      </c>
      <c r="F25" s="57" t="s">
        <v>97</v>
      </c>
      <c r="G25" s="38" t="s">
        <v>391</v>
      </c>
      <c r="H25" s="58">
        <v>4</v>
      </c>
      <c r="I25" s="58" t="s">
        <v>26</v>
      </c>
      <c r="J25" s="59"/>
    </row>
    <row r="26" spans="1:10" ht="45" customHeight="1" x14ac:dyDescent="0.25">
      <c r="A26" s="55" t="s">
        <v>86</v>
      </c>
      <c r="B26" s="29" t="s">
        <v>308</v>
      </c>
      <c r="C26" s="29" t="s">
        <v>308</v>
      </c>
      <c r="D26" s="56" t="s">
        <v>79</v>
      </c>
      <c r="E26" s="38" t="s">
        <v>203</v>
      </c>
      <c r="F26" s="57" t="s">
        <v>202</v>
      </c>
      <c r="G26" s="38" t="s">
        <v>392</v>
      </c>
      <c r="H26" s="58">
        <v>2</v>
      </c>
      <c r="I26" s="58" t="s">
        <v>25</v>
      </c>
      <c r="J26" s="59"/>
    </row>
    <row r="27" spans="1:10" ht="45" customHeight="1" x14ac:dyDescent="0.25">
      <c r="A27" s="82" t="s">
        <v>86</v>
      </c>
      <c r="B27" s="83" t="s">
        <v>308</v>
      </c>
      <c r="C27" s="83" t="s">
        <v>308</v>
      </c>
      <c r="D27" s="84" t="s">
        <v>81</v>
      </c>
      <c r="E27" s="44" t="s">
        <v>215</v>
      </c>
      <c r="F27" s="85" t="s">
        <v>216</v>
      </c>
      <c r="G27" s="44" t="s">
        <v>392</v>
      </c>
      <c r="H27" s="86">
        <v>2</v>
      </c>
      <c r="I27" s="86" t="s">
        <v>25</v>
      </c>
      <c r="J27" s="87"/>
    </row>
    <row r="28" spans="1:10" ht="30" customHeight="1" x14ac:dyDescent="0.25">
      <c r="A28" s="82" t="s">
        <v>86</v>
      </c>
      <c r="B28" s="83" t="s">
        <v>310</v>
      </c>
      <c r="C28" s="83" t="s">
        <v>310</v>
      </c>
      <c r="D28" s="84" t="s">
        <v>79</v>
      </c>
      <c r="E28" s="44" t="s">
        <v>312</v>
      </c>
      <c r="F28" s="85" t="s">
        <v>311</v>
      </c>
      <c r="G28" s="44" t="s">
        <v>393</v>
      </c>
      <c r="H28" s="86">
        <v>2</v>
      </c>
      <c r="I28" s="86" t="s">
        <v>25</v>
      </c>
      <c r="J28" s="87"/>
    </row>
    <row r="29" spans="1:10" ht="30" customHeight="1" x14ac:dyDescent="0.25">
      <c r="A29" s="82" t="s">
        <v>86</v>
      </c>
      <c r="B29" s="83" t="s">
        <v>310</v>
      </c>
      <c r="C29" s="83" t="s">
        <v>310</v>
      </c>
      <c r="D29" s="84" t="s">
        <v>81</v>
      </c>
      <c r="E29" s="44" t="s">
        <v>353</v>
      </c>
      <c r="F29" s="85" t="s">
        <v>327</v>
      </c>
      <c r="G29" s="44" t="s">
        <v>394</v>
      </c>
      <c r="H29" s="86">
        <v>2</v>
      </c>
      <c r="I29" s="86" t="s">
        <v>25</v>
      </c>
      <c r="J29" s="87"/>
    </row>
    <row r="30" spans="1:10" ht="30" customHeight="1" x14ac:dyDescent="0.25">
      <c r="A30" s="113" t="s">
        <v>86</v>
      </c>
      <c r="B30" s="83" t="s">
        <v>310</v>
      </c>
      <c r="C30" s="83" t="s">
        <v>310</v>
      </c>
      <c r="D30" s="84" t="s">
        <v>82</v>
      </c>
      <c r="E30" s="89" t="s">
        <v>354</v>
      </c>
      <c r="F30" s="84" t="s">
        <v>350</v>
      </c>
      <c r="G30" s="89" t="s">
        <v>395</v>
      </c>
      <c r="H30" s="84">
        <v>2</v>
      </c>
      <c r="I30" s="84" t="s">
        <v>25</v>
      </c>
      <c r="J30" s="114"/>
    </row>
    <row r="31" spans="1:10" ht="30" customHeight="1" x14ac:dyDescent="0.25">
      <c r="A31" s="113" t="s">
        <v>86</v>
      </c>
      <c r="B31" s="83" t="s">
        <v>310</v>
      </c>
      <c r="C31" s="83" t="s">
        <v>310</v>
      </c>
      <c r="D31" s="84" t="s">
        <v>228</v>
      </c>
      <c r="E31" s="89" t="s">
        <v>355</v>
      </c>
      <c r="F31" s="84" t="s">
        <v>352</v>
      </c>
      <c r="G31" s="89" t="s">
        <v>396</v>
      </c>
      <c r="H31" s="84">
        <v>2</v>
      </c>
      <c r="I31" s="84" t="s">
        <v>25</v>
      </c>
      <c r="J31" s="114"/>
    </row>
    <row r="32" spans="1:10" ht="45" customHeight="1" x14ac:dyDescent="0.25">
      <c r="A32" s="113" t="s">
        <v>86</v>
      </c>
      <c r="B32" s="83" t="s">
        <v>310</v>
      </c>
      <c r="C32" s="83" t="s">
        <v>310</v>
      </c>
      <c r="D32" s="84" t="s">
        <v>235</v>
      </c>
      <c r="E32" s="89" t="s">
        <v>356</v>
      </c>
      <c r="F32" s="84" t="s">
        <v>351</v>
      </c>
      <c r="G32" s="89" t="s">
        <v>397</v>
      </c>
      <c r="H32" s="84">
        <v>2</v>
      </c>
      <c r="I32" s="84" t="s">
        <v>25</v>
      </c>
      <c r="J32" s="114"/>
    </row>
    <row r="33" spans="1:10" ht="45" customHeight="1" x14ac:dyDescent="0.25">
      <c r="A33" s="113" t="s">
        <v>86</v>
      </c>
      <c r="B33" s="83" t="s">
        <v>310</v>
      </c>
      <c r="C33" s="83" t="s">
        <v>310</v>
      </c>
      <c r="D33" s="84" t="s">
        <v>238</v>
      </c>
      <c r="E33" s="89" t="s">
        <v>465</v>
      </c>
      <c r="F33" s="84" t="s">
        <v>464</v>
      </c>
      <c r="G33" s="89" t="s">
        <v>466</v>
      </c>
      <c r="H33" s="84">
        <v>2</v>
      </c>
      <c r="I33" s="84" t="s">
        <v>25</v>
      </c>
      <c r="J33" s="114"/>
    </row>
    <row r="34" spans="1:10" ht="30" customHeight="1" x14ac:dyDescent="0.25">
      <c r="A34" s="113" t="s">
        <v>86</v>
      </c>
      <c r="B34" s="83" t="s">
        <v>334</v>
      </c>
      <c r="C34" s="83" t="s">
        <v>334</v>
      </c>
      <c r="D34" s="84" t="s">
        <v>79</v>
      </c>
      <c r="E34" s="89" t="s">
        <v>365</v>
      </c>
      <c r="F34" s="84" t="s">
        <v>335</v>
      </c>
      <c r="G34" s="89" t="s">
        <v>398</v>
      </c>
      <c r="H34" s="84">
        <v>2</v>
      </c>
      <c r="I34" s="84" t="s">
        <v>25</v>
      </c>
      <c r="J34" s="114"/>
    </row>
    <row r="35" spans="1:10" ht="45" customHeight="1" x14ac:dyDescent="0.25">
      <c r="A35" s="113" t="s">
        <v>86</v>
      </c>
      <c r="B35" s="83" t="s">
        <v>334</v>
      </c>
      <c r="C35" s="83" t="s">
        <v>334</v>
      </c>
      <c r="D35" s="84" t="s">
        <v>81</v>
      </c>
      <c r="E35" s="89" t="s">
        <v>366</v>
      </c>
      <c r="F35" s="84" t="s">
        <v>367</v>
      </c>
      <c r="G35" s="89" t="s">
        <v>399</v>
      </c>
      <c r="H35" s="84">
        <v>2</v>
      </c>
      <c r="I35" s="84" t="s">
        <v>25</v>
      </c>
      <c r="J35" s="114"/>
    </row>
    <row r="36" spans="1:10" ht="30" customHeight="1" x14ac:dyDescent="0.25">
      <c r="A36" s="113" t="s">
        <v>86</v>
      </c>
      <c r="B36" s="83" t="s">
        <v>334</v>
      </c>
      <c r="C36" s="83" t="s">
        <v>334</v>
      </c>
      <c r="D36" s="84" t="s">
        <v>82</v>
      </c>
      <c r="E36" s="89" t="s">
        <v>373</v>
      </c>
      <c r="F36" s="84" t="s">
        <v>372</v>
      </c>
      <c r="G36" s="89" t="s">
        <v>400</v>
      </c>
      <c r="H36" s="84">
        <v>2</v>
      </c>
      <c r="I36" s="84" t="s">
        <v>25</v>
      </c>
      <c r="J36" s="114"/>
    </row>
    <row r="37" spans="1:10" ht="30" customHeight="1" x14ac:dyDescent="0.25">
      <c r="A37" s="113" t="s">
        <v>86</v>
      </c>
      <c r="B37" s="83" t="s">
        <v>334</v>
      </c>
      <c r="C37" s="83" t="s">
        <v>334</v>
      </c>
      <c r="D37" s="84" t="s">
        <v>228</v>
      </c>
      <c r="E37" s="89" t="s">
        <v>377</v>
      </c>
      <c r="F37" s="84" t="s">
        <v>376</v>
      </c>
      <c r="G37" s="89" t="s">
        <v>401</v>
      </c>
      <c r="H37" s="84">
        <v>2</v>
      </c>
      <c r="I37" s="84" t="s">
        <v>25</v>
      </c>
      <c r="J37" s="114"/>
    </row>
    <row r="38" spans="1:10" ht="30" customHeight="1" x14ac:dyDescent="0.25">
      <c r="A38" s="113" t="s">
        <v>86</v>
      </c>
      <c r="B38" s="83" t="s">
        <v>334</v>
      </c>
      <c r="C38" s="83" t="s">
        <v>334</v>
      </c>
      <c r="D38" s="84" t="s">
        <v>235</v>
      </c>
      <c r="E38" s="89" t="s">
        <v>377</v>
      </c>
      <c r="F38" s="84" t="s">
        <v>375</v>
      </c>
      <c r="G38" s="89" t="s">
        <v>402</v>
      </c>
      <c r="H38" s="84">
        <v>2</v>
      </c>
      <c r="I38" s="84" t="s">
        <v>25</v>
      </c>
      <c r="J38" s="114"/>
    </row>
    <row r="39" spans="1:10" ht="30" customHeight="1" x14ac:dyDescent="0.25">
      <c r="A39" s="113" t="s">
        <v>86</v>
      </c>
      <c r="B39" s="83" t="s">
        <v>334</v>
      </c>
      <c r="C39" s="83" t="s">
        <v>334</v>
      </c>
      <c r="D39" s="84" t="s">
        <v>238</v>
      </c>
      <c r="E39" s="89" t="s">
        <v>377</v>
      </c>
      <c r="F39" s="84" t="s">
        <v>374</v>
      </c>
      <c r="G39" s="89" t="s">
        <v>403</v>
      </c>
      <c r="H39" s="84">
        <v>2</v>
      </c>
      <c r="I39" s="84" t="s">
        <v>25</v>
      </c>
      <c r="J39" s="114"/>
    </row>
    <row r="40" spans="1:10" ht="30" customHeight="1" x14ac:dyDescent="0.25">
      <c r="A40" s="113" t="s">
        <v>86</v>
      </c>
      <c r="B40" s="83" t="s">
        <v>334</v>
      </c>
      <c r="C40" s="83" t="s">
        <v>334</v>
      </c>
      <c r="D40" s="84" t="s">
        <v>239</v>
      </c>
      <c r="E40" s="89" t="s">
        <v>384</v>
      </c>
      <c r="F40" s="84" t="s">
        <v>385</v>
      </c>
      <c r="G40" s="89" t="s">
        <v>404</v>
      </c>
      <c r="H40" s="84">
        <v>2</v>
      </c>
      <c r="I40" s="84" t="s">
        <v>25</v>
      </c>
      <c r="J40" s="114"/>
    </row>
    <row r="41" spans="1:10" ht="45" customHeight="1" x14ac:dyDescent="0.25">
      <c r="A41" s="113" t="s">
        <v>86</v>
      </c>
      <c r="B41" s="83" t="s">
        <v>334</v>
      </c>
      <c r="C41" s="83" t="s">
        <v>334</v>
      </c>
      <c r="D41" s="84" t="s">
        <v>242</v>
      </c>
      <c r="E41" s="89" t="s">
        <v>384</v>
      </c>
      <c r="F41" s="84" t="s">
        <v>386</v>
      </c>
      <c r="G41" s="89" t="s">
        <v>405</v>
      </c>
      <c r="H41" s="84">
        <v>2</v>
      </c>
      <c r="I41" s="84" t="s">
        <v>25</v>
      </c>
      <c r="J41" s="114"/>
    </row>
    <row r="42" spans="1:10" ht="30" customHeight="1" x14ac:dyDescent="0.25">
      <c r="A42" s="113" t="s">
        <v>86</v>
      </c>
      <c r="B42" s="83" t="s">
        <v>334</v>
      </c>
      <c r="C42" s="83" t="s">
        <v>334</v>
      </c>
      <c r="D42" s="84" t="s">
        <v>243</v>
      </c>
      <c r="E42" s="89" t="s">
        <v>384</v>
      </c>
      <c r="F42" s="84" t="s">
        <v>387</v>
      </c>
      <c r="G42" s="89" t="s">
        <v>406</v>
      </c>
      <c r="H42" s="84">
        <v>2</v>
      </c>
      <c r="I42" s="84" t="s">
        <v>25</v>
      </c>
      <c r="J42" s="114"/>
    </row>
    <row r="43" spans="1:10" ht="45" customHeight="1" x14ac:dyDescent="0.25">
      <c r="A43" s="113" t="s">
        <v>86</v>
      </c>
      <c r="B43" s="83" t="s">
        <v>334</v>
      </c>
      <c r="C43" s="83" t="s">
        <v>334</v>
      </c>
      <c r="D43" s="84" t="s">
        <v>244</v>
      </c>
      <c r="E43" s="89" t="s">
        <v>384</v>
      </c>
      <c r="F43" s="84" t="s">
        <v>388</v>
      </c>
      <c r="G43" s="89" t="s">
        <v>450</v>
      </c>
      <c r="H43" s="84">
        <v>2</v>
      </c>
      <c r="I43" s="84" t="s">
        <v>25</v>
      </c>
      <c r="J43" s="114"/>
    </row>
    <row r="44" spans="1:10" ht="60" customHeight="1" x14ac:dyDescent="0.25">
      <c r="A44" s="113" t="s">
        <v>86</v>
      </c>
      <c r="B44" s="83" t="s">
        <v>363</v>
      </c>
      <c r="C44" s="83" t="s">
        <v>363</v>
      </c>
      <c r="D44" s="84" t="s">
        <v>79</v>
      </c>
      <c r="E44" s="89" t="s">
        <v>410</v>
      </c>
      <c r="F44" s="84" t="s">
        <v>364</v>
      </c>
      <c r="G44" s="89" t="s">
        <v>411</v>
      </c>
      <c r="H44" s="84">
        <v>2</v>
      </c>
      <c r="I44" s="84" t="s">
        <v>25</v>
      </c>
      <c r="J44" s="114"/>
    </row>
    <row r="45" spans="1:10" ht="45" customHeight="1" thickBot="1" x14ac:dyDescent="0.3">
      <c r="A45" s="106" t="s">
        <v>86</v>
      </c>
      <c r="B45" s="107" t="s">
        <v>408</v>
      </c>
      <c r="C45" s="107" t="s">
        <v>408</v>
      </c>
      <c r="D45" s="108" t="s">
        <v>79</v>
      </c>
      <c r="E45" s="109" t="s">
        <v>336</v>
      </c>
      <c r="F45" s="108" t="s">
        <v>409</v>
      </c>
      <c r="G45" s="109" t="s">
        <v>407</v>
      </c>
      <c r="H45" s="108">
        <v>2</v>
      </c>
      <c r="I45" s="108" t="s">
        <v>25</v>
      </c>
      <c r="J45" s="110"/>
    </row>
    <row r="46" spans="1:10" ht="15.75" thickTop="1" x14ac:dyDescent="0.25"/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5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5.7109375" style="28" customWidth="1"/>
    <col min="2" max="2" width="5.7109375" style="28" customWidth="1"/>
    <col min="3" max="3" width="15.7109375" style="28" customWidth="1"/>
    <col min="4" max="4" width="60.7109375" style="28" customWidth="1"/>
    <col min="5" max="5" width="30.7109375" style="28" customWidth="1"/>
    <col min="6" max="6" width="50.7109375" style="28" customWidth="1"/>
    <col min="7" max="7" width="5.7109375" style="28" customWidth="1"/>
    <col min="8" max="8" width="11.5703125" style="28" customWidth="1"/>
    <col min="9" max="9" width="44.28515625" style="28" bestFit="1" customWidth="1"/>
    <col min="10" max="10" width="9.140625" style="28"/>
    <col min="11" max="11" width="25.85546875" style="28" bestFit="1" customWidth="1"/>
    <col min="12" max="16384" width="9.140625" style="28"/>
  </cols>
  <sheetData>
    <row r="1" spans="1:7" ht="27.75" customHeight="1" thickTop="1" thickBot="1" x14ac:dyDescent="0.35">
      <c r="A1" s="130" t="s">
        <v>4</v>
      </c>
      <c r="B1" s="131"/>
      <c r="C1" s="132"/>
      <c r="D1" s="133" t="str">
        <f>Copertina!C7</f>
        <v>MEV 19_021 RegInde</v>
      </c>
      <c r="E1" s="133"/>
      <c r="F1" s="133"/>
      <c r="G1" s="133"/>
    </row>
    <row r="2" spans="1:7" ht="32.25" customHeight="1" thickTop="1" thickBot="1" x14ac:dyDescent="0.35">
      <c r="A2" s="130" t="s">
        <v>12</v>
      </c>
      <c r="B2" s="134"/>
      <c r="C2" s="135"/>
      <c r="D2" s="133" t="str">
        <f>Copertina!C3</f>
        <v>SIUT-SIE-CT-1.4-20230110-Allegato_al_piano_test_021_RegInde_SIES.xlsx</v>
      </c>
      <c r="E2" s="133"/>
      <c r="F2" s="133"/>
      <c r="G2" s="133"/>
    </row>
    <row r="3" spans="1:7" ht="30.75" customHeight="1" thickTop="1" thickBot="1" x14ac:dyDescent="0.35">
      <c r="A3" s="72" t="s">
        <v>13</v>
      </c>
      <c r="B3" s="136" t="s">
        <v>28</v>
      </c>
      <c r="C3" s="136"/>
      <c r="D3" s="136" t="s">
        <v>30</v>
      </c>
      <c r="E3" s="136"/>
      <c r="F3" s="136" t="s">
        <v>29</v>
      </c>
      <c r="G3" s="136"/>
    </row>
    <row r="4" spans="1:7" s="36" customFormat="1" ht="41.25" customHeight="1" thickTop="1" thickBot="1" x14ac:dyDescent="0.35">
      <c r="A4" s="92" t="str">
        <f>TabellaTest!F4</f>
        <v>TF001.UC01</v>
      </c>
      <c r="B4" s="137" t="str">
        <f>TabellaTest!C4</f>
        <v>REQ-SIE-021-01</v>
      </c>
      <c r="C4" s="137"/>
      <c r="D4" s="137" t="str">
        <f>TabellaTest!E4</f>
        <v>Verifica gestione fori in SIUS</v>
      </c>
      <c r="E4" s="138"/>
      <c r="F4" s="137" t="str">
        <f>TabellaTest!G4</f>
        <v>Verifica: Verificare che nel sottosistema SIUS la descrizione dei Fori sia svincolata dalla descrizione dei comuni</v>
      </c>
      <c r="G4" s="138"/>
    </row>
    <row r="5" spans="1:7" ht="26.25" thickTop="1" x14ac:dyDescent="0.25">
      <c r="A5" s="139"/>
      <c r="B5" s="73" t="s">
        <v>34</v>
      </c>
      <c r="C5" s="74" t="s">
        <v>35</v>
      </c>
      <c r="D5" s="96" t="s">
        <v>36</v>
      </c>
      <c r="E5" s="96" t="s">
        <v>37</v>
      </c>
      <c r="F5" s="96" t="s">
        <v>38</v>
      </c>
      <c r="G5" s="97" t="s">
        <v>11</v>
      </c>
    </row>
    <row r="6" spans="1:7" ht="30" customHeight="1" x14ac:dyDescent="0.25">
      <c r="A6" s="120"/>
      <c r="B6" s="75" t="s">
        <v>39</v>
      </c>
      <c r="C6" s="37" t="s">
        <v>40</v>
      </c>
      <c r="D6" s="38" t="s">
        <v>121</v>
      </c>
      <c r="E6" s="38" t="s">
        <v>122</v>
      </c>
      <c r="F6" s="38"/>
      <c r="G6" s="76"/>
    </row>
    <row r="7" spans="1:7" ht="15" customHeight="1" x14ac:dyDescent="0.25">
      <c r="A7" s="120"/>
      <c r="B7" s="75" t="s">
        <v>39</v>
      </c>
      <c r="C7" s="37" t="s">
        <v>41</v>
      </c>
      <c r="D7" s="38" t="s">
        <v>309</v>
      </c>
      <c r="E7" s="38"/>
      <c r="F7" s="91"/>
      <c r="G7" s="76"/>
    </row>
    <row r="8" spans="1:7" ht="15" customHeight="1" x14ac:dyDescent="0.25">
      <c r="A8" s="120"/>
      <c r="B8" s="39">
        <v>1</v>
      </c>
      <c r="C8" s="39" t="s">
        <v>42</v>
      </c>
      <c r="D8" s="40" t="s">
        <v>141</v>
      </c>
      <c r="E8" s="41"/>
      <c r="F8" s="38" t="s">
        <v>144</v>
      </c>
      <c r="G8" s="76"/>
    </row>
    <row r="9" spans="1:7" ht="15" customHeight="1" x14ac:dyDescent="0.25">
      <c r="A9" s="120"/>
      <c r="B9" s="104">
        <v>2</v>
      </c>
      <c r="C9" s="42" t="s">
        <v>43</v>
      </c>
      <c r="D9" s="38" t="s">
        <v>143</v>
      </c>
      <c r="E9" s="41"/>
      <c r="F9" s="38" t="s">
        <v>144</v>
      </c>
      <c r="G9" s="76"/>
    </row>
    <row r="10" spans="1:7" ht="15" customHeight="1" x14ac:dyDescent="0.25">
      <c r="A10" s="120"/>
      <c r="B10" s="104">
        <v>3</v>
      </c>
      <c r="C10" s="42" t="s">
        <v>43</v>
      </c>
      <c r="D10" s="38" t="s">
        <v>145</v>
      </c>
      <c r="E10" s="41"/>
      <c r="F10" s="38" t="s">
        <v>128</v>
      </c>
      <c r="G10" s="76"/>
    </row>
    <row r="11" spans="1:7" ht="30" customHeight="1" x14ac:dyDescent="0.25">
      <c r="A11" s="120"/>
      <c r="B11" s="43" t="s">
        <v>87</v>
      </c>
      <c r="C11" s="43" t="s">
        <v>88</v>
      </c>
      <c r="D11" s="38" t="s">
        <v>130</v>
      </c>
      <c r="E11" s="91"/>
      <c r="F11" s="38"/>
      <c r="G11" s="76" t="s">
        <v>50</v>
      </c>
    </row>
    <row r="12" spans="1:7" ht="15" customHeight="1" x14ac:dyDescent="0.25">
      <c r="A12" s="120"/>
      <c r="B12" s="104">
        <v>4</v>
      </c>
      <c r="C12" s="42" t="s">
        <v>43</v>
      </c>
      <c r="D12" s="38" t="s">
        <v>132</v>
      </c>
      <c r="E12" s="38"/>
      <c r="F12" s="38" t="s">
        <v>131</v>
      </c>
      <c r="G12" s="76"/>
    </row>
    <row r="13" spans="1:7" ht="15" customHeight="1" x14ac:dyDescent="0.25">
      <c r="A13" s="120"/>
      <c r="B13" s="43" t="s">
        <v>87</v>
      </c>
      <c r="C13" s="43" t="s">
        <v>88</v>
      </c>
      <c r="D13" s="38" t="s">
        <v>133</v>
      </c>
      <c r="E13" s="91"/>
      <c r="F13" s="38"/>
      <c r="G13" s="76" t="s">
        <v>50</v>
      </c>
    </row>
    <row r="14" spans="1:7" ht="30" customHeight="1" x14ac:dyDescent="0.25">
      <c r="A14" s="120"/>
      <c r="B14" s="104">
        <v>5</v>
      </c>
      <c r="C14" s="42" t="s">
        <v>43</v>
      </c>
      <c r="D14" s="38" t="s">
        <v>134</v>
      </c>
      <c r="E14" s="38"/>
      <c r="F14" s="38"/>
      <c r="G14" s="76"/>
    </row>
    <row r="15" spans="1:7" ht="15" customHeight="1" x14ac:dyDescent="0.25">
      <c r="A15" s="120"/>
      <c r="B15" s="104">
        <v>6</v>
      </c>
      <c r="C15" s="42" t="s">
        <v>43</v>
      </c>
      <c r="D15" s="38" t="s">
        <v>135</v>
      </c>
      <c r="E15" s="38"/>
      <c r="F15" s="38" t="s">
        <v>146</v>
      </c>
      <c r="G15" s="76"/>
    </row>
    <row r="16" spans="1:7" ht="15" customHeight="1" x14ac:dyDescent="0.25">
      <c r="A16" s="120"/>
      <c r="B16" s="104">
        <v>7</v>
      </c>
      <c r="C16" s="42" t="s">
        <v>43</v>
      </c>
      <c r="D16" s="40" t="s">
        <v>142</v>
      </c>
      <c r="E16" s="41"/>
      <c r="F16" s="38" t="s">
        <v>146</v>
      </c>
      <c r="G16" s="76"/>
    </row>
    <row r="17" spans="1:7" ht="15" customHeight="1" x14ac:dyDescent="0.25">
      <c r="A17" s="120"/>
      <c r="B17" s="104">
        <v>8</v>
      </c>
      <c r="C17" s="42" t="s">
        <v>43</v>
      </c>
      <c r="D17" s="40" t="s">
        <v>147</v>
      </c>
      <c r="E17" s="41"/>
      <c r="F17" s="38" t="s">
        <v>148</v>
      </c>
      <c r="G17" s="76"/>
    </row>
    <row r="18" spans="1:7" ht="15" customHeight="1" x14ac:dyDescent="0.25">
      <c r="A18" s="120"/>
      <c r="B18" s="104">
        <v>9</v>
      </c>
      <c r="C18" s="42" t="s">
        <v>43</v>
      </c>
      <c r="D18" s="38" t="s">
        <v>149</v>
      </c>
      <c r="E18" s="41"/>
      <c r="F18" s="38"/>
      <c r="G18" s="76"/>
    </row>
    <row r="19" spans="1:7" ht="30" customHeight="1" x14ac:dyDescent="0.25">
      <c r="A19" s="120"/>
      <c r="B19" s="43" t="s">
        <v>87</v>
      </c>
      <c r="C19" s="43" t="s">
        <v>88</v>
      </c>
      <c r="D19" s="38" t="s">
        <v>150</v>
      </c>
      <c r="E19" s="38"/>
      <c r="F19" s="38"/>
      <c r="G19" s="76" t="s">
        <v>50</v>
      </c>
    </row>
    <row r="20" spans="1:7" s="36" customFormat="1" ht="30" customHeight="1" x14ac:dyDescent="0.3">
      <c r="A20" s="77" t="str">
        <f>TabellaTest!F5</f>
        <v>TF001.UC02</v>
      </c>
      <c r="B20" s="122" t="str">
        <f>TabellaTest!C5</f>
        <v>REQ-SIE-021-01</v>
      </c>
      <c r="C20" s="122"/>
      <c r="D20" s="122" t="str">
        <f>TabellaTest!E5</f>
        <v>Verifica gestione fori in SIEP</v>
      </c>
      <c r="E20" s="127"/>
      <c r="F20" s="122" t="str">
        <f>TabellaTest!G5</f>
        <v>Verifica: Verificare che nel sottosistema SIEP la descrizione dei Fori sia svincolata dalla descrizione dei comuni</v>
      </c>
      <c r="G20" s="128"/>
    </row>
    <row r="21" spans="1:7" ht="30" customHeight="1" x14ac:dyDescent="0.25">
      <c r="A21" s="124"/>
      <c r="B21" s="98" t="s">
        <v>34</v>
      </c>
      <c r="C21" s="98" t="s">
        <v>35</v>
      </c>
      <c r="D21" s="98" t="s">
        <v>36</v>
      </c>
      <c r="E21" s="98" t="s">
        <v>37</v>
      </c>
      <c r="F21" s="98" t="s">
        <v>38</v>
      </c>
      <c r="G21" s="99" t="s">
        <v>11</v>
      </c>
    </row>
    <row r="22" spans="1:7" ht="30" customHeight="1" x14ac:dyDescent="0.25">
      <c r="A22" s="125"/>
      <c r="B22" s="75" t="s">
        <v>39</v>
      </c>
      <c r="C22" s="37" t="s">
        <v>40</v>
      </c>
      <c r="D22" s="38" t="s">
        <v>119</v>
      </c>
      <c r="E22" s="38" t="s">
        <v>120</v>
      </c>
      <c r="F22" s="38"/>
      <c r="G22" s="76"/>
    </row>
    <row r="23" spans="1:7" ht="15" customHeight="1" x14ac:dyDescent="0.25">
      <c r="A23" s="125"/>
      <c r="B23" s="75" t="s">
        <v>39</v>
      </c>
      <c r="C23" s="37" t="s">
        <v>41</v>
      </c>
      <c r="D23" s="38" t="s">
        <v>309</v>
      </c>
      <c r="E23" s="38"/>
      <c r="F23" s="91"/>
      <c r="G23" s="76"/>
    </row>
    <row r="24" spans="1:7" ht="15" customHeight="1" x14ac:dyDescent="0.25">
      <c r="A24" s="125"/>
      <c r="B24" s="104">
        <v>1</v>
      </c>
      <c r="C24" s="42" t="s">
        <v>43</v>
      </c>
      <c r="D24" s="38" t="s">
        <v>136</v>
      </c>
      <c r="E24" s="41"/>
      <c r="F24" s="38" t="s">
        <v>127</v>
      </c>
      <c r="G24" s="76"/>
    </row>
    <row r="25" spans="1:7" ht="15" customHeight="1" x14ac:dyDescent="0.25">
      <c r="A25" s="125"/>
      <c r="B25" s="104">
        <v>2</v>
      </c>
      <c r="C25" s="42" t="s">
        <v>43</v>
      </c>
      <c r="D25" s="38" t="s">
        <v>129</v>
      </c>
      <c r="E25" s="41"/>
      <c r="F25" s="38" t="s">
        <v>128</v>
      </c>
      <c r="G25" s="76"/>
    </row>
    <row r="26" spans="1:7" ht="30" customHeight="1" x14ac:dyDescent="0.25">
      <c r="A26" s="125"/>
      <c r="B26" s="43" t="s">
        <v>87</v>
      </c>
      <c r="C26" s="43" t="s">
        <v>88</v>
      </c>
      <c r="D26" s="38" t="s">
        <v>130</v>
      </c>
      <c r="E26" s="91"/>
      <c r="F26" s="38"/>
      <c r="G26" s="76" t="s">
        <v>50</v>
      </c>
    </row>
    <row r="27" spans="1:7" ht="15" customHeight="1" x14ac:dyDescent="0.25">
      <c r="A27" s="125"/>
      <c r="B27" s="104">
        <v>3</v>
      </c>
      <c r="C27" s="42" t="s">
        <v>43</v>
      </c>
      <c r="D27" s="38" t="s">
        <v>132</v>
      </c>
      <c r="E27" s="38"/>
      <c r="F27" s="38" t="s">
        <v>131</v>
      </c>
      <c r="G27" s="76"/>
    </row>
    <row r="28" spans="1:7" ht="15" customHeight="1" x14ac:dyDescent="0.25">
      <c r="A28" s="125"/>
      <c r="B28" s="43" t="s">
        <v>87</v>
      </c>
      <c r="C28" s="43" t="s">
        <v>88</v>
      </c>
      <c r="D28" s="38" t="s">
        <v>133</v>
      </c>
      <c r="E28" s="91"/>
      <c r="F28" s="38"/>
      <c r="G28" s="76" t="s">
        <v>50</v>
      </c>
    </row>
    <row r="29" spans="1:7" ht="30" customHeight="1" x14ac:dyDescent="0.25">
      <c r="A29" s="125"/>
      <c r="B29" s="104">
        <v>4</v>
      </c>
      <c r="C29" s="42" t="s">
        <v>43</v>
      </c>
      <c r="D29" s="38" t="s">
        <v>134</v>
      </c>
      <c r="E29" s="38"/>
      <c r="F29" s="38"/>
      <c r="G29" s="76"/>
    </row>
    <row r="30" spans="1:7" ht="15" customHeight="1" x14ac:dyDescent="0.25">
      <c r="A30" s="125"/>
      <c r="B30" s="104">
        <v>5</v>
      </c>
      <c r="C30" s="42" t="s">
        <v>43</v>
      </c>
      <c r="D30" s="38" t="s">
        <v>135</v>
      </c>
      <c r="E30" s="38"/>
      <c r="F30" s="38" t="s">
        <v>127</v>
      </c>
      <c r="G30" s="76"/>
    </row>
    <row r="31" spans="1:7" ht="30" customHeight="1" x14ac:dyDescent="0.25">
      <c r="A31" s="125"/>
      <c r="B31" s="104">
        <v>6</v>
      </c>
      <c r="C31" s="42" t="s">
        <v>43</v>
      </c>
      <c r="D31" s="38" t="s">
        <v>137</v>
      </c>
      <c r="E31" s="38"/>
      <c r="F31" s="38" t="s">
        <v>127</v>
      </c>
      <c r="G31" s="76"/>
    </row>
    <row r="32" spans="1:7" ht="15" customHeight="1" x14ac:dyDescent="0.25">
      <c r="A32" s="125"/>
      <c r="B32" s="39">
        <v>7</v>
      </c>
      <c r="C32" s="39" t="s">
        <v>42</v>
      </c>
      <c r="D32" s="40" t="s">
        <v>138</v>
      </c>
      <c r="E32" s="41"/>
      <c r="F32" s="38" t="s">
        <v>139</v>
      </c>
      <c r="G32" s="76"/>
    </row>
    <row r="33" spans="1:7" ht="30" customHeight="1" x14ac:dyDescent="0.25">
      <c r="A33" s="126"/>
      <c r="B33" s="43" t="s">
        <v>87</v>
      </c>
      <c r="C33" s="43" t="s">
        <v>88</v>
      </c>
      <c r="D33" s="38" t="s">
        <v>140</v>
      </c>
      <c r="E33" s="38"/>
      <c r="F33" s="38"/>
      <c r="G33" s="76" t="s">
        <v>50</v>
      </c>
    </row>
    <row r="34" spans="1:7" s="36" customFormat="1" ht="30" customHeight="1" x14ac:dyDescent="0.25">
      <c r="A34" s="77" t="str">
        <f>TabellaTest!F6</f>
        <v>TF001.UC03</v>
      </c>
      <c r="B34" s="122" t="str">
        <f>TabellaTest!C6</f>
        <v>REQ-SIE-021-01</v>
      </c>
      <c r="C34" s="122"/>
      <c r="D34" s="122" t="str">
        <f>TabellaTest!E6</f>
        <v>Verifica gestione fori in SIGE</v>
      </c>
      <c r="E34" s="127"/>
      <c r="F34" s="122" t="str">
        <f>TabellaTest!G6</f>
        <v>Verifica: Verificare che nel sottosistema SIGE la descrizione dei Fori sia svincolata dalla descrizione dei comuni</v>
      </c>
      <c r="G34" s="128"/>
    </row>
    <row r="35" spans="1:7" ht="30" customHeight="1" x14ac:dyDescent="0.25">
      <c r="A35" s="124"/>
      <c r="B35" s="98" t="s">
        <v>34</v>
      </c>
      <c r="C35" s="98" t="s">
        <v>35</v>
      </c>
      <c r="D35" s="98" t="s">
        <v>36</v>
      </c>
      <c r="E35" s="98" t="s">
        <v>37</v>
      </c>
      <c r="F35" s="98" t="s">
        <v>38</v>
      </c>
      <c r="G35" s="99" t="s">
        <v>11</v>
      </c>
    </row>
    <row r="36" spans="1:7" ht="30" customHeight="1" x14ac:dyDescent="0.25">
      <c r="A36" s="125"/>
      <c r="B36" s="75" t="s">
        <v>39</v>
      </c>
      <c r="C36" s="37" t="s">
        <v>40</v>
      </c>
      <c r="D36" s="38" t="s">
        <v>117</v>
      </c>
      <c r="E36" s="38" t="s">
        <v>118</v>
      </c>
      <c r="F36" s="38"/>
      <c r="G36" s="76"/>
    </row>
    <row r="37" spans="1:7" ht="15" customHeight="1" x14ac:dyDescent="0.25">
      <c r="A37" s="125"/>
      <c r="B37" s="75" t="s">
        <v>39</v>
      </c>
      <c r="C37" s="37" t="s">
        <v>41</v>
      </c>
      <c r="D37" s="38" t="s">
        <v>309</v>
      </c>
      <c r="E37" s="38"/>
      <c r="F37" s="91"/>
      <c r="G37" s="76"/>
    </row>
    <row r="38" spans="1:7" ht="15" customHeight="1" x14ac:dyDescent="0.25">
      <c r="A38" s="125"/>
      <c r="B38" s="39">
        <v>1</v>
      </c>
      <c r="C38" s="39" t="s">
        <v>42</v>
      </c>
      <c r="D38" s="40" t="s">
        <v>151</v>
      </c>
      <c r="E38" s="41"/>
      <c r="F38" s="38" t="s">
        <v>144</v>
      </c>
      <c r="G38" s="76"/>
    </row>
    <row r="39" spans="1:7" ht="15" customHeight="1" x14ac:dyDescent="0.25">
      <c r="A39" s="125"/>
      <c r="B39" s="104">
        <v>2</v>
      </c>
      <c r="C39" s="42" t="s">
        <v>43</v>
      </c>
      <c r="D39" s="38" t="s">
        <v>152</v>
      </c>
      <c r="E39" s="41"/>
      <c r="F39" s="38" t="s">
        <v>144</v>
      </c>
      <c r="G39" s="76"/>
    </row>
    <row r="40" spans="1:7" ht="15" customHeight="1" x14ac:dyDescent="0.25">
      <c r="A40" s="125"/>
      <c r="B40" s="104">
        <v>3</v>
      </c>
      <c r="C40" s="42" t="s">
        <v>43</v>
      </c>
      <c r="D40" s="38" t="s">
        <v>145</v>
      </c>
      <c r="E40" s="41"/>
      <c r="F40" s="38" t="s">
        <v>128</v>
      </c>
      <c r="G40" s="76"/>
    </row>
    <row r="41" spans="1:7" ht="30" customHeight="1" x14ac:dyDescent="0.25">
      <c r="A41" s="125"/>
      <c r="B41" s="43" t="s">
        <v>87</v>
      </c>
      <c r="C41" s="43" t="s">
        <v>88</v>
      </c>
      <c r="D41" s="38" t="s">
        <v>130</v>
      </c>
      <c r="E41" s="91"/>
      <c r="F41" s="38"/>
      <c r="G41" s="76" t="s">
        <v>50</v>
      </c>
    </row>
    <row r="42" spans="1:7" ht="15" customHeight="1" x14ac:dyDescent="0.25">
      <c r="A42" s="125"/>
      <c r="B42" s="104">
        <v>4</v>
      </c>
      <c r="C42" s="42" t="s">
        <v>43</v>
      </c>
      <c r="D42" s="38" t="s">
        <v>132</v>
      </c>
      <c r="E42" s="38"/>
      <c r="F42" s="38" t="s">
        <v>131</v>
      </c>
      <c r="G42" s="76"/>
    </row>
    <row r="43" spans="1:7" ht="15" customHeight="1" x14ac:dyDescent="0.25">
      <c r="A43" s="125"/>
      <c r="B43" s="43" t="s">
        <v>87</v>
      </c>
      <c r="C43" s="43" t="s">
        <v>88</v>
      </c>
      <c r="D43" s="38" t="s">
        <v>133</v>
      </c>
      <c r="E43" s="91"/>
      <c r="F43" s="38"/>
      <c r="G43" s="76" t="s">
        <v>50</v>
      </c>
    </row>
    <row r="44" spans="1:7" ht="30" customHeight="1" x14ac:dyDescent="0.25">
      <c r="A44" s="125"/>
      <c r="B44" s="104">
        <v>5</v>
      </c>
      <c r="C44" s="42" t="s">
        <v>43</v>
      </c>
      <c r="D44" s="38" t="s">
        <v>134</v>
      </c>
      <c r="E44" s="38"/>
      <c r="F44" s="38"/>
      <c r="G44" s="76"/>
    </row>
    <row r="45" spans="1:7" ht="15" customHeight="1" x14ac:dyDescent="0.25">
      <c r="A45" s="125"/>
      <c r="B45" s="104">
        <v>6</v>
      </c>
      <c r="C45" s="42" t="s">
        <v>43</v>
      </c>
      <c r="D45" s="38" t="s">
        <v>135</v>
      </c>
      <c r="E45" s="38"/>
      <c r="F45" s="38" t="s">
        <v>146</v>
      </c>
      <c r="G45" s="76"/>
    </row>
    <row r="46" spans="1:7" ht="15" customHeight="1" x14ac:dyDescent="0.25">
      <c r="A46" s="125"/>
      <c r="B46" s="104">
        <v>7</v>
      </c>
      <c r="C46" s="42" t="s">
        <v>43</v>
      </c>
      <c r="D46" s="40" t="s">
        <v>142</v>
      </c>
      <c r="E46" s="41"/>
      <c r="F46" s="38" t="s">
        <v>146</v>
      </c>
      <c r="G46" s="76"/>
    </row>
    <row r="47" spans="1:7" ht="15" customHeight="1" x14ac:dyDescent="0.25">
      <c r="A47" s="125"/>
      <c r="B47" s="104">
        <v>8</v>
      </c>
      <c r="C47" s="42" t="s">
        <v>43</v>
      </c>
      <c r="D47" s="40" t="s">
        <v>147</v>
      </c>
      <c r="E47" s="41"/>
      <c r="F47" s="38" t="s">
        <v>148</v>
      </c>
      <c r="G47" s="76"/>
    </row>
    <row r="48" spans="1:7" ht="15" customHeight="1" x14ac:dyDescent="0.25">
      <c r="A48" s="125"/>
      <c r="B48" s="104">
        <v>9</v>
      </c>
      <c r="C48" s="42" t="s">
        <v>43</v>
      </c>
      <c r="D48" s="38" t="s">
        <v>149</v>
      </c>
      <c r="E48" s="41"/>
      <c r="F48" s="38"/>
      <c r="G48" s="76"/>
    </row>
    <row r="49" spans="1:7" ht="30" customHeight="1" x14ac:dyDescent="0.25">
      <c r="A49" s="126"/>
      <c r="B49" s="43" t="s">
        <v>87</v>
      </c>
      <c r="C49" s="43" t="s">
        <v>88</v>
      </c>
      <c r="D49" s="38" t="s">
        <v>150</v>
      </c>
      <c r="E49" s="38"/>
      <c r="F49" s="38"/>
      <c r="G49" s="76" t="s">
        <v>50</v>
      </c>
    </row>
    <row r="50" spans="1:7" s="36" customFormat="1" ht="30" customHeight="1" x14ac:dyDescent="0.25">
      <c r="A50" s="77" t="str">
        <f>TabellaTest!F7</f>
        <v>TF002.UC01</v>
      </c>
      <c r="B50" s="122" t="str">
        <f>TabellaTest!C7</f>
        <v>REQ- SIE-021-02</v>
      </c>
      <c r="C50" s="122"/>
      <c r="D50" s="122" t="str">
        <f>TabellaTest!E7</f>
        <v>Verifica inserimento anagrafica avvocato tramite RegInde in SIUS</v>
      </c>
      <c r="E50" s="127"/>
      <c r="F50" s="122" t="str">
        <f>TabellaTest!G7</f>
        <v>Verifica: verificare che nel sottosistema SIUS l'inserimento di un avvocato avvenga tramite accesso a RegInde</v>
      </c>
      <c r="G50" s="128"/>
    </row>
    <row r="51" spans="1:7" ht="30" customHeight="1" x14ac:dyDescent="0.25">
      <c r="A51" s="120"/>
      <c r="B51" s="98" t="s">
        <v>34</v>
      </c>
      <c r="C51" s="98" t="s">
        <v>35</v>
      </c>
      <c r="D51" s="98" t="s">
        <v>36</v>
      </c>
      <c r="E51" s="98" t="s">
        <v>37</v>
      </c>
      <c r="F51" s="98" t="s">
        <v>38</v>
      </c>
      <c r="G51" s="99" t="s">
        <v>11</v>
      </c>
    </row>
    <row r="52" spans="1:7" ht="30" customHeight="1" x14ac:dyDescent="0.25">
      <c r="A52" s="120"/>
      <c r="B52" s="75" t="s">
        <v>39</v>
      </c>
      <c r="C52" s="37" t="s">
        <v>40</v>
      </c>
      <c r="D52" s="38" t="s">
        <v>121</v>
      </c>
      <c r="E52" s="38" t="s">
        <v>122</v>
      </c>
      <c r="F52" s="38"/>
      <c r="G52" s="76"/>
    </row>
    <row r="53" spans="1:7" ht="15" customHeight="1" x14ac:dyDescent="0.25">
      <c r="A53" s="120"/>
      <c r="B53" s="75" t="s">
        <v>39</v>
      </c>
      <c r="C53" s="37" t="s">
        <v>41</v>
      </c>
      <c r="D53" s="38" t="s">
        <v>309</v>
      </c>
      <c r="E53" s="38"/>
      <c r="F53" s="91"/>
      <c r="G53" s="76"/>
    </row>
    <row r="54" spans="1:7" ht="15" customHeight="1" x14ac:dyDescent="0.25">
      <c r="A54" s="120"/>
      <c r="B54" s="39">
        <v>1</v>
      </c>
      <c r="C54" s="39" t="s">
        <v>42</v>
      </c>
      <c r="D54" s="40" t="s">
        <v>153</v>
      </c>
      <c r="E54" s="41"/>
      <c r="F54" s="38" t="s">
        <v>154</v>
      </c>
      <c r="G54" s="76"/>
    </row>
    <row r="55" spans="1:7" ht="15" customHeight="1" x14ac:dyDescent="0.25">
      <c r="A55" s="120"/>
      <c r="B55" s="104">
        <v>2</v>
      </c>
      <c r="C55" s="42" t="s">
        <v>43</v>
      </c>
      <c r="D55" s="38" t="s">
        <v>155</v>
      </c>
      <c r="E55" s="41"/>
      <c r="F55" s="38" t="s">
        <v>154</v>
      </c>
      <c r="G55" s="76"/>
    </row>
    <row r="56" spans="1:7" ht="45" customHeight="1" x14ac:dyDescent="0.25">
      <c r="A56" s="120"/>
      <c r="B56" s="104">
        <v>3</v>
      </c>
      <c r="C56" s="42" t="s">
        <v>43</v>
      </c>
      <c r="D56" s="38" t="s">
        <v>145</v>
      </c>
      <c r="E56" s="41"/>
      <c r="F56" s="38" t="s">
        <v>156</v>
      </c>
      <c r="G56" s="76"/>
    </row>
    <row r="57" spans="1:7" ht="45" customHeight="1" x14ac:dyDescent="0.25">
      <c r="A57" s="120"/>
      <c r="B57" s="104">
        <v>4</v>
      </c>
      <c r="C57" s="42" t="s">
        <v>43</v>
      </c>
      <c r="D57" s="38" t="s">
        <v>415</v>
      </c>
      <c r="E57" s="41"/>
      <c r="F57" s="38" t="s">
        <v>157</v>
      </c>
      <c r="G57" s="76"/>
    </row>
    <row r="58" spans="1:7" ht="15" customHeight="1" x14ac:dyDescent="0.25">
      <c r="A58" s="120"/>
      <c r="B58" s="104">
        <v>5</v>
      </c>
      <c r="C58" s="42" t="s">
        <v>43</v>
      </c>
      <c r="D58" s="38" t="s">
        <v>132</v>
      </c>
      <c r="E58" s="38"/>
      <c r="F58" s="38" t="s">
        <v>131</v>
      </c>
      <c r="G58" s="76"/>
    </row>
    <row r="59" spans="1:7" ht="30" customHeight="1" x14ac:dyDescent="0.25">
      <c r="A59" s="120"/>
      <c r="B59" s="104">
        <v>6</v>
      </c>
      <c r="C59" s="42" t="s">
        <v>43</v>
      </c>
      <c r="D59" s="38" t="s">
        <v>233</v>
      </c>
      <c r="E59" s="38"/>
      <c r="F59" s="38" t="s">
        <v>166</v>
      </c>
      <c r="G59" s="76"/>
    </row>
    <row r="60" spans="1:7" ht="15" customHeight="1" x14ac:dyDescent="0.25">
      <c r="A60" s="120"/>
      <c r="B60" s="104">
        <v>7</v>
      </c>
      <c r="C60" s="42" t="s">
        <v>43</v>
      </c>
      <c r="D60" s="38" t="s">
        <v>158</v>
      </c>
      <c r="E60" s="38"/>
      <c r="F60" s="38" t="s">
        <v>157</v>
      </c>
      <c r="G60" s="76"/>
    </row>
    <row r="61" spans="1:7" ht="15" customHeight="1" x14ac:dyDescent="0.25">
      <c r="A61" s="120"/>
      <c r="B61" s="104">
        <v>8</v>
      </c>
      <c r="C61" s="42" t="s">
        <v>43</v>
      </c>
      <c r="D61" s="38" t="s">
        <v>159</v>
      </c>
      <c r="E61" s="41"/>
      <c r="F61" s="38" t="s">
        <v>160</v>
      </c>
      <c r="G61" s="76"/>
    </row>
    <row r="62" spans="1:7" ht="15" customHeight="1" x14ac:dyDescent="0.25">
      <c r="A62" s="120"/>
      <c r="B62" s="104">
        <v>9</v>
      </c>
      <c r="C62" s="42" t="s">
        <v>43</v>
      </c>
      <c r="D62" s="38" t="s">
        <v>161</v>
      </c>
      <c r="E62" s="41"/>
      <c r="F62" s="38"/>
      <c r="G62" s="76"/>
    </row>
    <row r="63" spans="1:7" ht="30" customHeight="1" x14ac:dyDescent="0.25">
      <c r="A63" s="120"/>
      <c r="B63" s="43" t="s">
        <v>87</v>
      </c>
      <c r="C63" s="43" t="s">
        <v>88</v>
      </c>
      <c r="D63" s="38" t="s">
        <v>170</v>
      </c>
      <c r="E63" s="91"/>
      <c r="F63" s="38"/>
      <c r="G63" s="76" t="s">
        <v>50</v>
      </c>
    </row>
    <row r="64" spans="1:7" s="36" customFormat="1" ht="30" customHeight="1" x14ac:dyDescent="0.25">
      <c r="A64" s="77" t="str">
        <f>TabellaTest!F8</f>
        <v>TF002.UC02</v>
      </c>
      <c r="B64" s="122" t="str">
        <f>TabellaTest!C8</f>
        <v>REQ- SIE-021-02</v>
      </c>
      <c r="C64" s="122"/>
      <c r="D64" s="122" t="str">
        <f>TabellaTest!E8</f>
        <v>Verifica inserimento anagrafica avvocato tramite RegInde in SIEP</v>
      </c>
      <c r="E64" s="127"/>
      <c r="F64" s="122" t="str">
        <f>TabellaTest!G8</f>
        <v>Verifica: verificare che nel sottosistema SIEP l'inserimento di un avvocato avvenga tramite accesso a RegInde</v>
      </c>
      <c r="G64" s="128"/>
    </row>
    <row r="65" spans="1:7" ht="30" customHeight="1" x14ac:dyDescent="0.25">
      <c r="A65" s="120"/>
      <c r="B65" s="98" t="s">
        <v>34</v>
      </c>
      <c r="C65" s="98" t="s">
        <v>35</v>
      </c>
      <c r="D65" s="98" t="s">
        <v>36</v>
      </c>
      <c r="E65" s="98" t="s">
        <v>37</v>
      </c>
      <c r="F65" s="98" t="s">
        <v>38</v>
      </c>
      <c r="G65" s="99" t="s">
        <v>11</v>
      </c>
    </row>
    <row r="66" spans="1:7" ht="30" customHeight="1" x14ac:dyDescent="0.25">
      <c r="A66" s="120"/>
      <c r="B66" s="75" t="s">
        <v>39</v>
      </c>
      <c r="C66" s="37" t="s">
        <v>40</v>
      </c>
      <c r="D66" s="38" t="s">
        <v>119</v>
      </c>
      <c r="E66" s="38" t="s">
        <v>120</v>
      </c>
      <c r="F66" s="38"/>
      <c r="G66" s="76"/>
    </row>
    <row r="67" spans="1:7" ht="15" customHeight="1" x14ac:dyDescent="0.25">
      <c r="A67" s="120"/>
      <c r="B67" s="75" t="s">
        <v>39</v>
      </c>
      <c r="C67" s="37" t="s">
        <v>41</v>
      </c>
      <c r="D67" s="38" t="s">
        <v>309</v>
      </c>
      <c r="E67" s="38"/>
      <c r="F67" s="91"/>
      <c r="G67" s="76"/>
    </row>
    <row r="68" spans="1:7" ht="15" customHeight="1" x14ac:dyDescent="0.25">
      <c r="A68" s="120"/>
      <c r="B68" s="104">
        <v>1</v>
      </c>
      <c r="C68" s="42" t="s">
        <v>43</v>
      </c>
      <c r="D68" s="38" t="s">
        <v>136</v>
      </c>
      <c r="E68" s="41"/>
      <c r="F68" s="38" t="s">
        <v>127</v>
      </c>
      <c r="G68" s="76"/>
    </row>
    <row r="69" spans="1:7" ht="15" customHeight="1" x14ac:dyDescent="0.25">
      <c r="A69" s="120"/>
      <c r="B69" s="104">
        <v>2</v>
      </c>
      <c r="C69" s="42" t="s">
        <v>43</v>
      </c>
      <c r="D69" s="38" t="s">
        <v>129</v>
      </c>
      <c r="E69" s="41"/>
      <c r="F69" s="38" t="s">
        <v>128</v>
      </c>
      <c r="G69" s="76"/>
    </row>
    <row r="70" spans="1:7" ht="15" customHeight="1" x14ac:dyDescent="0.25">
      <c r="A70" s="120"/>
      <c r="B70" s="104">
        <v>3</v>
      </c>
      <c r="C70" s="42" t="s">
        <v>43</v>
      </c>
      <c r="D70" s="38" t="s">
        <v>132</v>
      </c>
      <c r="E70" s="38"/>
      <c r="F70" s="38" t="s">
        <v>131</v>
      </c>
      <c r="G70" s="76"/>
    </row>
    <row r="71" spans="1:7" ht="30" customHeight="1" x14ac:dyDescent="0.25">
      <c r="A71" s="120"/>
      <c r="B71" s="104">
        <v>4</v>
      </c>
      <c r="C71" s="42" t="s">
        <v>43</v>
      </c>
      <c r="D71" s="38" t="s">
        <v>233</v>
      </c>
      <c r="E71" s="38"/>
      <c r="F71" s="38" t="s">
        <v>264</v>
      </c>
      <c r="G71" s="76"/>
    </row>
    <row r="72" spans="1:7" ht="15" customHeight="1" x14ac:dyDescent="0.25">
      <c r="A72" s="120"/>
      <c r="B72" s="104">
        <v>5</v>
      </c>
      <c r="C72" s="42" t="s">
        <v>43</v>
      </c>
      <c r="D72" s="38" t="s">
        <v>158</v>
      </c>
      <c r="E72" s="38"/>
      <c r="F72" s="38" t="s">
        <v>157</v>
      </c>
      <c r="G72" s="76"/>
    </row>
    <row r="73" spans="1:7" ht="15" customHeight="1" x14ac:dyDescent="0.25">
      <c r="A73" s="120"/>
      <c r="B73" s="104">
        <v>6</v>
      </c>
      <c r="C73" s="42" t="s">
        <v>43</v>
      </c>
      <c r="D73" s="38" t="s">
        <v>159</v>
      </c>
      <c r="E73" s="41"/>
      <c r="F73" s="38" t="s">
        <v>160</v>
      </c>
      <c r="G73" s="76"/>
    </row>
    <row r="74" spans="1:7" ht="15" customHeight="1" x14ac:dyDescent="0.25">
      <c r="A74" s="120"/>
      <c r="B74" s="104">
        <v>7</v>
      </c>
      <c r="C74" s="42" t="s">
        <v>43</v>
      </c>
      <c r="D74" s="38" t="s">
        <v>165</v>
      </c>
      <c r="E74" s="41"/>
      <c r="F74" s="38" t="s">
        <v>127</v>
      </c>
      <c r="G74" s="76"/>
    </row>
    <row r="75" spans="1:7" ht="30" customHeight="1" x14ac:dyDescent="0.25">
      <c r="A75" s="120"/>
      <c r="B75" s="43" t="s">
        <v>87</v>
      </c>
      <c r="C75" s="43" t="s">
        <v>88</v>
      </c>
      <c r="D75" s="38" t="s">
        <v>170</v>
      </c>
      <c r="E75" s="91"/>
      <c r="F75" s="38"/>
      <c r="G75" s="76" t="s">
        <v>50</v>
      </c>
    </row>
    <row r="76" spans="1:7" s="36" customFormat="1" ht="30" customHeight="1" x14ac:dyDescent="0.25">
      <c r="A76" s="77" t="str">
        <f>TabellaTest!F9</f>
        <v>TF002.UC03</v>
      </c>
      <c r="B76" s="121" t="str">
        <f>TabellaTest!C9</f>
        <v>REQ- SIE-021-02</v>
      </c>
      <c r="C76" s="122"/>
      <c r="D76" s="122" t="str">
        <f>TabellaTest!E9</f>
        <v>Verifica inserimento anagrafica avvocato tramite RegInde in SIGE</v>
      </c>
      <c r="E76" s="127"/>
      <c r="F76" s="122" t="str">
        <f>TabellaTest!G9</f>
        <v>Verifica: verificare che nel sottosistema SIGE l'inserimento di un avvocato avvenga tramite accesso a RegInde</v>
      </c>
      <c r="G76" s="128"/>
    </row>
    <row r="77" spans="1:7" ht="30" customHeight="1" x14ac:dyDescent="0.25">
      <c r="A77" s="124"/>
      <c r="B77" s="98" t="s">
        <v>34</v>
      </c>
      <c r="C77" s="98" t="s">
        <v>35</v>
      </c>
      <c r="D77" s="98" t="s">
        <v>36</v>
      </c>
      <c r="E77" s="98" t="s">
        <v>37</v>
      </c>
      <c r="F77" s="98" t="s">
        <v>38</v>
      </c>
      <c r="G77" s="99" t="s">
        <v>11</v>
      </c>
    </row>
    <row r="78" spans="1:7" ht="30" customHeight="1" x14ac:dyDescent="0.25">
      <c r="A78" s="125"/>
      <c r="B78" s="75" t="s">
        <v>39</v>
      </c>
      <c r="C78" s="37" t="s">
        <v>40</v>
      </c>
      <c r="D78" s="38" t="s">
        <v>117</v>
      </c>
      <c r="E78" s="38" t="s">
        <v>118</v>
      </c>
      <c r="F78" s="38"/>
      <c r="G78" s="76"/>
    </row>
    <row r="79" spans="1:7" ht="15" customHeight="1" x14ac:dyDescent="0.25">
      <c r="A79" s="125"/>
      <c r="B79" s="75" t="s">
        <v>39</v>
      </c>
      <c r="C79" s="37" t="s">
        <v>41</v>
      </c>
      <c r="D79" s="38" t="s">
        <v>309</v>
      </c>
      <c r="E79" s="38"/>
      <c r="F79" s="91"/>
      <c r="G79" s="76"/>
    </row>
    <row r="80" spans="1:7" ht="15" customHeight="1" x14ac:dyDescent="0.25">
      <c r="A80" s="125"/>
      <c r="B80" s="39">
        <v>1</v>
      </c>
      <c r="C80" s="39" t="s">
        <v>42</v>
      </c>
      <c r="D80" s="40" t="s">
        <v>163</v>
      </c>
      <c r="E80" s="41"/>
      <c r="F80" s="38" t="s">
        <v>164</v>
      </c>
      <c r="G80" s="76"/>
    </row>
    <row r="81" spans="1:7" ht="15" customHeight="1" x14ac:dyDescent="0.25">
      <c r="A81" s="125"/>
      <c r="B81" s="104">
        <v>2</v>
      </c>
      <c r="C81" s="42" t="s">
        <v>43</v>
      </c>
      <c r="D81" s="38" t="s">
        <v>162</v>
      </c>
      <c r="E81" s="41"/>
      <c r="F81" s="38" t="s">
        <v>164</v>
      </c>
      <c r="G81" s="76"/>
    </row>
    <row r="82" spans="1:7" ht="45" customHeight="1" x14ac:dyDescent="0.25">
      <c r="A82" s="125"/>
      <c r="B82" s="104">
        <v>3</v>
      </c>
      <c r="C82" s="42" t="s">
        <v>43</v>
      </c>
      <c r="D82" s="38" t="s">
        <v>145</v>
      </c>
      <c r="E82" s="41"/>
      <c r="F82" s="38" t="s">
        <v>156</v>
      </c>
      <c r="G82" s="76"/>
    </row>
    <row r="83" spans="1:7" ht="45" customHeight="1" x14ac:dyDescent="0.25">
      <c r="A83" s="125"/>
      <c r="B83" s="104">
        <v>4</v>
      </c>
      <c r="C83" s="42" t="s">
        <v>43</v>
      </c>
      <c r="D83" s="38" t="s">
        <v>415</v>
      </c>
      <c r="E83" s="41"/>
      <c r="F83" s="38" t="s">
        <v>157</v>
      </c>
      <c r="G83" s="76"/>
    </row>
    <row r="84" spans="1:7" ht="15" customHeight="1" x14ac:dyDescent="0.25">
      <c r="A84" s="125"/>
      <c r="B84" s="104">
        <v>5</v>
      </c>
      <c r="C84" s="42" t="s">
        <v>43</v>
      </c>
      <c r="D84" s="38" t="s">
        <v>132</v>
      </c>
      <c r="E84" s="38"/>
      <c r="F84" s="38" t="s">
        <v>131</v>
      </c>
      <c r="G84" s="76"/>
    </row>
    <row r="85" spans="1:7" ht="30" customHeight="1" x14ac:dyDescent="0.25">
      <c r="A85" s="125"/>
      <c r="B85" s="104">
        <v>6</v>
      </c>
      <c r="C85" s="42" t="s">
        <v>43</v>
      </c>
      <c r="D85" s="38" t="s">
        <v>233</v>
      </c>
      <c r="E85" s="38"/>
      <c r="F85" s="38" t="s">
        <v>265</v>
      </c>
      <c r="G85" s="76"/>
    </row>
    <row r="86" spans="1:7" ht="15" customHeight="1" x14ac:dyDescent="0.25">
      <c r="A86" s="125"/>
      <c r="B86" s="104">
        <v>7</v>
      </c>
      <c r="C86" s="42" t="s">
        <v>43</v>
      </c>
      <c r="D86" s="38" t="s">
        <v>158</v>
      </c>
      <c r="E86" s="38"/>
      <c r="F86" s="38" t="s">
        <v>157</v>
      </c>
      <c r="G86" s="76"/>
    </row>
    <row r="87" spans="1:7" ht="15" customHeight="1" x14ac:dyDescent="0.25">
      <c r="A87" s="125"/>
      <c r="B87" s="104">
        <v>8</v>
      </c>
      <c r="C87" s="42" t="s">
        <v>43</v>
      </c>
      <c r="D87" s="38" t="s">
        <v>159</v>
      </c>
      <c r="E87" s="41"/>
      <c r="F87" s="38" t="s">
        <v>160</v>
      </c>
      <c r="G87" s="76"/>
    </row>
    <row r="88" spans="1:7" ht="15" customHeight="1" x14ac:dyDescent="0.25">
      <c r="A88" s="125"/>
      <c r="B88" s="104">
        <v>9</v>
      </c>
      <c r="C88" s="42" t="s">
        <v>43</v>
      </c>
      <c r="D88" s="38" t="s">
        <v>161</v>
      </c>
      <c r="E88" s="41"/>
      <c r="F88" s="38"/>
      <c r="G88" s="76"/>
    </row>
    <row r="89" spans="1:7" ht="30" customHeight="1" x14ac:dyDescent="0.25">
      <c r="A89" s="126"/>
      <c r="B89" s="43" t="s">
        <v>87</v>
      </c>
      <c r="C89" s="43" t="s">
        <v>88</v>
      </c>
      <c r="D89" s="38" t="s">
        <v>170</v>
      </c>
      <c r="E89" s="91"/>
      <c r="F89" s="38"/>
      <c r="G89" s="76" t="s">
        <v>50</v>
      </c>
    </row>
    <row r="90" spans="1:7" s="36" customFormat="1" ht="30" customHeight="1" x14ac:dyDescent="0.25">
      <c r="A90" s="77" t="str">
        <f>TabellaTest!F10</f>
        <v>TF003.UC01</v>
      </c>
      <c r="B90" s="121" t="str">
        <f>TabellaTest!C10</f>
        <v>REQ- SIE-021-03</v>
      </c>
      <c r="C90" s="122"/>
      <c r="D90" s="122" t="str">
        <f>TabellaTest!E10</f>
        <v>Verifica su SIUS inserimento manuale anagrafica avvocato per RegInde non disponibile o avvocato non presente</v>
      </c>
      <c r="E90" s="127"/>
      <c r="F90" s="122" t="str">
        <f>TabellaTest!G10</f>
        <v>Verifica: verificare il comportamento del sottosistema SIUS quando l'avvocato non è presente su RegInde o quest'ultimo non è accessibile</v>
      </c>
      <c r="G90" s="128"/>
    </row>
    <row r="91" spans="1:7" ht="30" customHeight="1" x14ac:dyDescent="0.25">
      <c r="A91" s="124"/>
      <c r="B91" s="98" t="s">
        <v>34</v>
      </c>
      <c r="C91" s="98" t="s">
        <v>35</v>
      </c>
      <c r="D91" s="98" t="s">
        <v>36</v>
      </c>
      <c r="E91" s="98" t="s">
        <v>37</v>
      </c>
      <c r="F91" s="98" t="s">
        <v>38</v>
      </c>
      <c r="G91" s="99" t="s">
        <v>11</v>
      </c>
    </row>
    <row r="92" spans="1:7" ht="30" customHeight="1" x14ac:dyDescent="0.25">
      <c r="A92" s="125"/>
      <c r="B92" s="75" t="s">
        <v>39</v>
      </c>
      <c r="C92" s="37" t="s">
        <v>40</v>
      </c>
      <c r="D92" s="38" t="s">
        <v>121</v>
      </c>
      <c r="E92" s="38" t="s">
        <v>122</v>
      </c>
      <c r="F92" s="38"/>
      <c r="G92" s="76"/>
    </row>
    <row r="93" spans="1:7" ht="90" customHeight="1" x14ac:dyDescent="0.25">
      <c r="A93" s="125"/>
      <c r="B93" s="75" t="s">
        <v>39</v>
      </c>
      <c r="C93" s="37" t="s">
        <v>41</v>
      </c>
      <c r="D93" s="38" t="s">
        <v>306</v>
      </c>
      <c r="E93" s="38"/>
      <c r="F93" s="91"/>
      <c r="G93" s="76"/>
    </row>
    <row r="94" spans="1:7" ht="15" customHeight="1" x14ac:dyDescent="0.25">
      <c r="A94" s="125"/>
      <c r="B94" s="39">
        <v>1</v>
      </c>
      <c r="C94" s="39" t="s">
        <v>42</v>
      </c>
      <c r="D94" s="40" t="s">
        <v>153</v>
      </c>
      <c r="E94" s="41"/>
      <c r="F94" s="38" t="s">
        <v>154</v>
      </c>
      <c r="G94" s="76"/>
    </row>
    <row r="95" spans="1:7" ht="15" customHeight="1" x14ac:dyDescent="0.25">
      <c r="A95" s="125"/>
      <c r="B95" s="104">
        <v>2</v>
      </c>
      <c r="C95" s="42" t="s">
        <v>43</v>
      </c>
      <c r="D95" s="38" t="s">
        <v>155</v>
      </c>
      <c r="E95" s="41"/>
      <c r="F95" s="38" t="s">
        <v>154</v>
      </c>
      <c r="G95" s="76"/>
    </row>
    <row r="96" spans="1:7" ht="45" customHeight="1" x14ac:dyDescent="0.25">
      <c r="A96" s="125"/>
      <c r="B96" s="104">
        <v>3</v>
      </c>
      <c r="C96" s="42" t="s">
        <v>43</v>
      </c>
      <c r="D96" s="38" t="s">
        <v>145</v>
      </c>
      <c r="E96" s="41"/>
      <c r="F96" s="38" t="s">
        <v>156</v>
      </c>
      <c r="G96" s="76"/>
    </row>
    <row r="97" spans="1:7" ht="45" customHeight="1" x14ac:dyDescent="0.25">
      <c r="A97" s="125"/>
      <c r="B97" s="104">
        <v>4</v>
      </c>
      <c r="C97" s="42" t="s">
        <v>43</v>
      </c>
      <c r="D97" s="38" t="s">
        <v>416</v>
      </c>
      <c r="E97" s="41"/>
      <c r="F97" s="38" t="s">
        <v>157</v>
      </c>
      <c r="G97" s="76"/>
    </row>
    <row r="98" spans="1:7" ht="45" customHeight="1" x14ac:dyDescent="0.25">
      <c r="A98" s="125"/>
      <c r="B98" s="104">
        <v>5</v>
      </c>
      <c r="C98" s="42" t="s">
        <v>43</v>
      </c>
      <c r="D98" s="38" t="s">
        <v>132</v>
      </c>
      <c r="E98" s="38"/>
      <c r="F98" s="38" t="s">
        <v>417</v>
      </c>
      <c r="G98" s="76"/>
    </row>
    <row r="99" spans="1:7" ht="30" customHeight="1" x14ac:dyDescent="0.25">
      <c r="A99" s="125"/>
      <c r="B99" s="104">
        <v>6</v>
      </c>
      <c r="C99" s="42" t="s">
        <v>43</v>
      </c>
      <c r="D99" s="38" t="s">
        <v>171</v>
      </c>
      <c r="E99" s="38"/>
      <c r="F99" s="38" t="s">
        <v>172</v>
      </c>
      <c r="G99" s="76"/>
    </row>
    <row r="100" spans="1:7" ht="30" customHeight="1" x14ac:dyDescent="0.25">
      <c r="A100" s="125"/>
      <c r="B100" s="104">
        <v>7</v>
      </c>
      <c r="C100" s="42" t="s">
        <v>43</v>
      </c>
      <c r="D100" s="38" t="s">
        <v>418</v>
      </c>
      <c r="E100" s="38"/>
      <c r="F100" s="38" t="s">
        <v>166</v>
      </c>
      <c r="G100" s="76"/>
    </row>
    <row r="101" spans="1:7" ht="30" customHeight="1" x14ac:dyDescent="0.25">
      <c r="A101" s="125"/>
      <c r="B101" s="43" t="s">
        <v>87</v>
      </c>
      <c r="C101" s="43" t="s">
        <v>88</v>
      </c>
      <c r="D101" s="38" t="s">
        <v>173</v>
      </c>
      <c r="E101" s="91"/>
      <c r="F101" s="38"/>
      <c r="G101" s="76" t="s">
        <v>50</v>
      </c>
    </row>
    <row r="102" spans="1:7" ht="15" customHeight="1" x14ac:dyDescent="0.25">
      <c r="A102" s="125"/>
      <c r="B102" s="95" t="s">
        <v>174</v>
      </c>
      <c r="C102" s="95" t="s">
        <v>175</v>
      </c>
      <c r="D102" s="38" t="s">
        <v>200</v>
      </c>
      <c r="E102" s="91"/>
      <c r="F102" s="38"/>
      <c r="G102" s="76"/>
    </row>
    <row r="103" spans="1:7" ht="45" customHeight="1" x14ac:dyDescent="0.25">
      <c r="A103" s="125"/>
      <c r="B103" s="104">
        <v>8</v>
      </c>
      <c r="C103" s="42" t="s">
        <v>43</v>
      </c>
      <c r="D103" s="38" t="s">
        <v>176</v>
      </c>
      <c r="E103" s="38"/>
      <c r="F103" s="38" t="s">
        <v>419</v>
      </c>
      <c r="G103" s="76"/>
    </row>
    <row r="104" spans="1:7" ht="15" customHeight="1" x14ac:dyDescent="0.25">
      <c r="A104" s="125"/>
      <c r="B104" s="104">
        <v>9</v>
      </c>
      <c r="C104" s="42" t="s">
        <v>43</v>
      </c>
      <c r="D104" s="38" t="s">
        <v>177</v>
      </c>
      <c r="E104" s="38"/>
      <c r="F104" s="38" t="s">
        <v>178</v>
      </c>
      <c r="G104" s="76"/>
    </row>
    <row r="105" spans="1:7" ht="30" customHeight="1" x14ac:dyDescent="0.25">
      <c r="A105" s="125"/>
      <c r="B105" s="104">
        <v>10</v>
      </c>
      <c r="C105" s="42" t="s">
        <v>43</v>
      </c>
      <c r="D105" s="38" t="s">
        <v>179</v>
      </c>
      <c r="E105" s="41"/>
      <c r="F105" s="38" t="s">
        <v>160</v>
      </c>
      <c r="G105" s="76"/>
    </row>
    <row r="106" spans="1:7" ht="15" customHeight="1" x14ac:dyDescent="0.25">
      <c r="A106" s="125"/>
      <c r="B106" s="104">
        <v>11</v>
      </c>
      <c r="C106" s="42" t="s">
        <v>43</v>
      </c>
      <c r="D106" s="38" t="s">
        <v>161</v>
      </c>
      <c r="E106" s="41"/>
      <c r="F106" s="38" t="s">
        <v>154</v>
      </c>
      <c r="G106" s="76"/>
    </row>
    <row r="107" spans="1:7" ht="30" customHeight="1" x14ac:dyDescent="0.25">
      <c r="A107" s="125"/>
      <c r="B107" s="43" t="s">
        <v>87</v>
      </c>
      <c r="C107" s="43" t="s">
        <v>88</v>
      </c>
      <c r="D107" s="38" t="s">
        <v>170</v>
      </c>
      <c r="E107" s="41"/>
      <c r="F107" s="38"/>
      <c r="G107" s="76" t="s">
        <v>50</v>
      </c>
    </row>
    <row r="108" spans="1:7" ht="15" customHeight="1" x14ac:dyDescent="0.25">
      <c r="A108" s="125"/>
      <c r="B108" s="39">
        <v>12</v>
      </c>
      <c r="C108" s="39" t="s">
        <v>42</v>
      </c>
      <c r="D108" s="40" t="s">
        <v>182</v>
      </c>
      <c r="E108" s="41"/>
      <c r="F108" s="38" t="s">
        <v>188</v>
      </c>
      <c r="G108" s="76"/>
    </row>
    <row r="109" spans="1:7" ht="330" customHeight="1" x14ac:dyDescent="0.25">
      <c r="A109" s="125"/>
      <c r="B109" s="104">
        <v>13</v>
      </c>
      <c r="C109" s="42" t="s">
        <v>43</v>
      </c>
      <c r="D109" s="38" t="s">
        <v>360</v>
      </c>
      <c r="E109" s="173" t="s">
        <v>477</v>
      </c>
      <c r="F109" s="41" t="s">
        <v>476</v>
      </c>
      <c r="G109" s="76"/>
    </row>
    <row r="110" spans="1:7" ht="45" customHeight="1" x14ac:dyDescent="0.25">
      <c r="A110" s="125"/>
      <c r="B110" s="43" t="s">
        <v>87</v>
      </c>
      <c r="C110" s="43" t="s">
        <v>88</v>
      </c>
      <c r="D110" s="38" t="s">
        <v>180</v>
      </c>
      <c r="E110" s="41"/>
      <c r="F110" s="38"/>
      <c r="G110" s="76" t="s">
        <v>50</v>
      </c>
    </row>
    <row r="111" spans="1:7" ht="15" customHeight="1" x14ac:dyDescent="0.25">
      <c r="A111" s="125"/>
      <c r="B111" s="104">
        <v>14</v>
      </c>
      <c r="C111" s="42" t="s">
        <v>43</v>
      </c>
      <c r="D111" s="38" t="s">
        <v>181</v>
      </c>
      <c r="E111" s="41"/>
      <c r="F111" s="38"/>
      <c r="G111" s="76"/>
    </row>
    <row r="112" spans="1:7" ht="30" customHeight="1" x14ac:dyDescent="0.25">
      <c r="A112" s="126"/>
      <c r="B112" s="43" t="s">
        <v>87</v>
      </c>
      <c r="C112" s="43" t="s">
        <v>88</v>
      </c>
      <c r="D112" s="38" t="s">
        <v>420</v>
      </c>
      <c r="E112" s="91"/>
      <c r="F112" s="38"/>
      <c r="G112" s="76" t="s">
        <v>50</v>
      </c>
    </row>
    <row r="113" spans="1:7" s="36" customFormat="1" ht="30" customHeight="1" x14ac:dyDescent="0.25">
      <c r="A113" s="77" t="str">
        <f>TabellaTest!F11</f>
        <v>TF003.UC02</v>
      </c>
      <c r="B113" s="121" t="str">
        <f>TabellaTest!C11</f>
        <v>REQ- SIE-021-03</v>
      </c>
      <c r="C113" s="121"/>
      <c r="D113" s="122" t="str">
        <f>TabellaTest!E11</f>
        <v>Verifica su SIEP inserimento manuale anagrafica avvocato per RegInde non disponibile o avvocato non presente</v>
      </c>
      <c r="E113" s="122"/>
      <c r="F113" s="122" t="str">
        <f>TabellaTest!G11</f>
        <v>Verifica: verificare il comportamento del sottosistema SIEP quando l'avvocato non è presente su RegInde o quest'ultimo non è accessibile</v>
      </c>
      <c r="G113" s="123"/>
    </row>
    <row r="114" spans="1:7" ht="30" customHeight="1" x14ac:dyDescent="0.25">
      <c r="A114" s="124"/>
      <c r="B114" s="98" t="s">
        <v>34</v>
      </c>
      <c r="C114" s="98" t="s">
        <v>35</v>
      </c>
      <c r="D114" s="98" t="s">
        <v>36</v>
      </c>
      <c r="E114" s="98" t="s">
        <v>37</v>
      </c>
      <c r="F114" s="98" t="s">
        <v>38</v>
      </c>
      <c r="G114" s="99" t="s">
        <v>11</v>
      </c>
    </row>
    <row r="115" spans="1:7" ht="30" customHeight="1" x14ac:dyDescent="0.25">
      <c r="A115" s="125"/>
      <c r="B115" s="75" t="s">
        <v>39</v>
      </c>
      <c r="C115" s="37" t="s">
        <v>40</v>
      </c>
      <c r="D115" s="38" t="s">
        <v>119</v>
      </c>
      <c r="E115" s="38" t="s">
        <v>120</v>
      </c>
      <c r="F115" s="38"/>
      <c r="G115" s="76"/>
    </row>
    <row r="116" spans="1:7" ht="90" customHeight="1" x14ac:dyDescent="0.25">
      <c r="A116" s="125"/>
      <c r="B116" s="75" t="s">
        <v>39</v>
      </c>
      <c r="C116" s="37" t="s">
        <v>41</v>
      </c>
      <c r="D116" s="38" t="s">
        <v>307</v>
      </c>
      <c r="E116" s="38"/>
      <c r="F116" s="91"/>
      <c r="G116" s="76"/>
    </row>
    <row r="117" spans="1:7" ht="15" customHeight="1" x14ac:dyDescent="0.25">
      <c r="A117" s="125"/>
      <c r="B117" s="104">
        <v>1</v>
      </c>
      <c r="C117" s="42" t="s">
        <v>43</v>
      </c>
      <c r="D117" s="38" t="s">
        <v>136</v>
      </c>
      <c r="E117" s="41"/>
      <c r="F117" s="38" t="s">
        <v>127</v>
      </c>
      <c r="G117" s="76"/>
    </row>
    <row r="118" spans="1:7" ht="60" customHeight="1" x14ac:dyDescent="0.25">
      <c r="A118" s="125"/>
      <c r="B118" s="104">
        <v>2</v>
      </c>
      <c r="C118" s="42" t="s">
        <v>43</v>
      </c>
      <c r="D118" s="38" t="s">
        <v>129</v>
      </c>
      <c r="E118" s="41"/>
      <c r="F118" s="38" t="s">
        <v>189</v>
      </c>
      <c r="G118" s="76"/>
    </row>
    <row r="119" spans="1:7" ht="45" customHeight="1" x14ac:dyDescent="0.25">
      <c r="A119" s="125"/>
      <c r="B119" s="104">
        <v>4</v>
      </c>
      <c r="C119" s="42" t="s">
        <v>43</v>
      </c>
      <c r="D119" s="38" t="s">
        <v>421</v>
      </c>
      <c r="E119" s="41"/>
      <c r="F119" s="38" t="s">
        <v>157</v>
      </c>
      <c r="G119" s="76"/>
    </row>
    <row r="120" spans="1:7" ht="45" customHeight="1" x14ac:dyDescent="0.25">
      <c r="A120" s="125"/>
      <c r="B120" s="104">
        <v>5</v>
      </c>
      <c r="C120" s="42" t="s">
        <v>43</v>
      </c>
      <c r="D120" s="38" t="s">
        <v>132</v>
      </c>
      <c r="E120" s="38"/>
      <c r="F120" s="38" t="s">
        <v>417</v>
      </c>
      <c r="G120" s="76"/>
    </row>
    <row r="121" spans="1:7" ht="30" customHeight="1" x14ac:dyDescent="0.25">
      <c r="A121" s="125"/>
      <c r="B121" s="104">
        <v>6</v>
      </c>
      <c r="C121" s="42" t="s">
        <v>43</v>
      </c>
      <c r="D121" s="38" t="s">
        <v>171</v>
      </c>
      <c r="E121" s="38"/>
      <c r="F121" s="38" t="s">
        <v>172</v>
      </c>
      <c r="G121" s="76"/>
    </row>
    <row r="122" spans="1:7" ht="30" customHeight="1" x14ac:dyDescent="0.25">
      <c r="A122" s="125"/>
      <c r="B122" s="104">
        <v>7</v>
      </c>
      <c r="C122" s="42" t="s">
        <v>43</v>
      </c>
      <c r="D122" s="38" t="s">
        <v>418</v>
      </c>
      <c r="E122" s="38"/>
      <c r="F122" s="38" t="s">
        <v>166</v>
      </c>
      <c r="G122" s="76"/>
    </row>
    <row r="123" spans="1:7" ht="30" customHeight="1" x14ac:dyDescent="0.25">
      <c r="A123" s="125"/>
      <c r="B123" s="43" t="s">
        <v>87</v>
      </c>
      <c r="C123" s="43" t="s">
        <v>88</v>
      </c>
      <c r="D123" s="38" t="s">
        <v>173</v>
      </c>
      <c r="E123" s="91"/>
      <c r="F123" s="38"/>
      <c r="G123" s="76" t="s">
        <v>50</v>
      </c>
    </row>
    <row r="124" spans="1:7" ht="15" customHeight="1" x14ac:dyDescent="0.25">
      <c r="A124" s="125"/>
      <c r="B124" s="95" t="s">
        <v>174</v>
      </c>
      <c r="C124" s="95" t="s">
        <v>175</v>
      </c>
      <c r="D124" s="38" t="s">
        <v>200</v>
      </c>
      <c r="E124" s="91"/>
      <c r="F124" s="38"/>
      <c r="G124" s="76"/>
    </row>
    <row r="125" spans="1:7" ht="45" customHeight="1" x14ac:dyDescent="0.25">
      <c r="A125" s="125"/>
      <c r="B125" s="104">
        <v>8</v>
      </c>
      <c r="C125" s="42" t="s">
        <v>43</v>
      </c>
      <c r="D125" s="38" t="s">
        <v>176</v>
      </c>
      <c r="E125" s="38"/>
      <c r="F125" s="38" t="s">
        <v>419</v>
      </c>
      <c r="G125" s="76"/>
    </row>
    <row r="126" spans="1:7" ht="15" customHeight="1" x14ac:dyDescent="0.25">
      <c r="A126" s="125"/>
      <c r="B126" s="104">
        <v>9</v>
      </c>
      <c r="C126" s="42" t="s">
        <v>43</v>
      </c>
      <c r="D126" s="38" t="s">
        <v>177</v>
      </c>
      <c r="E126" s="38"/>
      <c r="F126" s="38" t="s">
        <v>178</v>
      </c>
      <c r="G126" s="76"/>
    </row>
    <row r="127" spans="1:7" ht="30" customHeight="1" x14ac:dyDescent="0.25">
      <c r="A127" s="125"/>
      <c r="B127" s="104">
        <v>10</v>
      </c>
      <c r="C127" s="42" t="s">
        <v>43</v>
      </c>
      <c r="D127" s="38" t="s">
        <v>179</v>
      </c>
      <c r="E127" s="41"/>
      <c r="F127" s="38" t="s">
        <v>160</v>
      </c>
      <c r="G127" s="76"/>
    </row>
    <row r="128" spans="1:7" ht="15" customHeight="1" x14ac:dyDescent="0.25">
      <c r="A128" s="125"/>
      <c r="B128" s="104">
        <v>11</v>
      </c>
      <c r="C128" s="42" t="s">
        <v>43</v>
      </c>
      <c r="D128" s="38" t="s">
        <v>161</v>
      </c>
      <c r="E128" s="41"/>
      <c r="F128" s="38" t="s">
        <v>154</v>
      </c>
      <c r="G128" s="76"/>
    </row>
    <row r="129" spans="1:7" ht="30" customHeight="1" x14ac:dyDescent="0.25">
      <c r="A129" s="125"/>
      <c r="B129" s="43" t="s">
        <v>87</v>
      </c>
      <c r="C129" s="43" t="s">
        <v>88</v>
      </c>
      <c r="D129" s="38" t="s">
        <v>170</v>
      </c>
      <c r="E129" s="41"/>
      <c r="F129" s="38"/>
      <c r="G129" s="76" t="s">
        <v>50</v>
      </c>
    </row>
    <row r="130" spans="1:7" ht="15" customHeight="1" x14ac:dyDescent="0.25">
      <c r="A130" s="125"/>
      <c r="B130" s="39">
        <v>12</v>
      </c>
      <c r="C130" s="39" t="s">
        <v>42</v>
      </c>
      <c r="D130" s="40" t="s">
        <v>190</v>
      </c>
      <c r="E130" s="41"/>
      <c r="F130" s="38" t="s">
        <v>191</v>
      </c>
      <c r="G130" s="76"/>
    </row>
    <row r="131" spans="1:7" ht="15" customHeight="1" x14ac:dyDescent="0.25">
      <c r="A131" s="125"/>
      <c r="B131" s="104">
        <v>13</v>
      </c>
      <c r="C131" s="42" t="s">
        <v>43</v>
      </c>
      <c r="D131" s="40" t="s">
        <v>192</v>
      </c>
      <c r="E131" s="41"/>
      <c r="F131" s="38" t="s">
        <v>193</v>
      </c>
      <c r="G131" s="76"/>
    </row>
    <row r="132" spans="1:7" ht="330" customHeight="1" x14ac:dyDescent="0.25">
      <c r="A132" s="125"/>
      <c r="B132" s="104">
        <v>14</v>
      </c>
      <c r="C132" s="42" t="s">
        <v>43</v>
      </c>
      <c r="D132" s="38" t="s">
        <v>361</v>
      </c>
      <c r="E132" s="173" t="s">
        <v>479</v>
      </c>
      <c r="F132" s="41" t="s">
        <v>478</v>
      </c>
      <c r="G132" s="76"/>
    </row>
    <row r="133" spans="1:7" ht="45" customHeight="1" x14ac:dyDescent="0.25">
      <c r="A133" s="125"/>
      <c r="B133" s="43" t="s">
        <v>87</v>
      </c>
      <c r="C133" s="43" t="s">
        <v>88</v>
      </c>
      <c r="D133" s="38" t="s">
        <v>180</v>
      </c>
      <c r="E133" s="41"/>
      <c r="F133" s="38"/>
      <c r="G133" s="76" t="s">
        <v>50</v>
      </c>
    </row>
    <row r="134" spans="1:7" ht="15" customHeight="1" x14ac:dyDescent="0.25">
      <c r="A134" s="125"/>
      <c r="B134" s="104">
        <v>15</v>
      </c>
      <c r="C134" s="42" t="s">
        <v>43</v>
      </c>
      <c r="D134" s="38" t="s">
        <v>181</v>
      </c>
      <c r="E134" s="41"/>
      <c r="F134" s="38"/>
      <c r="G134" s="76"/>
    </row>
    <row r="135" spans="1:7" ht="30" customHeight="1" x14ac:dyDescent="0.25">
      <c r="A135" s="126"/>
      <c r="B135" s="43" t="s">
        <v>87</v>
      </c>
      <c r="C135" s="43" t="s">
        <v>88</v>
      </c>
      <c r="D135" s="38" t="s">
        <v>422</v>
      </c>
      <c r="E135" s="91"/>
      <c r="F135" s="38"/>
      <c r="G135" s="76" t="s">
        <v>50</v>
      </c>
    </row>
    <row r="136" spans="1:7" ht="30" customHeight="1" x14ac:dyDescent="0.25">
      <c r="A136" s="77" t="str">
        <f>TabellaTest!F12</f>
        <v>TF003.UC03</v>
      </c>
      <c r="B136" s="121" t="str">
        <f>TabellaTest!C12</f>
        <v>REQ- SIE-021-03</v>
      </c>
      <c r="C136" s="121"/>
      <c r="D136" s="122" t="str">
        <f>TabellaTest!E12</f>
        <v>Verifica su SIGE inserimento manuale anagrafica avvocato per RegInde non disponibile o avvocato non presente</v>
      </c>
      <c r="E136" s="122"/>
      <c r="F136" s="122" t="str">
        <f>TabellaTest!G12</f>
        <v>Verifica: verificare il comportamento del sottosistema SIGE quando l'avvocato non è presente su RegInde o quest'ultimo non è accessibile</v>
      </c>
      <c r="G136" s="123"/>
    </row>
    <row r="137" spans="1:7" ht="30" customHeight="1" x14ac:dyDescent="0.25">
      <c r="A137" s="120"/>
      <c r="B137" s="98" t="s">
        <v>34</v>
      </c>
      <c r="C137" s="98" t="s">
        <v>35</v>
      </c>
      <c r="D137" s="98" t="s">
        <v>36</v>
      </c>
      <c r="E137" s="98" t="s">
        <v>37</v>
      </c>
      <c r="F137" s="98" t="s">
        <v>38</v>
      </c>
      <c r="G137" s="99" t="s">
        <v>11</v>
      </c>
    </row>
    <row r="138" spans="1:7" ht="30" customHeight="1" x14ac:dyDescent="0.25">
      <c r="A138" s="120"/>
      <c r="B138" s="75" t="s">
        <v>39</v>
      </c>
      <c r="C138" s="37" t="s">
        <v>40</v>
      </c>
      <c r="D138" s="38" t="s">
        <v>117</v>
      </c>
      <c r="E138" s="38" t="s">
        <v>118</v>
      </c>
      <c r="F138" s="38"/>
      <c r="G138" s="76"/>
    </row>
    <row r="139" spans="1:7" ht="90" customHeight="1" x14ac:dyDescent="0.25">
      <c r="A139" s="120"/>
      <c r="B139" s="75" t="s">
        <v>39</v>
      </c>
      <c r="C139" s="37" t="s">
        <v>41</v>
      </c>
      <c r="D139" s="38" t="s">
        <v>306</v>
      </c>
      <c r="E139" s="38"/>
      <c r="F139" s="91"/>
      <c r="G139" s="76"/>
    </row>
    <row r="140" spans="1:7" ht="15" customHeight="1" x14ac:dyDescent="0.25">
      <c r="A140" s="120"/>
      <c r="B140" s="39">
        <v>1</v>
      </c>
      <c r="C140" s="39" t="s">
        <v>42</v>
      </c>
      <c r="D140" s="40" t="s">
        <v>151</v>
      </c>
      <c r="E140" s="41"/>
      <c r="F140" s="38" t="s">
        <v>183</v>
      </c>
      <c r="G140" s="76"/>
    </row>
    <row r="141" spans="1:7" ht="15" customHeight="1" x14ac:dyDescent="0.25">
      <c r="A141" s="120"/>
      <c r="B141" s="104">
        <v>2</v>
      </c>
      <c r="C141" s="42" t="s">
        <v>43</v>
      </c>
      <c r="D141" s="38" t="s">
        <v>184</v>
      </c>
      <c r="E141" s="41"/>
      <c r="F141" s="38" t="s">
        <v>183</v>
      </c>
      <c r="G141" s="76"/>
    </row>
    <row r="142" spans="1:7" ht="45" customHeight="1" x14ac:dyDescent="0.25">
      <c r="A142" s="120"/>
      <c r="B142" s="104">
        <v>3</v>
      </c>
      <c r="C142" s="42" t="s">
        <v>43</v>
      </c>
      <c r="D142" s="38" t="s">
        <v>145</v>
      </c>
      <c r="E142" s="41"/>
      <c r="F142" s="38" t="s">
        <v>156</v>
      </c>
      <c r="G142" s="76"/>
    </row>
    <row r="143" spans="1:7" ht="45" customHeight="1" x14ac:dyDescent="0.25">
      <c r="A143" s="120"/>
      <c r="B143" s="104">
        <v>4</v>
      </c>
      <c r="C143" s="42" t="s">
        <v>43</v>
      </c>
      <c r="D143" s="38" t="s">
        <v>416</v>
      </c>
      <c r="E143" s="41"/>
      <c r="F143" s="38" t="s">
        <v>157</v>
      </c>
      <c r="G143" s="76"/>
    </row>
    <row r="144" spans="1:7" ht="45" customHeight="1" x14ac:dyDescent="0.25">
      <c r="A144" s="120"/>
      <c r="B144" s="104">
        <v>5</v>
      </c>
      <c r="C144" s="42" t="s">
        <v>43</v>
      </c>
      <c r="D144" s="38" t="s">
        <v>132</v>
      </c>
      <c r="E144" s="38"/>
      <c r="F144" s="38" t="s">
        <v>417</v>
      </c>
      <c r="G144" s="76"/>
    </row>
    <row r="145" spans="1:7" ht="30" customHeight="1" x14ac:dyDescent="0.25">
      <c r="A145" s="120"/>
      <c r="B145" s="104">
        <v>6</v>
      </c>
      <c r="C145" s="42" t="s">
        <v>43</v>
      </c>
      <c r="D145" s="38" t="s">
        <v>171</v>
      </c>
      <c r="E145" s="38"/>
      <c r="F145" s="38" t="s">
        <v>172</v>
      </c>
      <c r="G145" s="76"/>
    </row>
    <row r="146" spans="1:7" ht="30" customHeight="1" x14ac:dyDescent="0.25">
      <c r="A146" s="120"/>
      <c r="B146" s="104">
        <v>7</v>
      </c>
      <c r="C146" s="42" t="s">
        <v>43</v>
      </c>
      <c r="D146" s="38" t="s">
        <v>423</v>
      </c>
      <c r="E146" s="38"/>
      <c r="F146" s="38" t="s">
        <v>166</v>
      </c>
      <c r="G146" s="76"/>
    </row>
    <row r="147" spans="1:7" ht="30" customHeight="1" x14ac:dyDescent="0.25">
      <c r="A147" s="120"/>
      <c r="B147" s="43" t="s">
        <v>87</v>
      </c>
      <c r="C147" s="43" t="s">
        <v>88</v>
      </c>
      <c r="D147" s="38" t="s">
        <v>173</v>
      </c>
      <c r="E147" s="91"/>
      <c r="F147" s="38"/>
      <c r="G147" s="76" t="s">
        <v>50</v>
      </c>
    </row>
    <row r="148" spans="1:7" ht="15" customHeight="1" x14ac:dyDescent="0.25">
      <c r="A148" s="120"/>
      <c r="B148" s="95" t="s">
        <v>174</v>
      </c>
      <c r="C148" s="95" t="s">
        <v>175</v>
      </c>
      <c r="D148" s="38" t="s">
        <v>200</v>
      </c>
      <c r="E148" s="91"/>
      <c r="F148" s="38"/>
      <c r="G148" s="76"/>
    </row>
    <row r="149" spans="1:7" ht="45" customHeight="1" x14ac:dyDescent="0.25">
      <c r="A149" s="120"/>
      <c r="B149" s="104">
        <v>8</v>
      </c>
      <c r="C149" s="42" t="s">
        <v>43</v>
      </c>
      <c r="D149" s="38" t="s">
        <v>424</v>
      </c>
      <c r="E149" s="38"/>
      <c r="F149" s="38" t="s">
        <v>419</v>
      </c>
      <c r="G149" s="76"/>
    </row>
    <row r="150" spans="1:7" ht="15" customHeight="1" x14ac:dyDescent="0.25">
      <c r="A150" s="120"/>
      <c r="B150" s="104">
        <v>9</v>
      </c>
      <c r="C150" s="42" t="s">
        <v>43</v>
      </c>
      <c r="D150" s="38" t="s">
        <v>177</v>
      </c>
      <c r="E150" s="38"/>
      <c r="F150" s="38" t="s">
        <v>178</v>
      </c>
      <c r="G150" s="76"/>
    </row>
    <row r="151" spans="1:7" ht="30" customHeight="1" x14ac:dyDescent="0.25">
      <c r="A151" s="120"/>
      <c r="B151" s="104">
        <v>10</v>
      </c>
      <c r="C151" s="42" t="s">
        <v>43</v>
      </c>
      <c r="D151" s="38" t="s">
        <v>179</v>
      </c>
      <c r="E151" s="41"/>
      <c r="F151" s="38" t="s">
        <v>160</v>
      </c>
      <c r="G151" s="76"/>
    </row>
    <row r="152" spans="1:7" ht="15" customHeight="1" x14ac:dyDescent="0.25">
      <c r="A152" s="120"/>
      <c r="B152" s="104">
        <v>11</v>
      </c>
      <c r="C152" s="42" t="s">
        <v>43</v>
      </c>
      <c r="D152" s="38" t="s">
        <v>185</v>
      </c>
      <c r="E152" s="41"/>
      <c r="F152" s="38" t="s">
        <v>183</v>
      </c>
      <c r="G152" s="76"/>
    </row>
    <row r="153" spans="1:7" ht="30" customHeight="1" x14ac:dyDescent="0.25">
      <c r="A153" s="120"/>
      <c r="B153" s="43" t="s">
        <v>87</v>
      </c>
      <c r="C153" s="43" t="s">
        <v>88</v>
      </c>
      <c r="D153" s="38" t="s">
        <v>170</v>
      </c>
      <c r="E153" s="41"/>
      <c r="F153" s="38"/>
      <c r="G153" s="76" t="s">
        <v>50</v>
      </c>
    </row>
    <row r="154" spans="1:7" ht="15" customHeight="1" x14ac:dyDescent="0.25">
      <c r="A154" s="120"/>
      <c r="B154" s="39">
        <v>12</v>
      </c>
      <c r="C154" s="39" t="s">
        <v>42</v>
      </c>
      <c r="D154" s="40" t="s">
        <v>186</v>
      </c>
      <c r="E154" s="41"/>
      <c r="F154" s="38" t="s">
        <v>187</v>
      </c>
      <c r="G154" s="76"/>
    </row>
    <row r="155" spans="1:7" ht="330" customHeight="1" x14ac:dyDescent="0.25">
      <c r="A155" s="120"/>
      <c r="B155" s="104">
        <v>13</v>
      </c>
      <c r="C155" s="42" t="s">
        <v>43</v>
      </c>
      <c r="D155" s="38" t="s">
        <v>362</v>
      </c>
      <c r="E155" s="173" t="s">
        <v>480</v>
      </c>
      <c r="F155" s="41" t="s">
        <v>478</v>
      </c>
      <c r="G155" s="76"/>
    </row>
    <row r="156" spans="1:7" ht="45" customHeight="1" x14ac:dyDescent="0.25">
      <c r="A156" s="120"/>
      <c r="B156" s="43" t="s">
        <v>87</v>
      </c>
      <c r="C156" s="43" t="s">
        <v>88</v>
      </c>
      <c r="D156" s="38" t="s">
        <v>180</v>
      </c>
      <c r="E156" s="41"/>
      <c r="F156" s="38"/>
      <c r="G156" s="76" t="s">
        <v>50</v>
      </c>
    </row>
    <row r="157" spans="1:7" ht="15" customHeight="1" x14ac:dyDescent="0.25">
      <c r="A157" s="120"/>
      <c r="B157" s="104">
        <v>14</v>
      </c>
      <c r="C157" s="42" t="s">
        <v>43</v>
      </c>
      <c r="D157" s="38" t="s">
        <v>181</v>
      </c>
      <c r="E157" s="41"/>
      <c r="F157" s="38"/>
      <c r="G157" s="76"/>
    </row>
    <row r="158" spans="1:7" ht="45" customHeight="1" x14ac:dyDescent="0.25">
      <c r="A158" s="120"/>
      <c r="B158" s="43" t="s">
        <v>87</v>
      </c>
      <c r="C158" s="43" t="s">
        <v>88</v>
      </c>
      <c r="D158" s="38" t="s">
        <v>425</v>
      </c>
      <c r="E158" s="91"/>
      <c r="F158" s="38"/>
      <c r="G158" s="76" t="s">
        <v>50</v>
      </c>
    </row>
    <row r="159" spans="1:7" s="36" customFormat="1" ht="30" customHeight="1" x14ac:dyDescent="0.25">
      <c r="A159" s="77" t="str">
        <f>TabellaTest!F13</f>
        <v>TF002.UC04</v>
      </c>
      <c r="B159" s="121" t="str">
        <f>TabellaTest!C13</f>
        <v>REQ- SIE-021-02</v>
      </c>
      <c r="C159" s="122"/>
      <c r="D159" s="122" t="str">
        <f>TabellaTest!E13</f>
        <v>Verifica sostituzione anagrafica avvocato tramite RegInde in SIEP</v>
      </c>
      <c r="E159" s="127"/>
      <c r="F159" s="122" t="str">
        <f>TabellaTest!G13</f>
        <v>Verifica: verificare che nel sottosistema SIEP la sostituzionedi un avvocato avvenga tramite accesso a RegInde</v>
      </c>
      <c r="G159" s="128"/>
    </row>
    <row r="160" spans="1:7" ht="30" customHeight="1" x14ac:dyDescent="0.25">
      <c r="A160" s="120"/>
      <c r="B160" s="98" t="s">
        <v>34</v>
      </c>
      <c r="C160" s="98" t="s">
        <v>35</v>
      </c>
      <c r="D160" s="98" t="s">
        <v>36</v>
      </c>
      <c r="E160" s="98" t="s">
        <v>37</v>
      </c>
      <c r="F160" s="98" t="s">
        <v>38</v>
      </c>
      <c r="G160" s="99" t="s">
        <v>11</v>
      </c>
    </row>
    <row r="161" spans="1:7" ht="30" customHeight="1" x14ac:dyDescent="0.25">
      <c r="A161" s="120"/>
      <c r="B161" s="75" t="s">
        <v>39</v>
      </c>
      <c r="C161" s="37" t="s">
        <v>40</v>
      </c>
      <c r="D161" s="38" t="s">
        <v>119</v>
      </c>
      <c r="E161" s="38" t="s">
        <v>120</v>
      </c>
      <c r="F161" s="38"/>
      <c r="G161" s="76"/>
    </row>
    <row r="162" spans="1:7" ht="15" customHeight="1" x14ac:dyDescent="0.25">
      <c r="A162" s="120"/>
      <c r="B162" s="75" t="s">
        <v>39</v>
      </c>
      <c r="C162" s="37" t="s">
        <v>41</v>
      </c>
      <c r="D162" s="38" t="s">
        <v>309</v>
      </c>
      <c r="E162" s="38"/>
      <c r="F162" s="91"/>
      <c r="G162" s="76"/>
    </row>
    <row r="163" spans="1:7" ht="30" customHeight="1" x14ac:dyDescent="0.25">
      <c r="A163" s="120"/>
      <c r="B163" s="104">
        <v>1</v>
      </c>
      <c r="C163" s="42" t="s">
        <v>43</v>
      </c>
      <c r="D163" s="38" t="s">
        <v>230</v>
      </c>
      <c r="E163" s="41"/>
      <c r="F163" s="38" t="s">
        <v>127</v>
      </c>
      <c r="G163" s="76"/>
    </row>
    <row r="164" spans="1:7" ht="15" customHeight="1" x14ac:dyDescent="0.25">
      <c r="A164" s="120"/>
      <c r="B164" s="104">
        <v>2</v>
      </c>
      <c r="C164" s="42" t="s">
        <v>43</v>
      </c>
      <c r="D164" s="38" t="s">
        <v>129</v>
      </c>
      <c r="E164" s="41"/>
      <c r="F164" s="38" t="s">
        <v>229</v>
      </c>
      <c r="G164" s="76"/>
    </row>
    <row r="165" spans="1:7" ht="30" customHeight="1" x14ac:dyDescent="0.25">
      <c r="A165" s="120"/>
      <c r="B165" s="104">
        <v>3</v>
      </c>
      <c r="C165" s="42" t="s">
        <v>43</v>
      </c>
      <c r="D165" s="38" t="s">
        <v>231</v>
      </c>
      <c r="E165" s="38"/>
      <c r="F165" s="38" t="s">
        <v>232</v>
      </c>
      <c r="G165" s="76"/>
    </row>
    <row r="166" spans="1:7" ht="15" customHeight="1" x14ac:dyDescent="0.25">
      <c r="A166" s="120"/>
      <c r="B166" s="104">
        <v>4</v>
      </c>
      <c r="C166" s="42" t="s">
        <v>43</v>
      </c>
      <c r="D166" s="38" t="s">
        <v>132</v>
      </c>
      <c r="E166" s="38"/>
      <c r="F166" s="38" t="s">
        <v>131</v>
      </c>
      <c r="G166" s="76"/>
    </row>
    <row r="167" spans="1:7" ht="30" customHeight="1" x14ac:dyDescent="0.25">
      <c r="A167" s="120"/>
      <c r="B167" s="104">
        <v>5</v>
      </c>
      <c r="C167" s="42" t="s">
        <v>43</v>
      </c>
      <c r="D167" s="38" t="s">
        <v>233</v>
      </c>
      <c r="E167" s="38"/>
      <c r="F167" s="38" t="s">
        <v>264</v>
      </c>
      <c r="G167" s="76"/>
    </row>
    <row r="168" spans="1:7" ht="15" customHeight="1" x14ac:dyDescent="0.25">
      <c r="A168" s="120"/>
      <c r="B168" s="104">
        <v>6</v>
      </c>
      <c r="C168" s="42" t="s">
        <v>43</v>
      </c>
      <c r="D168" s="38" t="s">
        <v>158</v>
      </c>
      <c r="E168" s="38"/>
      <c r="F168" s="38" t="s">
        <v>234</v>
      </c>
      <c r="G168" s="76"/>
    </row>
    <row r="169" spans="1:7" ht="15" customHeight="1" x14ac:dyDescent="0.25">
      <c r="A169" s="120"/>
      <c r="B169" s="104">
        <v>7</v>
      </c>
      <c r="C169" s="42" t="s">
        <v>43</v>
      </c>
      <c r="D169" s="38" t="s">
        <v>159</v>
      </c>
      <c r="E169" s="41"/>
      <c r="F169" s="38" t="s">
        <v>160</v>
      </c>
      <c r="G169" s="76"/>
    </row>
    <row r="170" spans="1:7" ht="15" customHeight="1" x14ac:dyDescent="0.25">
      <c r="A170" s="120"/>
      <c r="B170" s="104">
        <v>8</v>
      </c>
      <c r="C170" s="42" t="s">
        <v>43</v>
      </c>
      <c r="D170" s="38" t="s">
        <v>165</v>
      </c>
      <c r="E170" s="41"/>
      <c r="F170" s="38" t="s">
        <v>127</v>
      </c>
      <c r="G170" s="76"/>
    </row>
    <row r="171" spans="1:7" ht="30" customHeight="1" x14ac:dyDescent="0.25">
      <c r="A171" s="120"/>
      <c r="B171" s="43" t="s">
        <v>87</v>
      </c>
      <c r="C171" s="43" t="s">
        <v>88</v>
      </c>
      <c r="D171" s="38" t="s">
        <v>237</v>
      </c>
      <c r="E171" s="91"/>
      <c r="F171" s="38"/>
      <c r="G171" s="76" t="s">
        <v>50</v>
      </c>
    </row>
    <row r="172" spans="1:7" s="36" customFormat="1" ht="30" customHeight="1" x14ac:dyDescent="0.25">
      <c r="A172" s="77" t="str">
        <f>TabellaTest!F14</f>
        <v>TF002.UC05</v>
      </c>
      <c r="B172" s="121" t="str">
        <f>TabellaTest!C14</f>
        <v>REQ- SIE-021-02</v>
      </c>
      <c r="C172" s="122"/>
      <c r="D172" s="122" t="str">
        <f>TabellaTest!E14</f>
        <v>Verifica sostituzione anagrafica avvocato tramite RegInde in SIUS</v>
      </c>
      <c r="E172" s="127"/>
      <c r="F172" s="122" t="str">
        <f>TabellaTest!G14</f>
        <v>Verifica: verificare che nel sottosistema SIUS  la sostituzionedi un avvocato avvenga tramite accesso a RegInde</v>
      </c>
      <c r="G172" s="128"/>
    </row>
    <row r="173" spans="1:7" ht="30" customHeight="1" x14ac:dyDescent="0.25">
      <c r="A173" s="120"/>
      <c r="B173" s="98" t="s">
        <v>34</v>
      </c>
      <c r="C173" s="98" t="s">
        <v>35</v>
      </c>
      <c r="D173" s="98" t="s">
        <v>36</v>
      </c>
      <c r="E173" s="98" t="s">
        <v>37</v>
      </c>
      <c r="F173" s="98" t="s">
        <v>38</v>
      </c>
      <c r="G173" s="99" t="s">
        <v>11</v>
      </c>
    </row>
    <row r="174" spans="1:7" ht="30" customHeight="1" x14ac:dyDescent="0.25">
      <c r="A174" s="120"/>
      <c r="B174" s="75" t="s">
        <v>39</v>
      </c>
      <c r="C174" s="37" t="s">
        <v>40</v>
      </c>
      <c r="D174" s="38" t="s">
        <v>121</v>
      </c>
      <c r="E174" s="38" t="s">
        <v>122</v>
      </c>
      <c r="F174" s="38"/>
      <c r="G174" s="76"/>
    </row>
    <row r="175" spans="1:7" ht="15" customHeight="1" x14ac:dyDescent="0.25">
      <c r="A175" s="120"/>
      <c r="B175" s="75" t="s">
        <v>39</v>
      </c>
      <c r="C175" s="37" t="s">
        <v>41</v>
      </c>
      <c r="D175" s="38" t="s">
        <v>309</v>
      </c>
      <c r="E175" s="38"/>
      <c r="F175" s="91"/>
      <c r="G175" s="76"/>
    </row>
    <row r="176" spans="1:7" ht="30" customHeight="1" x14ac:dyDescent="0.25">
      <c r="A176" s="120"/>
      <c r="B176" s="104">
        <v>1</v>
      </c>
      <c r="C176" s="42" t="s">
        <v>43</v>
      </c>
      <c r="D176" s="38" t="s">
        <v>236</v>
      </c>
      <c r="E176" s="41"/>
      <c r="F176" s="38" t="s">
        <v>127</v>
      </c>
      <c r="G176" s="76"/>
    </row>
    <row r="177" spans="1:7" ht="15" customHeight="1" x14ac:dyDescent="0.25">
      <c r="A177" s="120"/>
      <c r="B177" s="104">
        <v>2</v>
      </c>
      <c r="C177" s="42" t="s">
        <v>43</v>
      </c>
      <c r="D177" s="38" t="s">
        <v>129</v>
      </c>
      <c r="E177" s="41"/>
      <c r="F177" s="38" t="s">
        <v>229</v>
      </c>
      <c r="G177" s="76"/>
    </row>
    <row r="178" spans="1:7" ht="30" customHeight="1" x14ac:dyDescent="0.25">
      <c r="A178" s="120"/>
      <c r="B178" s="104">
        <v>3</v>
      </c>
      <c r="C178" s="42" t="s">
        <v>43</v>
      </c>
      <c r="D178" s="38" t="s">
        <v>231</v>
      </c>
      <c r="E178" s="38"/>
      <c r="F178" s="38" t="s">
        <v>232</v>
      </c>
      <c r="G178" s="76"/>
    </row>
    <row r="179" spans="1:7" ht="15" customHeight="1" x14ac:dyDescent="0.25">
      <c r="A179" s="120"/>
      <c r="B179" s="104">
        <v>4</v>
      </c>
      <c r="C179" s="42" t="s">
        <v>43</v>
      </c>
      <c r="D179" s="38" t="s">
        <v>132</v>
      </c>
      <c r="E179" s="38"/>
      <c r="F179" s="38" t="s">
        <v>131</v>
      </c>
      <c r="G179" s="76"/>
    </row>
    <row r="180" spans="1:7" ht="30" customHeight="1" x14ac:dyDescent="0.25">
      <c r="A180" s="120"/>
      <c r="B180" s="104">
        <v>5</v>
      </c>
      <c r="C180" s="42" t="s">
        <v>43</v>
      </c>
      <c r="D180" s="38" t="s">
        <v>233</v>
      </c>
      <c r="E180" s="38"/>
      <c r="F180" s="38" t="s">
        <v>264</v>
      </c>
      <c r="G180" s="76"/>
    </row>
    <row r="181" spans="1:7" ht="15" customHeight="1" x14ac:dyDescent="0.25">
      <c r="A181" s="120"/>
      <c r="B181" s="104">
        <v>6</v>
      </c>
      <c r="C181" s="42" t="s">
        <v>43</v>
      </c>
      <c r="D181" s="38" t="s">
        <v>158</v>
      </c>
      <c r="E181" s="38"/>
      <c r="F181" s="38" t="s">
        <v>234</v>
      </c>
      <c r="G181" s="76"/>
    </row>
    <row r="182" spans="1:7" ht="15" customHeight="1" x14ac:dyDescent="0.25">
      <c r="A182" s="120"/>
      <c r="B182" s="104">
        <v>7</v>
      </c>
      <c r="C182" s="42" t="s">
        <v>43</v>
      </c>
      <c r="D182" s="38" t="s">
        <v>159</v>
      </c>
      <c r="E182" s="41"/>
      <c r="F182" s="38" t="s">
        <v>160</v>
      </c>
      <c r="G182" s="76"/>
    </row>
    <row r="183" spans="1:7" ht="15" customHeight="1" x14ac:dyDescent="0.25">
      <c r="A183" s="120"/>
      <c r="B183" s="104">
        <v>8</v>
      </c>
      <c r="C183" s="42" t="s">
        <v>43</v>
      </c>
      <c r="D183" s="38" t="s">
        <v>165</v>
      </c>
      <c r="E183" s="41"/>
      <c r="F183" s="38" t="s">
        <v>127</v>
      </c>
      <c r="G183" s="76"/>
    </row>
    <row r="184" spans="1:7" ht="30" customHeight="1" x14ac:dyDescent="0.25">
      <c r="A184" s="120"/>
      <c r="B184" s="43" t="s">
        <v>87</v>
      </c>
      <c r="C184" s="43" t="s">
        <v>88</v>
      </c>
      <c r="D184" s="38" t="s">
        <v>237</v>
      </c>
      <c r="E184" s="91"/>
      <c r="F184" s="38"/>
      <c r="G184" s="76" t="s">
        <v>50</v>
      </c>
    </row>
    <row r="185" spans="1:7" s="36" customFormat="1" ht="30" customHeight="1" x14ac:dyDescent="0.25">
      <c r="A185" s="77" t="str">
        <f>TabellaTest!F15</f>
        <v>TF002.UC06</v>
      </c>
      <c r="B185" s="121" t="str">
        <f>TabellaTest!C15</f>
        <v>REQ- SIE-021-02</v>
      </c>
      <c r="C185" s="122"/>
      <c r="D185" s="122" t="str">
        <f>TabellaTest!E15</f>
        <v>Verifica sostituzione anagrafica avvocato tramite RegInde in SIGE</v>
      </c>
      <c r="E185" s="127"/>
      <c r="F185" s="122" t="str">
        <f>TabellaTest!G15</f>
        <v>Verifica: verificare che nel sottosistema SIGE  la sostituzionedi un avvocato avvenga tramite accesso a RegInde</v>
      </c>
      <c r="G185" s="128"/>
    </row>
    <row r="186" spans="1:7" ht="30" customHeight="1" x14ac:dyDescent="0.25">
      <c r="A186" s="120"/>
      <c r="B186" s="98" t="s">
        <v>34</v>
      </c>
      <c r="C186" s="98" t="s">
        <v>35</v>
      </c>
      <c r="D186" s="98" t="s">
        <v>36</v>
      </c>
      <c r="E186" s="98" t="s">
        <v>37</v>
      </c>
      <c r="F186" s="98" t="s">
        <v>38</v>
      </c>
      <c r="G186" s="99" t="s">
        <v>11</v>
      </c>
    </row>
    <row r="187" spans="1:7" ht="30" customHeight="1" x14ac:dyDescent="0.25">
      <c r="A187" s="120"/>
      <c r="B187" s="75" t="s">
        <v>39</v>
      </c>
      <c r="C187" s="37" t="s">
        <v>40</v>
      </c>
      <c r="D187" s="38" t="s">
        <v>117</v>
      </c>
      <c r="E187" s="38" t="s">
        <v>118</v>
      </c>
      <c r="F187" s="38"/>
      <c r="G187" s="76"/>
    </row>
    <row r="188" spans="1:7" ht="15" customHeight="1" x14ac:dyDescent="0.25">
      <c r="A188" s="120"/>
      <c r="B188" s="75" t="s">
        <v>39</v>
      </c>
      <c r="C188" s="37" t="s">
        <v>41</v>
      </c>
      <c r="D188" s="38" t="s">
        <v>309</v>
      </c>
      <c r="E188" s="38"/>
      <c r="F188" s="91"/>
      <c r="G188" s="76"/>
    </row>
    <row r="189" spans="1:7" ht="30" customHeight="1" x14ac:dyDescent="0.25">
      <c r="A189" s="120"/>
      <c r="B189" s="104">
        <v>1</v>
      </c>
      <c r="C189" s="42" t="s">
        <v>43</v>
      </c>
      <c r="D189" s="38" t="s">
        <v>236</v>
      </c>
      <c r="E189" s="41"/>
      <c r="F189" s="38" t="s">
        <v>127</v>
      </c>
      <c r="G189" s="76"/>
    </row>
    <row r="190" spans="1:7" ht="15" customHeight="1" x14ac:dyDescent="0.25">
      <c r="A190" s="120"/>
      <c r="B190" s="104">
        <v>2</v>
      </c>
      <c r="C190" s="42" t="s">
        <v>43</v>
      </c>
      <c r="D190" s="38" t="s">
        <v>129</v>
      </c>
      <c r="E190" s="41"/>
      <c r="F190" s="38" t="s">
        <v>229</v>
      </c>
      <c r="G190" s="76"/>
    </row>
    <row r="191" spans="1:7" ht="30" customHeight="1" x14ac:dyDescent="0.25">
      <c r="A191" s="120"/>
      <c r="B191" s="104">
        <v>3</v>
      </c>
      <c r="C191" s="42" t="s">
        <v>43</v>
      </c>
      <c r="D191" s="38" t="s">
        <v>231</v>
      </c>
      <c r="E191" s="38"/>
      <c r="F191" s="38" t="s">
        <v>232</v>
      </c>
      <c r="G191" s="76"/>
    </row>
    <row r="192" spans="1:7" ht="15" customHeight="1" x14ac:dyDescent="0.25">
      <c r="A192" s="120"/>
      <c r="B192" s="104">
        <v>4</v>
      </c>
      <c r="C192" s="42" t="s">
        <v>43</v>
      </c>
      <c r="D192" s="38" t="s">
        <v>132</v>
      </c>
      <c r="E192" s="38"/>
      <c r="F192" s="38" t="s">
        <v>131</v>
      </c>
      <c r="G192" s="76"/>
    </row>
    <row r="193" spans="1:7" ht="30" customHeight="1" x14ac:dyDescent="0.25">
      <c r="A193" s="120"/>
      <c r="B193" s="104">
        <v>5</v>
      </c>
      <c r="C193" s="42" t="s">
        <v>43</v>
      </c>
      <c r="D193" s="38" t="s">
        <v>233</v>
      </c>
      <c r="E193" s="38"/>
      <c r="F193" s="38" t="s">
        <v>264</v>
      </c>
      <c r="G193" s="76"/>
    </row>
    <row r="194" spans="1:7" ht="15" customHeight="1" x14ac:dyDescent="0.25">
      <c r="A194" s="120"/>
      <c r="B194" s="104">
        <v>6</v>
      </c>
      <c r="C194" s="42" t="s">
        <v>43</v>
      </c>
      <c r="D194" s="38" t="s">
        <v>158</v>
      </c>
      <c r="E194" s="38"/>
      <c r="F194" s="38" t="s">
        <v>234</v>
      </c>
      <c r="G194" s="76"/>
    </row>
    <row r="195" spans="1:7" ht="15" customHeight="1" x14ac:dyDescent="0.25">
      <c r="A195" s="120"/>
      <c r="B195" s="104">
        <v>7</v>
      </c>
      <c r="C195" s="42" t="s">
        <v>43</v>
      </c>
      <c r="D195" s="38" t="s">
        <v>159</v>
      </c>
      <c r="E195" s="41"/>
      <c r="F195" s="38" t="s">
        <v>160</v>
      </c>
      <c r="G195" s="76"/>
    </row>
    <row r="196" spans="1:7" ht="15" customHeight="1" x14ac:dyDescent="0.25">
      <c r="A196" s="120"/>
      <c r="B196" s="104">
        <v>8</v>
      </c>
      <c r="C196" s="42" t="s">
        <v>43</v>
      </c>
      <c r="D196" s="38" t="s">
        <v>165</v>
      </c>
      <c r="E196" s="41"/>
      <c r="F196" s="38" t="s">
        <v>127</v>
      </c>
      <c r="G196" s="76"/>
    </row>
    <row r="197" spans="1:7" ht="30" customHeight="1" x14ac:dyDescent="0.25">
      <c r="A197" s="120"/>
      <c r="B197" s="43" t="s">
        <v>87</v>
      </c>
      <c r="C197" s="43" t="s">
        <v>88</v>
      </c>
      <c r="D197" s="38" t="s">
        <v>237</v>
      </c>
      <c r="E197" s="91"/>
      <c r="F197" s="38"/>
      <c r="G197" s="76" t="s">
        <v>50</v>
      </c>
    </row>
    <row r="198" spans="1:7" s="36" customFormat="1" ht="30" customHeight="1" x14ac:dyDescent="0.25">
      <c r="A198" s="77" t="str">
        <f>TabellaTest!F16</f>
        <v>TF002.UC07</v>
      </c>
      <c r="B198" s="121" t="str">
        <f>TabellaTest!C16</f>
        <v>REQ- SIE-021-02</v>
      </c>
      <c r="C198" s="122"/>
      <c r="D198" s="122" t="str">
        <f>TabellaTest!E16</f>
        <v>Verifica sostituzione anagrafica avvocato tramite SIES in SIEP</v>
      </c>
      <c r="E198" s="127"/>
      <c r="F198" s="122" t="str">
        <f>TabellaTest!G16</f>
        <v>Verifica: verificare che nel sottosistema SIEP la sostituzionedi un avvocato avvenga tramite accesso a SIES</v>
      </c>
      <c r="G198" s="128"/>
    </row>
    <row r="199" spans="1:7" ht="30" customHeight="1" x14ac:dyDescent="0.25">
      <c r="A199" s="120"/>
      <c r="B199" s="98" t="s">
        <v>34</v>
      </c>
      <c r="C199" s="98" t="s">
        <v>35</v>
      </c>
      <c r="D199" s="98" t="s">
        <v>36</v>
      </c>
      <c r="E199" s="98" t="s">
        <v>37</v>
      </c>
      <c r="F199" s="98" t="s">
        <v>38</v>
      </c>
      <c r="G199" s="99" t="s">
        <v>11</v>
      </c>
    </row>
    <row r="200" spans="1:7" ht="30" customHeight="1" x14ac:dyDescent="0.25">
      <c r="A200" s="120"/>
      <c r="B200" s="75" t="s">
        <v>39</v>
      </c>
      <c r="C200" s="37" t="s">
        <v>40</v>
      </c>
      <c r="D200" s="38" t="s">
        <v>119</v>
      </c>
      <c r="E200" s="38" t="s">
        <v>120</v>
      </c>
      <c r="F200" s="38"/>
      <c r="G200" s="76"/>
    </row>
    <row r="201" spans="1:7" ht="15" customHeight="1" x14ac:dyDescent="0.25">
      <c r="A201" s="120"/>
      <c r="B201" s="75" t="s">
        <v>39</v>
      </c>
      <c r="C201" s="37" t="s">
        <v>41</v>
      </c>
      <c r="D201" s="38" t="s">
        <v>309</v>
      </c>
      <c r="E201" s="38"/>
      <c r="F201" s="91"/>
      <c r="G201" s="76"/>
    </row>
    <row r="202" spans="1:7" ht="30" customHeight="1" x14ac:dyDescent="0.25">
      <c r="A202" s="120"/>
      <c r="B202" s="104">
        <v>1</v>
      </c>
      <c r="C202" s="42" t="s">
        <v>43</v>
      </c>
      <c r="D202" s="38" t="s">
        <v>230</v>
      </c>
      <c r="E202" s="41"/>
      <c r="F202" s="38" t="s">
        <v>127</v>
      </c>
      <c r="G202" s="76"/>
    </row>
    <row r="203" spans="1:7" ht="15" customHeight="1" x14ac:dyDescent="0.25">
      <c r="A203" s="120"/>
      <c r="B203" s="104">
        <v>2</v>
      </c>
      <c r="C203" s="42" t="s">
        <v>43</v>
      </c>
      <c r="D203" s="38" t="s">
        <v>129</v>
      </c>
      <c r="E203" s="41"/>
      <c r="F203" s="38" t="s">
        <v>229</v>
      </c>
      <c r="G203" s="76"/>
    </row>
    <row r="204" spans="1:7" ht="30" customHeight="1" x14ac:dyDescent="0.25">
      <c r="A204" s="120"/>
      <c r="B204" s="104">
        <v>3</v>
      </c>
      <c r="C204" s="42" t="s">
        <v>43</v>
      </c>
      <c r="D204" s="38" t="s">
        <v>231</v>
      </c>
      <c r="E204" s="38"/>
      <c r="F204" s="38" t="s">
        <v>232</v>
      </c>
      <c r="G204" s="76"/>
    </row>
    <row r="205" spans="1:7" ht="15" customHeight="1" x14ac:dyDescent="0.25">
      <c r="A205" s="120"/>
      <c r="B205" s="104">
        <v>4</v>
      </c>
      <c r="C205" s="42" t="s">
        <v>43</v>
      </c>
      <c r="D205" s="38" t="s">
        <v>132</v>
      </c>
      <c r="E205" s="38"/>
      <c r="F205" s="38" t="s">
        <v>131</v>
      </c>
      <c r="G205" s="76"/>
    </row>
    <row r="206" spans="1:7" ht="45" customHeight="1" x14ac:dyDescent="0.25">
      <c r="A206" s="120"/>
      <c r="B206" s="104">
        <v>5</v>
      </c>
      <c r="C206" s="42" t="s">
        <v>43</v>
      </c>
      <c r="D206" s="38" t="s">
        <v>240</v>
      </c>
      <c r="E206" s="38"/>
      <c r="F206" s="38" t="s">
        <v>426</v>
      </c>
      <c r="G206" s="76"/>
    </row>
    <row r="207" spans="1:7" ht="30" customHeight="1" x14ac:dyDescent="0.25">
      <c r="A207" s="120"/>
      <c r="B207" s="104">
        <v>6</v>
      </c>
      <c r="C207" s="42" t="s">
        <v>43</v>
      </c>
      <c r="D207" s="38" t="s">
        <v>171</v>
      </c>
      <c r="E207" s="38"/>
      <c r="F207" s="38" t="s">
        <v>172</v>
      </c>
      <c r="G207" s="76"/>
    </row>
    <row r="208" spans="1:7" ht="30" customHeight="1" x14ac:dyDescent="0.25">
      <c r="A208" s="120"/>
      <c r="B208" s="104">
        <v>7</v>
      </c>
      <c r="C208" s="42" t="s">
        <v>43</v>
      </c>
      <c r="D208" s="38" t="s">
        <v>241</v>
      </c>
      <c r="E208" s="38"/>
      <c r="F208" s="38" t="s">
        <v>166</v>
      </c>
      <c r="G208" s="76"/>
    </row>
    <row r="209" spans="1:7" ht="15" customHeight="1" x14ac:dyDescent="0.25">
      <c r="A209" s="120"/>
      <c r="B209" s="104">
        <v>8</v>
      </c>
      <c r="C209" s="42" t="s">
        <v>43</v>
      </c>
      <c r="D209" s="38" t="s">
        <v>158</v>
      </c>
      <c r="E209" s="38"/>
      <c r="F209" s="38" t="s">
        <v>234</v>
      </c>
      <c r="G209" s="76"/>
    </row>
    <row r="210" spans="1:7" ht="15" customHeight="1" x14ac:dyDescent="0.25">
      <c r="A210" s="120"/>
      <c r="B210" s="104">
        <v>9</v>
      </c>
      <c r="C210" s="42" t="s">
        <v>43</v>
      </c>
      <c r="D210" s="38" t="s">
        <v>159</v>
      </c>
      <c r="E210" s="41"/>
      <c r="F210" s="38" t="s">
        <v>160</v>
      </c>
      <c r="G210" s="76"/>
    </row>
    <row r="211" spans="1:7" ht="15" customHeight="1" x14ac:dyDescent="0.25">
      <c r="A211" s="120"/>
      <c r="B211" s="104">
        <v>10</v>
      </c>
      <c r="C211" s="42" t="s">
        <v>43</v>
      </c>
      <c r="D211" s="38" t="s">
        <v>165</v>
      </c>
      <c r="E211" s="41"/>
      <c r="F211" s="38" t="s">
        <v>127</v>
      </c>
      <c r="G211" s="76"/>
    </row>
    <row r="212" spans="1:7" ht="30" customHeight="1" x14ac:dyDescent="0.25">
      <c r="A212" s="120"/>
      <c r="B212" s="43" t="s">
        <v>87</v>
      </c>
      <c r="C212" s="43" t="s">
        <v>88</v>
      </c>
      <c r="D212" s="38" t="s">
        <v>237</v>
      </c>
      <c r="E212" s="91"/>
      <c r="F212" s="38"/>
      <c r="G212" s="76" t="s">
        <v>50</v>
      </c>
    </row>
    <row r="213" spans="1:7" s="36" customFormat="1" ht="30" customHeight="1" x14ac:dyDescent="0.25">
      <c r="A213" s="77" t="str">
        <f>TabellaTest!F17</f>
        <v>TF002.UC08</v>
      </c>
      <c r="B213" s="121" t="str">
        <f>TabellaTest!C17</f>
        <v>REQ- SIE-021-02</v>
      </c>
      <c r="C213" s="122"/>
      <c r="D213" s="122" t="str">
        <f>TabellaTest!E17</f>
        <v>Verifica sostituzione anagrafica avvocato tramite SIES in SIUS</v>
      </c>
      <c r="E213" s="127"/>
      <c r="F213" s="122" t="str">
        <f>TabellaTest!G17</f>
        <v>Verifica: verificare che nel sottosistema SIUS la sostituzionedi un avvocato avvenga tramite accesso a SIES</v>
      </c>
      <c r="G213" s="128"/>
    </row>
    <row r="214" spans="1:7" ht="30" customHeight="1" x14ac:dyDescent="0.25">
      <c r="A214" s="120"/>
      <c r="B214" s="98" t="s">
        <v>34</v>
      </c>
      <c r="C214" s="98" t="s">
        <v>35</v>
      </c>
      <c r="D214" s="98" t="s">
        <v>36</v>
      </c>
      <c r="E214" s="98" t="s">
        <v>37</v>
      </c>
      <c r="F214" s="98" t="s">
        <v>38</v>
      </c>
      <c r="G214" s="99" t="s">
        <v>11</v>
      </c>
    </row>
    <row r="215" spans="1:7" ht="30" customHeight="1" x14ac:dyDescent="0.25">
      <c r="A215" s="120"/>
      <c r="B215" s="75" t="s">
        <v>39</v>
      </c>
      <c r="C215" s="37" t="s">
        <v>40</v>
      </c>
      <c r="D215" s="38" t="s">
        <v>121</v>
      </c>
      <c r="E215" s="38" t="s">
        <v>122</v>
      </c>
      <c r="F215" s="38"/>
      <c r="G215" s="76"/>
    </row>
    <row r="216" spans="1:7" ht="15" customHeight="1" x14ac:dyDescent="0.25">
      <c r="A216" s="120"/>
      <c r="B216" s="75" t="s">
        <v>39</v>
      </c>
      <c r="C216" s="37" t="s">
        <v>41</v>
      </c>
      <c r="D216" s="38" t="s">
        <v>309</v>
      </c>
      <c r="E216" s="38"/>
      <c r="F216" s="91"/>
      <c r="G216" s="76"/>
    </row>
    <row r="217" spans="1:7" ht="30" customHeight="1" x14ac:dyDescent="0.25">
      <c r="A217" s="120"/>
      <c r="B217" s="104">
        <v>1</v>
      </c>
      <c r="C217" s="42" t="s">
        <v>43</v>
      </c>
      <c r="D217" s="38" t="s">
        <v>230</v>
      </c>
      <c r="E217" s="41"/>
      <c r="F217" s="38" t="s">
        <v>127</v>
      </c>
      <c r="G217" s="76"/>
    </row>
    <row r="218" spans="1:7" ht="15" customHeight="1" x14ac:dyDescent="0.25">
      <c r="A218" s="120"/>
      <c r="B218" s="104">
        <v>2</v>
      </c>
      <c r="C218" s="42" t="s">
        <v>43</v>
      </c>
      <c r="D218" s="38" t="s">
        <v>129</v>
      </c>
      <c r="E218" s="41"/>
      <c r="F218" s="38" t="s">
        <v>229</v>
      </c>
      <c r="G218" s="76"/>
    </row>
    <row r="219" spans="1:7" ht="30" customHeight="1" x14ac:dyDescent="0.25">
      <c r="A219" s="120"/>
      <c r="B219" s="104">
        <v>3</v>
      </c>
      <c r="C219" s="42" t="s">
        <v>43</v>
      </c>
      <c r="D219" s="38" t="s">
        <v>231</v>
      </c>
      <c r="E219" s="38"/>
      <c r="F219" s="38" t="s">
        <v>232</v>
      </c>
      <c r="G219" s="76"/>
    </row>
    <row r="220" spans="1:7" ht="15" customHeight="1" x14ac:dyDescent="0.25">
      <c r="A220" s="120"/>
      <c r="B220" s="104">
        <v>4</v>
      </c>
      <c r="C220" s="42" t="s">
        <v>43</v>
      </c>
      <c r="D220" s="38" t="s">
        <v>132</v>
      </c>
      <c r="E220" s="38"/>
      <c r="F220" s="38" t="s">
        <v>131</v>
      </c>
      <c r="G220" s="76"/>
    </row>
    <row r="221" spans="1:7" ht="45" customHeight="1" x14ac:dyDescent="0.25">
      <c r="A221" s="120"/>
      <c r="B221" s="104">
        <v>5</v>
      </c>
      <c r="C221" s="42" t="s">
        <v>43</v>
      </c>
      <c r="D221" s="38" t="s">
        <v>240</v>
      </c>
      <c r="E221" s="38"/>
      <c r="F221" s="38" t="s">
        <v>426</v>
      </c>
      <c r="G221" s="76"/>
    </row>
    <row r="222" spans="1:7" ht="30" customHeight="1" x14ac:dyDescent="0.25">
      <c r="A222" s="120"/>
      <c r="B222" s="104">
        <v>6</v>
      </c>
      <c r="C222" s="42" t="s">
        <v>43</v>
      </c>
      <c r="D222" s="38" t="s">
        <v>171</v>
      </c>
      <c r="E222" s="38"/>
      <c r="F222" s="38" t="s">
        <v>172</v>
      </c>
      <c r="G222" s="76"/>
    </row>
    <row r="223" spans="1:7" ht="30" customHeight="1" x14ac:dyDescent="0.25">
      <c r="A223" s="120"/>
      <c r="B223" s="104">
        <v>7</v>
      </c>
      <c r="C223" s="42" t="s">
        <v>43</v>
      </c>
      <c r="D223" s="38" t="s">
        <v>241</v>
      </c>
      <c r="E223" s="38"/>
      <c r="F223" s="38" t="s">
        <v>166</v>
      </c>
      <c r="G223" s="76"/>
    </row>
    <row r="224" spans="1:7" ht="15" customHeight="1" x14ac:dyDescent="0.25">
      <c r="A224" s="120"/>
      <c r="B224" s="104">
        <v>8</v>
      </c>
      <c r="C224" s="42" t="s">
        <v>43</v>
      </c>
      <c r="D224" s="38" t="s">
        <v>158</v>
      </c>
      <c r="E224" s="38"/>
      <c r="F224" s="38" t="s">
        <v>234</v>
      </c>
      <c r="G224" s="76"/>
    </row>
    <row r="225" spans="1:7" ht="15" customHeight="1" x14ac:dyDescent="0.25">
      <c r="A225" s="120"/>
      <c r="B225" s="104">
        <v>9</v>
      </c>
      <c r="C225" s="42" t="s">
        <v>43</v>
      </c>
      <c r="D225" s="38" t="s">
        <v>159</v>
      </c>
      <c r="E225" s="41"/>
      <c r="F225" s="38" t="s">
        <v>160</v>
      </c>
      <c r="G225" s="76"/>
    </row>
    <row r="226" spans="1:7" ht="30" customHeight="1" x14ac:dyDescent="0.25">
      <c r="A226" s="120"/>
      <c r="B226" s="104">
        <v>10</v>
      </c>
      <c r="C226" s="42" t="s">
        <v>43</v>
      </c>
      <c r="D226" s="38" t="s">
        <v>275</v>
      </c>
      <c r="E226" s="41"/>
      <c r="F226" s="38" t="s">
        <v>229</v>
      </c>
      <c r="G226" s="76"/>
    </row>
    <row r="227" spans="1:7" ht="30" customHeight="1" x14ac:dyDescent="0.25">
      <c r="A227" s="120"/>
      <c r="B227" s="43" t="s">
        <v>87</v>
      </c>
      <c r="C227" s="43" t="s">
        <v>88</v>
      </c>
      <c r="D227" s="38" t="s">
        <v>237</v>
      </c>
      <c r="E227" s="91"/>
      <c r="F227" s="38"/>
      <c r="G227" s="76" t="s">
        <v>50</v>
      </c>
    </row>
    <row r="228" spans="1:7" s="36" customFormat="1" ht="30" customHeight="1" x14ac:dyDescent="0.25">
      <c r="A228" s="77" t="str">
        <f>TabellaTest!F18</f>
        <v>TF002.UC09</v>
      </c>
      <c r="B228" s="121" t="str">
        <f>TabellaTest!C18</f>
        <v>REQ- SIE-021-02</v>
      </c>
      <c r="C228" s="122"/>
      <c r="D228" s="122" t="str">
        <f>TabellaTest!E18</f>
        <v>Verifica sostituzione anagrafica avvocato tramite SIES in SIGE</v>
      </c>
      <c r="E228" s="127"/>
      <c r="F228" s="122" t="str">
        <f>TabellaTest!G18</f>
        <v>Verifica: verificare che nel sottosistema SIGE la sostituzionedi un avvocato avvenga tramite accesso a SIES</v>
      </c>
      <c r="G228" s="128"/>
    </row>
    <row r="229" spans="1:7" ht="30" customHeight="1" x14ac:dyDescent="0.25">
      <c r="A229" s="120"/>
      <c r="B229" s="98" t="s">
        <v>34</v>
      </c>
      <c r="C229" s="98" t="s">
        <v>35</v>
      </c>
      <c r="D229" s="98" t="s">
        <v>36</v>
      </c>
      <c r="E229" s="98" t="s">
        <v>37</v>
      </c>
      <c r="F229" s="98" t="s">
        <v>38</v>
      </c>
      <c r="G229" s="99" t="s">
        <v>11</v>
      </c>
    </row>
    <row r="230" spans="1:7" ht="30" customHeight="1" x14ac:dyDescent="0.25">
      <c r="A230" s="120"/>
      <c r="B230" s="75" t="s">
        <v>39</v>
      </c>
      <c r="C230" s="37" t="s">
        <v>40</v>
      </c>
      <c r="D230" s="38" t="s">
        <v>117</v>
      </c>
      <c r="E230" s="38" t="s">
        <v>118</v>
      </c>
      <c r="F230" s="38"/>
      <c r="G230" s="76"/>
    </row>
    <row r="231" spans="1:7" ht="15" customHeight="1" x14ac:dyDescent="0.25">
      <c r="A231" s="120"/>
      <c r="B231" s="75" t="s">
        <v>39</v>
      </c>
      <c r="C231" s="37" t="s">
        <v>41</v>
      </c>
      <c r="D231" s="38" t="s">
        <v>309</v>
      </c>
      <c r="E231" s="38"/>
      <c r="F231" s="91"/>
      <c r="G231" s="76"/>
    </row>
    <row r="232" spans="1:7" ht="30" customHeight="1" x14ac:dyDescent="0.25">
      <c r="A232" s="120"/>
      <c r="B232" s="104">
        <v>1</v>
      </c>
      <c r="C232" s="42" t="s">
        <v>43</v>
      </c>
      <c r="D232" s="38" t="s">
        <v>230</v>
      </c>
      <c r="E232" s="41"/>
      <c r="F232" s="38" t="s">
        <v>127</v>
      </c>
      <c r="G232" s="76"/>
    </row>
    <row r="233" spans="1:7" ht="15" customHeight="1" x14ac:dyDescent="0.25">
      <c r="A233" s="120"/>
      <c r="B233" s="104">
        <v>2</v>
      </c>
      <c r="C233" s="42" t="s">
        <v>43</v>
      </c>
      <c r="D233" s="38" t="s">
        <v>129</v>
      </c>
      <c r="E233" s="41"/>
      <c r="F233" s="38" t="s">
        <v>229</v>
      </c>
      <c r="G233" s="76"/>
    </row>
    <row r="234" spans="1:7" ht="30" customHeight="1" x14ac:dyDescent="0.25">
      <c r="A234" s="120"/>
      <c r="B234" s="104">
        <v>3</v>
      </c>
      <c r="C234" s="42" t="s">
        <v>43</v>
      </c>
      <c r="D234" s="38" t="s">
        <v>231</v>
      </c>
      <c r="E234" s="38"/>
      <c r="F234" s="38" t="s">
        <v>232</v>
      </c>
      <c r="G234" s="76"/>
    </row>
    <row r="235" spans="1:7" ht="15" customHeight="1" x14ac:dyDescent="0.25">
      <c r="A235" s="120"/>
      <c r="B235" s="104">
        <v>4</v>
      </c>
      <c r="C235" s="42" t="s">
        <v>43</v>
      </c>
      <c r="D235" s="38" t="s">
        <v>132</v>
      </c>
      <c r="E235" s="38"/>
      <c r="F235" s="38" t="s">
        <v>131</v>
      </c>
      <c r="G235" s="76"/>
    </row>
    <row r="236" spans="1:7" ht="45" customHeight="1" x14ac:dyDescent="0.25">
      <c r="A236" s="120"/>
      <c r="B236" s="104">
        <v>5</v>
      </c>
      <c r="C236" s="42" t="s">
        <v>43</v>
      </c>
      <c r="D236" s="38" t="s">
        <v>240</v>
      </c>
      <c r="E236" s="38"/>
      <c r="F236" s="38" t="s">
        <v>426</v>
      </c>
      <c r="G236" s="76"/>
    </row>
    <row r="237" spans="1:7" ht="30" customHeight="1" x14ac:dyDescent="0.25">
      <c r="A237" s="120"/>
      <c r="B237" s="104">
        <v>6</v>
      </c>
      <c r="C237" s="42" t="s">
        <v>43</v>
      </c>
      <c r="D237" s="38" t="s">
        <v>171</v>
      </c>
      <c r="E237" s="38"/>
      <c r="F237" s="38" t="s">
        <v>172</v>
      </c>
      <c r="G237" s="76"/>
    </row>
    <row r="238" spans="1:7" ht="30" customHeight="1" x14ac:dyDescent="0.25">
      <c r="A238" s="120"/>
      <c r="B238" s="104">
        <v>7</v>
      </c>
      <c r="C238" s="42" t="s">
        <v>43</v>
      </c>
      <c r="D238" s="38" t="s">
        <v>282</v>
      </c>
      <c r="E238" s="38"/>
      <c r="F238" s="38" t="s">
        <v>166</v>
      </c>
      <c r="G238" s="76"/>
    </row>
    <row r="239" spans="1:7" ht="15" customHeight="1" x14ac:dyDescent="0.25">
      <c r="A239" s="120"/>
      <c r="B239" s="104">
        <v>8</v>
      </c>
      <c r="C239" s="42" t="s">
        <v>43</v>
      </c>
      <c r="D239" s="38" t="s">
        <v>158</v>
      </c>
      <c r="E239" s="38"/>
      <c r="F239" s="38" t="s">
        <v>234</v>
      </c>
      <c r="G239" s="76"/>
    </row>
    <row r="240" spans="1:7" ht="15" customHeight="1" x14ac:dyDescent="0.25">
      <c r="A240" s="120"/>
      <c r="B240" s="104">
        <v>9</v>
      </c>
      <c r="C240" s="42" t="s">
        <v>43</v>
      </c>
      <c r="D240" s="38" t="s">
        <v>159</v>
      </c>
      <c r="E240" s="41"/>
      <c r="F240" s="38" t="s">
        <v>160</v>
      </c>
      <c r="G240" s="76"/>
    </row>
    <row r="241" spans="1:7" ht="30" customHeight="1" x14ac:dyDescent="0.25">
      <c r="A241" s="120"/>
      <c r="B241" s="104">
        <v>10</v>
      </c>
      <c r="C241" s="42" t="s">
        <v>43</v>
      </c>
      <c r="D241" s="38" t="s">
        <v>275</v>
      </c>
      <c r="E241" s="41"/>
      <c r="F241" s="38" t="s">
        <v>229</v>
      </c>
      <c r="G241" s="76"/>
    </row>
    <row r="242" spans="1:7" ht="30" customHeight="1" x14ac:dyDescent="0.25">
      <c r="A242" s="120"/>
      <c r="B242" s="43" t="s">
        <v>87</v>
      </c>
      <c r="C242" s="43" t="s">
        <v>88</v>
      </c>
      <c r="D242" s="38" t="s">
        <v>276</v>
      </c>
      <c r="E242" s="91"/>
      <c r="F242" s="38"/>
      <c r="G242" s="76" t="s">
        <v>50</v>
      </c>
    </row>
    <row r="243" spans="1:7" s="36" customFormat="1" ht="30" customHeight="1" x14ac:dyDescent="0.25">
      <c r="A243" s="77" t="str">
        <f>TabellaTest!F19</f>
        <v>TF002.UC10</v>
      </c>
      <c r="B243" s="121" t="str">
        <f>TabellaTest!C19</f>
        <v>REQ- SIE-021-02</v>
      </c>
      <c r="C243" s="122"/>
      <c r="D243" s="122" t="str">
        <f>TabellaTest!E19</f>
        <v>Verifica inserimento anagrafica avvocato tramite ReGIndE in SIGE su Parti Udienza</v>
      </c>
      <c r="E243" s="127"/>
      <c r="F243" s="122" t="str">
        <f>TabellaTest!G19</f>
        <v>Verifica: verificare che nel sottosistema SIGE l' inserimento un avvocato di parte avvenga tramite accesso a ReGIndE</v>
      </c>
      <c r="G243" s="128"/>
    </row>
    <row r="244" spans="1:7" ht="30" customHeight="1" x14ac:dyDescent="0.25">
      <c r="A244" s="120"/>
      <c r="B244" s="98" t="s">
        <v>34</v>
      </c>
      <c r="C244" s="98" t="s">
        <v>35</v>
      </c>
      <c r="D244" s="98" t="s">
        <v>36</v>
      </c>
      <c r="E244" s="98" t="s">
        <v>37</v>
      </c>
      <c r="F244" s="98" t="s">
        <v>38</v>
      </c>
      <c r="G244" s="99" t="s">
        <v>11</v>
      </c>
    </row>
    <row r="245" spans="1:7" ht="30" customHeight="1" x14ac:dyDescent="0.25">
      <c r="A245" s="120"/>
      <c r="B245" s="75" t="s">
        <v>39</v>
      </c>
      <c r="C245" s="37" t="s">
        <v>40</v>
      </c>
      <c r="D245" s="38" t="s">
        <v>117</v>
      </c>
      <c r="E245" s="38" t="s">
        <v>118</v>
      </c>
      <c r="F245" s="38"/>
      <c r="G245" s="76"/>
    </row>
    <row r="246" spans="1:7" ht="15" customHeight="1" x14ac:dyDescent="0.25">
      <c r="A246" s="120"/>
      <c r="B246" s="75" t="s">
        <v>39</v>
      </c>
      <c r="C246" s="37" t="s">
        <v>41</v>
      </c>
      <c r="D246" s="38" t="s">
        <v>309</v>
      </c>
      <c r="E246" s="38"/>
      <c r="F246" s="91"/>
      <c r="G246" s="76"/>
    </row>
    <row r="247" spans="1:7" ht="30" customHeight="1" x14ac:dyDescent="0.25">
      <c r="A247" s="120"/>
      <c r="B247" s="104">
        <v>1</v>
      </c>
      <c r="C247" s="42" t="s">
        <v>43</v>
      </c>
      <c r="D247" s="38" t="s">
        <v>256</v>
      </c>
      <c r="E247" s="41"/>
      <c r="F247" s="38" t="s">
        <v>127</v>
      </c>
      <c r="G247" s="76"/>
    </row>
    <row r="248" spans="1:7" ht="15" customHeight="1" x14ac:dyDescent="0.25">
      <c r="A248" s="120"/>
      <c r="B248" s="104">
        <v>2</v>
      </c>
      <c r="C248" s="42" t="s">
        <v>43</v>
      </c>
      <c r="D248" s="38" t="s">
        <v>257</v>
      </c>
      <c r="E248" s="41"/>
      <c r="F248" s="38" t="s">
        <v>258</v>
      </c>
      <c r="G248" s="76"/>
    </row>
    <row r="249" spans="1:7" ht="30" customHeight="1" x14ac:dyDescent="0.25">
      <c r="A249" s="120"/>
      <c r="B249" s="104">
        <v>3</v>
      </c>
      <c r="C249" s="42" t="s">
        <v>43</v>
      </c>
      <c r="D249" s="38" t="s">
        <v>271</v>
      </c>
      <c r="E249" s="41"/>
      <c r="F249" s="38" t="s">
        <v>259</v>
      </c>
      <c r="G249" s="76"/>
    </row>
    <row r="250" spans="1:7" ht="45" customHeight="1" x14ac:dyDescent="0.25">
      <c r="A250" s="120"/>
      <c r="B250" s="104">
        <v>4</v>
      </c>
      <c r="C250" s="42" t="s">
        <v>43</v>
      </c>
      <c r="D250" s="38" t="s">
        <v>260</v>
      </c>
      <c r="E250" s="41"/>
      <c r="F250" s="38" t="s">
        <v>261</v>
      </c>
      <c r="G250" s="76"/>
    </row>
    <row r="251" spans="1:7" ht="15" customHeight="1" x14ac:dyDescent="0.25">
      <c r="A251" s="120"/>
      <c r="B251" s="104">
        <v>5</v>
      </c>
      <c r="C251" s="42" t="s">
        <v>43</v>
      </c>
      <c r="D251" s="38" t="s">
        <v>262</v>
      </c>
      <c r="E251" s="38"/>
      <c r="F251" s="38" t="s">
        <v>128</v>
      </c>
      <c r="G251" s="76"/>
    </row>
    <row r="252" spans="1:7" ht="15" customHeight="1" x14ac:dyDescent="0.25">
      <c r="A252" s="120"/>
      <c r="B252" s="104">
        <v>6</v>
      </c>
      <c r="C252" s="42" t="s">
        <v>43</v>
      </c>
      <c r="D252" s="38" t="s">
        <v>132</v>
      </c>
      <c r="E252" s="38"/>
      <c r="F252" s="38" t="s">
        <v>131</v>
      </c>
      <c r="G252" s="76"/>
    </row>
    <row r="253" spans="1:7" ht="30" customHeight="1" x14ac:dyDescent="0.25">
      <c r="A253" s="120"/>
      <c r="B253" s="104">
        <v>7</v>
      </c>
      <c r="C253" s="42" t="s">
        <v>43</v>
      </c>
      <c r="D253" s="38" t="s">
        <v>263</v>
      </c>
      <c r="E253" s="38"/>
      <c r="F253" s="38" t="s">
        <v>264</v>
      </c>
      <c r="G253" s="76"/>
    </row>
    <row r="254" spans="1:7" ht="15" customHeight="1" x14ac:dyDescent="0.25">
      <c r="A254" s="120"/>
      <c r="B254" s="104">
        <v>8</v>
      </c>
      <c r="C254" s="42" t="s">
        <v>43</v>
      </c>
      <c r="D254" s="38" t="s">
        <v>158</v>
      </c>
      <c r="E254" s="38"/>
      <c r="F254" s="38" t="s">
        <v>157</v>
      </c>
      <c r="G254" s="76"/>
    </row>
    <row r="255" spans="1:7" ht="15" customHeight="1" x14ac:dyDescent="0.25">
      <c r="A255" s="120"/>
      <c r="B255" s="104">
        <v>9</v>
      </c>
      <c r="C255" s="42" t="s">
        <v>43</v>
      </c>
      <c r="D255" s="38" t="s">
        <v>159</v>
      </c>
      <c r="E255" s="41"/>
      <c r="F255" s="38" t="s">
        <v>160</v>
      </c>
      <c r="G255" s="76"/>
    </row>
    <row r="256" spans="1:7" ht="15" customHeight="1" x14ac:dyDescent="0.25">
      <c r="A256" s="120"/>
      <c r="B256" s="104">
        <v>10</v>
      </c>
      <c r="C256" s="42" t="s">
        <v>43</v>
      </c>
      <c r="D256" s="38" t="s">
        <v>165</v>
      </c>
      <c r="E256" s="41"/>
      <c r="F256" s="38" t="s">
        <v>229</v>
      </c>
      <c r="G256" s="76"/>
    </row>
    <row r="257" spans="1:7" ht="30" customHeight="1" x14ac:dyDescent="0.25">
      <c r="A257" s="120"/>
      <c r="B257" s="43" t="s">
        <v>87</v>
      </c>
      <c r="C257" s="43" t="s">
        <v>88</v>
      </c>
      <c r="D257" s="38" t="s">
        <v>266</v>
      </c>
      <c r="E257" s="91"/>
      <c r="F257" s="38"/>
      <c r="G257" s="76" t="s">
        <v>50</v>
      </c>
    </row>
    <row r="258" spans="1:7" s="36" customFormat="1" ht="30" customHeight="1" x14ac:dyDescent="0.25">
      <c r="A258" s="77" t="str">
        <f>TabellaTest!F20</f>
        <v>TF002.UC11</v>
      </c>
      <c r="B258" s="121" t="str">
        <f>TabellaTest!C20</f>
        <v>REQ- SIE-021-02</v>
      </c>
      <c r="C258" s="122"/>
      <c r="D258" s="122" t="str">
        <f>TabellaTest!E20</f>
        <v>Verifica sostituzione anagrafica avvocato tramite ReGIndE in SIGE su Parti Udienza</v>
      </c>
      <c r="E258" s="127"/>
      <c r="F258" s="122" t="str">
        <f>TabellaTest!G20</f>
        <v>Verifica: verificare che nel sottosistema SIGE la sostituzionedi un avvocato di parte avvenga tramite accesso a ReGIndE</v>
      </c>
      <c r="G258" s="128"/>
    </row>
    <row r="259" spans="1:7" ht="30" customHeight="1" x14ac:dyDescent="0.25">
      <c r="A259" s="120"/>
      <c r="B259" s="98" t="s">
        <v>34</v>
      </c>
      <c r="C259" s="98" t="s">
        <v>35</v>
      </c>
      <c r="D259" s="98" t="s">
        <v>36</v>
      </c>
      <c r="E259" s="98" t="s">
        <v>37</v>
      </c>
      <c r="F259" s="98" t="s">
        <v>38</v>
      </c>
      <c r="G259" s="99" t="s">
        <v>11</v>
      </c>
    </row>
    <row r="260" spans="1:7" ht="30" customHeight="1" x14ac:dyDescent="0.25">
      <c r="A260" s="120"/>
      <c r="B260" s="75" t="s">
        <v>39</v>
      </c>
      <c r="C260" s="37" t="s">
        <v>40</v>
      </c>
      <c r="D260" s="38" t="s">
        <v>117</v>
      </c>
      <c r="E260" s="38" t="s">
        <v>118</v>
      </c>
      <c r="F260" s="38"/>
      <c r="G260" s="76"/>
    </row>
    <row r="261" spans="1:7" ht="15" customHeight="1" x14ac:dyDescent="0.25">
      <c r="A261" s="120"/>
      <c r="B261" s="75" t="s">
        <v>39</v>
      </c>
      <c r="C261" s="37" t="s">
        <v>41</v>
      </c>
      <c r="D261" s="38" t="s">
        <v>309</v>
      </c>
      <c r="E261" s="38"/>
      <c r="F261" s="91"/>
      <c r="G261" s="76"/>
    </row>
    <row r="262" spans="1:7" ht="15" customHeight="1" x14ac:dyDescent="0.25">
      <c r="A262" s="120"/>
      <c r="B262" s="104">
        <v>1</v>
      </c>
      <c r="C262" s="42" t="s">
        <v>43</v>
      </c>
      <c r="D262" s="38" t="s">
        <v>273</v>
      </c>
      <c r="E262" s="41"/>
      <c r="F262" s="38" t="s">
        <v>127</v>
      </c>
      <c r="G262" s="76"/>
    </row>
    <row r="263" spans="1:7" ht="15" customHeight="1" x14ac:dyDescent="0.25">
      <c r="A263" s="120"/>
      <c r="B263" s="104">
        <v>2</v>
      </c>
      <c r="C263" s="42" t="s">
        <v>43</v>
      </c>
      <c r="D263" s="38" t="s">
        <v>257</v>
      </c>
      <c r="E263" s="41"/>
      <c r="F263" s="38" t="s">
        <v>258</v>
      </c>
      <c r="G263" s="76"/>
    </row>
    <row r="264" spans="1:7" ht="15" customHeight="1" x14ac:dyDescent="0.25">
      <c r="A264" s="120"/>
      <c r="B264" s="104">
        <v>3</v>
      </c>
      <c r="C264" s="42" t="s">
        <v>43</v>
      </c>
      <c r="D264" s="38" t="s">
        <v>271</v>
      </c>
      <c r="E264" s="41"/>
      <c r="F264" s="38" t="s">
        <v>272</v>
      </c>
      <c r="G264" s="76"/>
    </row>
    <row r="265" spans="1:7" ht="30" customHeight="1" x14ac:dyDescent="0.25">
      <c r="A265" s="120"/>
      <c r="B265" s="104">
        <v>4</v>
      </c>
      <c r="C265" s="42" t="s">
        <v>43</v>
      </c>
      <c r="D265" s="38" t="s">
        <v>274</v>
      </c>
      <c r="E265" s="41"/>
      <c r="F265" s="38" t="s">
        <v>330</v>
      </c>
      <c r="G265" s="76"/>
    </row>
    <row r="266" spans="1:7" ht="15" customHeight="1" x14ac:dyDescent="0.25">
      <c r="A266" s="120"/>
      <c r="B266" s="104">
        <v>5</v>
      </c>
      <c r="C266" s="42" t="s">
        <v>43</v>
      </c>
      <c r="D266" s="38" t="s">
        <v>262</v>
      </c>
      <c r="E266" s="38"/>
      <c r="F266" s="38" t="s">
        <v>229</v>
      </c>
      <c r="G266" s="76"/>
    </row>
    <row r="267" spans="1:7" ht="30" customHeight="1" x14ac:dyDescent="0.25">
      <c r="A267" s="120"/>
      <c r="B267" s="104">
        <v>6</v>
      </c>
      <c r="C267" s="42" t="s">
        <v>43</v>
      </c>
      <c r="D267" s="38" t="s">
        <v>231</v>
      </c>
      <c r="E267" s="38"/>
      <c r="F267" s="38" t="s">
        <v>232</v>
      </c>
      <c r="G267" s="76"/>
    </row>
    <row r="268" spans="1:7" ht="15" customHeight="1" x14ac:dyDescent="0.25">
      <c r="A268" s="120"/>
      <c r="B268" s="104">
        <v>7</v>
      </c>
      <c r="C268" s="42" t="s">
        <v>43</v>
      </c>
      <c r="D268" s="38" t="s">
        <v>132</v>
      </c>
      <c r="E268" s="38"/>
      <c r="F268" s="38" t="s">
        <v>131</v>
      </c>
      <c r="G268" s="76"/>
    </row>
    <row r="269" spans="1:7" ht="33" customHeight="1" x14ac:dyDescent="0.25">
      <c r="A269" s="120"/>
      <c r="B269" s="104">
        <v>8</v>
      </c>
      <c r="C269" s="42" t="s">
        <v>43</v>
      </c>
      <c r="D269" s="38" t="s">
        <v>263</v>
      </c>
      <c r="E269" s="38"/>
      <c r="F269" s="38" t="s">
        <v>264</v>
      </c>
      <c r="G269" s="76"/>
    </row>
    <row r="270" spans="1:7" ht="15" customHeight="1" x14ac:dyDescent="0.25">
      <c r="A270" s="120"/>
      <c r="B270" s="104">
        <v>9</v>
      </c>
      <c r="C270" s="42" t="s">
        <v>43</v>
      </c>
      <c r="D270" s="38" t="s">
        <v>158</v>
      </c>
      <c r="E270" s="41"/>
      <c r="F270" s="38" t="s">
        <v>234</v>
      </c>
      <c r="G270" s="76"/>
    </row>
    <row r="271" spans="1:7" ht="15" customHeight="1" x14ac:dyDescent="0.25">
      <c r="A271" s="120"/>
      <c r="B271" s="104">
        <v>10</v>
      </c>
      <c r="C271" s="42" t="s">
        <v>43</v>
      </c>
      <c r="D271" s="38" t="s">
        <v>159</v>
      </c>
      <c r="E271" s="41"/>
      <c r="F271" s="38" t="s">
        <v>160</v>
      </c>
      <c r="G271" s="76"/>
    </row>
    <row r="272" spans="1:7" ht="15" customHeight="1" x14ac:dyDescent="0.25">
      <c r="A272" s="120"/>
      <c r="B272" s="104">
        <v>11</v>
      </c>
      <c r="C272" s="42" t="s">
        <v>43</v>
      </c>
      <c r="D272" s="38" t="s">
        <v>165</v>
      </c>
      <c r="E272" s="91"/>
      <c r="F272" s="38" t="s">
        <v>229</v>
      </c>
      <c r="G272" s="76"/>
    </row>
    <row r="273" spans="1:7" ht="30" customHeight="1" x14ac:dyDescent="0.25">
      <c r="A273" s="120"/>
      <c r="B273" s="43" t="s">
        <v>87</v>
      </c>
      <c r="C273" s="43" t="s">
        <v>88</v>
      </c>
      <c r="D273" s="38" t="s">
        <v>280</v>
      </c>
      <c r="E273" s="100"/>
      <c r="F273" s="100"/>
      <c r="G273" s="76" t="s">
        <v>50</v>
      </c>
    </row>
    <row r="274" spans="1:7" s="36" customFormat="1" ht="30" customHeight="1" x14ac:dyDescent="0.25">
      <c r="A274" s="77" t="str">
        <f>TabellaTest!F21</f>
        <v>TF002.UC12</v>
      </c>
      <c r="B274" s="121" t="str">
        <f>TabellaTest!C21</f>
        <v>REQ- SIE-021-02</v>
      </c>
      <c r="C274" s="122"/>
      <c r="D274" s="122" t="str">
        <f>TabellaTest!E21</f>
        <v>Verifica sostituzione anagrafica avvocato tramite SIES in SIGE su Parti Udienza</v>
      </c>
      <c r="E274" s="127"/>
      <c r="F274" s="122" t="str">
        <f>TabellaTest!G21</f>
        <v>Verifica: verificare che nel sottosistema SIGE la sostituzionedi un avvocato di parte avvenga tramite accesso aSIES</v>
      </c>
      <c r="G274" s="128"/>
    </row>
    <row r="275" spans="1:7" ht="30" customHeight="1" x14ac:dyDescent="0.25">
      <c r="A275" s="120"/>
      <c r="B275" s="98" t="s">
        <v>34</v>
      </c>
      <c r="C275" s="98" t="s">
        <v>35</v>
      </c>
      <c r="D275" s="98" t="s">
        <v>36</v>
      </c>
      <c r="E275" s="98" t="s">
        <v>37</v>
      </c>
      <c r="F275" s="98" t="s">
        <v>38</v>
      </c>
      <c r="G275" s="99" t="s">
        <v>11</v>
      </c>
    </row>
    <row r="276" spans="1:7" ht="30" customHeight="1" x14ac:dyDescent="0.25">
      <c r="A276" s="120"/>
      <c r="B276" s="75" t="s">
        <v>39</v>
      </c>
      <c r="C276" s="37" t="s">
        <v>40</v>
      </c>
      <c r="D276" s="38" t="s">
        <v>117</v>
      </c>
      <c r="E276" s="38" t="s">
        <v>118</v>
      </c>
      <c r="F276" s="38"/>
      <c r="G276" s="76"/>
    </row>
    <row r="277" spans="1:7" ht="15" customHeight="1" x14ac:dyDescent="0.25">
      <c r="A277" s="120"/>
      <c r="B277" s="75" t="s">
        <v>39</v>
      </c>
      <c r="C277" s="37" t="s">
        <v>41</v>
      </c>
      <c r="D277" s="38" t="s">
        <v>309</v>
      </c>
      <c r="E277" s="38"/>
      <c r="F277" s="91"/>
      <c r="G277" s="76"/>
    </row>
    <row r="278" spans="1:7" ht="15" customHeight="1" x14ac:dyDescent="0.25">
      <c r="A278" s="120"/>
      <c r="B278" s="104">
        <v>1</v>
      </c>
      <c r="C278" s="42" t="s">
        <v>43</v>
      </c>
      <c r="D278" s="38" t="s">
        <v>273</v>
      </c>
      <c r="E278" s="41"/>
      <c r="F278" s="38" t="s">
        <v>127</v>
      </c>
      <c r="G278" s="76"/>
    </row>
    <row r="279" spans="1:7" ht="15" customHeight="1" x14ac:dyDescent="0.25">
      <c r="A279" s="120"/>
      <c r="B279" s="104">
        <v>2</v>
      </c>
      <c r="C279" s="42" t="s">
        <v>43</v>
      </c>
      <c r="D279" s="38" t="s">
        <v>257</v>
      </c>
      <c r="E279" s="41"/>
      <c r="F279" s="38" t="s">
        <v>258</v>
      </c>
      <c r="G279" s="76"/>
    </row>
    <row r="280" spans="1:7" ht="15" customHeight="1" x14ac:dyDescent="0.25">
      <c r="A280" s="120"/>
      <c r="B280" s="104">
        <v>3</v>
      </c>
      <c r="C280" s="42" t="s">
        <v>43</v>
      </c>
      <c r="D280" s="38" t="s">
        <v>271</v>
      </c>
      <c r="E280" s="41"/>
      <c r="F280" s="38" t="s">
        <v>272</v>
      </c>
      <c r="G280" s="76"/>
    </row>
    <row r="281" spans="1:7" ht="30" customHeight="1" x14ac:dyDescent="0.25">
      <c r="A281" s="120"/>
      <c r="B281" s="104">
        <v>4</v>
      </c>
      <c r="C281" s="42" t="s">
        <v>43</v>
      </c>
      <c r="D281" s="38" t="s">
        <v>274</v>
      </c>
      <c r="E281" s="41"/>
      <c r="F281" s="38" t="s">
        <v>330</v>
      </c>
      <c r="G281" s="76"/>
    </row>
    <row r="282" spans="1:7" ht="15" customHeight="1" x14ac:dyDescent="0.25">
      <c r="A282" s="120"/>
      <c r="B282" s="104">
        <v>5</v>
      </c>
      <c r="C282" s="42" t="s">
        <v>43</v>
      </c>
      <c r="D282" s="38" t="s">
        <v>262</v>
      </c>
      <c r="E282" s="38"/>
      <c r="F282" s="38" t="s">
        <v>229</v>
      </c>
      <c r="G282" s="76"/>
    </row>
    <row r="283" spans="1:7" ht="30" customHeight="1" x14ac:dyDescent="0.25">
      <c r="A283" s="120"/>
      <c r="B283" s="104">
        <v>6</v>
      </c>
      <c r="C283" s="42" t="s">
        <v>43</v>
      </c>
      <c r="D283" s="38" t="s">
        <v>231</v>
      </c>
      <c r="E283" s="38"/>
      <c r="F283" s="38" t="s">
        <v>232</v>
      </c>
      <c r="G283" s="76"/>
    </row>
    <row r="284" spans="1:7" ht="15" customHeight="1" x14ac:dyDescent="0.25">
      <c r="A284" s="120"/>
      <c r="B284" s="104">
        <v>7</v>
      </c>
      <c r="C284" s="42" t="s">
        <v>43</v>
      </c>
      <c r="D284" s="38" t="s">
        <v>132</v>
      </c>
      <c r="E284" s="38"/>
      <c r="F284" s="38" t="s">
        <v>131</v>
      </c>
      <c r="G284" s="76"/>
    </row>
    <row r="285" spans="1:7" ht="45" customHeight="1" x14ac:dyDescent="0.25">
      <c r="A285" s="120"/>
      <c r="B285" s="104">
        <v>8</v>
      </c>
      <c r="C285" s="42" t="s">
        <v>43</v>
      </c>
      <c r="D285" s="38" t="s">
        <v>281</v>
      </c>
      <c r="E285" s="38"/>
      <c r="F285" s="38" t="s">
        <v>426</v>
      </c>
      <c r="G285" s="76"/>
    </row>
    <row r="286" spans="1:7" ht="30" customHeight="1" x14ac:dyDescent="0.25">
      <c r="A286" s="120"/>
      <c r="B286" s="104">
        <v>9</v>
      </c>
      <c r="C286" s="42" t="s">
        <v>43</v>
      </c>
      <c r="D286" s="38" t="s">
        <v>171</v>
      </c>
      <c r="E286" s="38"/>
      <c r="F286" s="38" t="s">
        <v>172</v>
      </c>
      <c r="G286" s="76"/>
    </row>
    <row r="287" spans="1:7" ht="30" customHeight="1" x14ac:dyDescent="0.25">
      <c r="A287" s="120"/>
      <c r="B287" s="104">
        <v>10</v>
      </c>
      <c r="C287" s="42" t="s">
        <v>43</v>
      </c>
      <c r="D287" s="38" t="s">
        <v>282</v>
      </c>
      <c r="E287" s="38"/>
      <c r="F287" s="38" t="s">
        <v>166</v>
      </c>
      <c r="G287" s="76"/>
    </row>
    <row r="288" spans="1:7" ht="15" customHeight="1" x14ac:dyDescent="0.25">
      <c r="A288" s="120"/>
      <c r="B288" s="104">
        <v>11</v>
      </c>
      <c r="C288" s="42" t="s">
        <v>43</v>
      </c>
      <c r="D288" s="38" t="s">
        <v>158</v>
      </c>
      <c r="E288" s="41"/>
      <c r="F288" s="38" t="s">
        <v>234</v>
      </c>
      <c r="G288" s="76"/>
    </row>
    <row r="289" spans="1:7" ht="15" customHeight="1" x14ac:dyDescent="0.25">
      <c r="A289" s="120"/>
      <c r="B289" s="104">
        <v>12</v>
      </c>
      <c r="C289" s="42" t="s">
        <v>43</v>
      </c>
      <c r="D289" s="38" t="s">
        <v>159</v>
      </c>
      <c r="E289" s="41"/>
      <c r="F289" s="38" t="s">
        <v>160</v>
      </c>
      <c r="G289" s="76"/>
    </row>
    <row r="290" spans="1:7" ht="30" customHeight="1" x14ac:dyDescent="0.25">
      <c r="A290" s="120"/>
      <c r="B290" s="43" t="s">
        <v>87</v>
      </c>
      <c r="C290" s="43" t="s">
        <v>88</v>
      </c>
      <c r="D290" s="38" t="s">
        <v>280</v>
      </c>
      <c r="E290" s="91"/>
      <c r="F290" s="38"/>
      <c r="G290" s="76" t="s">
        <v>50</v>
      </c>
    </row>
    <row r="291" spans="1:7" s="36" customFormat="1" ht="30" customHeight="1" x14ac:dyDescent="0.25">
      <c r="A291" s="77" t="str">
        <f>TabellaTest!F22</f>
        <v>TF002.UC13</v>
      </c>
      <c r="B291" s="121" t="str">
        <f>TabellaTest!C22</f>
        <v>REQ- SIE-021-02</v>
      </c>
      <c r="C291" s="122"/>
      <c r="D291" s="122" t="str">
        <f>TabellaTest!E22</f>
        <v>Verifica inserimento anagrafica avvocato tramite ReGIndE in SIEP su Istanza da procedimento SIEP</v>
      </c>
      <c r="E291" s="127"/>
      <c r="F291" s="122" t="str">
        <f>TabellaTest!G22</f>
        <v>Verifica: verificare che nel sottosistema SIGE la sostituzionedi un avvocato di parte avvenga tramite accesso aSIES</v>
      </c>
      <c r="G291" s="128"/>
    </row>
    <row r="292" spans="1:7" ht="30" customHeight="1" x14ac:dyDescent="0.25">
      <c r="A292" s="120"/>
      <c r="B292" s="98" t="s">
        <v>34</v>
      </c>
      <c r="C292" s="98" t="s">
        <v>35</v>
      </c>
      <c r="D292" s="98" t="s">
        <v>36</v>
      </c>
      <c r="E292" s="98" t="s">
        <v>37</v>
      </c>
      <c r="F292" s="98" t="s">
        <v>38</v>
      </c>
      <c r="G292" s="99" t="s">
        <v>11</v>
      </c>
    </row>
    <row r="293" spans="1:7" ht="30" customHeight="1" x14ac:dyDescent="0.25">
      <c r="A293" s="120"/>
      <c r="B293" s="75" t="s">
        <v>39</v>
      </c>
      <c r="C293" s="37" t="s">
        <v>40</v>
      </c>
      <c r="D293" s="38" t="s">
        <v>119</v>
      </c>
      <c r="E293" s="38" t="s">
        <v>120</v>
      </c>
      <c r="F293" s="38"/>
      <c r="G293" s="76"/>
    </row>
    <row r="294" spans="1:7" ht="30" customHeight="1" x14ac:dyDescent="0.25">
      <c r="A294" s="120"/>
      <c r="B294" s="75" t="s">
        <v>39</v>
      </c>
      <c r="C294" s="37" t="s">
        <v>41</v>
      </c>
      <c r="D294" s="38" t="s">
        <v>427</v>
      </c>
      <c r="E294" s="38"/>
      <c r="F294" s="91"/>
      <c r="G294" s="76"/>
    </row>
    <row r="295" spans="1:7" ht="15" customHeight="1" x14ac:dyDescent="0.25">
      <c r="A295" s="120"/>
      <c r="B295" s="104">
        <v>1</v>
      </c>
      <c r="C295" s="42" t="s">
        <v>43</v>
      </c>
      <c r="D295" s="38" t="s">
        <v>295</v>
      </c>
      <c r="E295" s="41"/>
      <c r="F295" s="38" t="s">
        <v>127</v>
      </c>
      <c r="G295" s="76"/>
    </row>
    <row r="296" spans="1:7" ht="15" customHeight="1" x14ac:dyDescent="0.25">
      <c r="A296" s="120"/>
      <c r="B296" s="104">
        <v>2</v>
      </c>
      <c r="C296" s="42" t="s">
        <v>43</v>
      </c>
      <c r="D296" s="38" t="s">
        <v>296</v>
      </c>
      <c r="E296" s="41"/>
      <c r="F296" s="38" t="s">
        <v>297</v>
      </c>
      <c r="G296" s="76"/>
    </row>
    <row r="297" spans="1:7" ht="15" customHeight="1" x14ac:dyDescent="0.25">
      <c r="A297" s="120"/>
      <c r="B297" s="104">
        <v>3</v>
      </c>
      <c r="C297" s="42" t="s">
        <v>43</v>
      </c>
      <c r="D297" s="38" t="s">
        <v>298</v>
      </c>
      <c r="E297" s="41"/>
      <c r="F297" s="38" t="s">
        <v>299</v>
      </c>
      <c r="G297" s="76"/>
    </row>
    <row r="298" spans="1:7" ht="30" customHeight="1" x14ac:dyDescent="0.25">
      <c r="A298" s="120"/>
      <c r="B298" s="104">
        <v>4</v>
      </c>
      <c r="C298" s="42" t="s">
        <v>43</v>
      </c>
      <c r="D298" s="38" t="s">
        <v>300</v>
      </c>
      <c r="E298" s="41"/>
      <c r="F298" s="38" t="s">
        <v>301</v>
      </c>
      <c r="G298" s="76"/>
    </row>
    <row r="299" spans="1:7" ht="15" customHeight="1" x14ac:dyDescent="0.25">
      <c r="A299" s="120"/>
      <c r="B299" s="104">
        <v>5</v>
      </c>
      <c r="C299" s="42" t="s">
        <v>43</v>
      </c>
      <c r="D299" s="38" t="s">
        <v>132</v>
      </c>
      <c r="E299" s="38"/>
      <c r="F299" s="38" t="s">
        <v>131</v>
      </c>
      <c r="G299" s="76"/>
    </row>
    <row r="300" spans="1:7" ht="30" customHeight="1" x14ac:dyDescent="0.25">
      <c r="A300" s="120"/>
      <c r="B300" s="104">
        <v>6</v>
      </c>
      <c r="C300" s="42" t="s">
        <v>43</v>
      </c>
      <c r="D300" s="38" t="s">
        <v>233</v>
      </c>
      <c r="E300" s="38"/>
      <c r="F300" s="38" t="s">
        <v>264</v>
      </c>
      <c r="G300" s="76"/>
    </row>
    <row r="301" spans="1:7" ht="30" customHeight="1" x14ac:dyDescent="0.25">
      <c r="A301" s="120"/>
      <c r="B301" s="104">
        <v>7</v>
      </c>
      <c r="C301" s="42" t="s">
        <v>43</v>
      </c>
      <c r="D301" s="38" t="s">
        <v>158</v>
      </c>
      <c r="E301" s="38"/>
      <c r="F301" s="38" t="s">
        <v>302</v>
      </c>
      <c r="G301" s="76"/>
    </row>
    <row r="302" spans="1:7" ht="15" customHeight="1" x14ac:dyDescent="0.25">
      <c r="A302" s="120"/>
      <c r="B302" s="104">
        <v>8</v>
      </c>
      <c r="C302" s="42" t="s">
        <v>43</v>
      </c>
      <c r="D302" s="38" t="s">
        <v>303</v>
      </c>
      <c r="E302" s="38"/>
      <c r="F302" s="38" t="s">
        <v>304</v>
      </c>
      <c r="G302" s="76"/>
    </row>
    <row r="303" spans="1:7" ht="30" customHeight="1" x14ac:dyDescent="0.25">
      <c r="A303" s="120"/>
      <c r="B303" s="43" t="s">
        <v>87</v>
      </c>
      <c r="C303" s="43" t="s">
        <v>88</v>
      </c>
      <c r="D303" s="38" t="s">
        <v>305</v>
      </c>
      <c r="E303" s="91"/>
      <c r="F303" s="38"/>
      <c r="G303" s="76" t="s">
        <v>50</v>
      </c>
    </row>
    <row r="304" spans="1:7" ht="30" customHeight="1" x14ac:dyDescent="0.25">
      <c r="A304" s="77" t="str">
        <f>TabellaTest!F23</f>
        <v>TF004.UC01</v>
      </c>
      <c r="B304" s="121" t="str">
        <f>TabellaTest!C23</f>
        <v>REQ- SIE-021-04</v>
      </c>
      <c r="C304" s="121"/>
      <c r="D304" s="122" t="str">
        <f>TabellaTest!E23</f>
        <v>Verifica mancanza pulsanti su gestione anagrafica avvocati in SIEP</v>
      </c>
      <c r="E304" s="122"/>
      <c r="F304" s="122" t="str">
        <f>TabellaTest!G23</f>
        <v>Verifica: Verificare che su SIEP il tasto "Inserimento Difensore" e "Modifica Difensore" siano oscurati</v>
      </c>
      <c r="G304" s="123"/>
    </row>
    <row r="305" spans="1:7" ht="30" customHeight="1" x14ac:dyDescent="0.25">
      <c r="A305" s="120"/>
      <c r="B305" s="75" t="s">
        <v>39</v>
      </c>
      <c r="C305" s="37" t="s">
        <v>40</v>
      </c>
      <c r="D305" s="38" t="s">
        <v>119</v>
      </c>
      <c r="E305" s="38" t="s">
        <v>120</v>
      </c>
      <c r="F305" s="38"/>
      <c r="G305" s="76"/>
    </row>
    <row r="306" spans="1:7" ht="15" customHeight="1" x14ac:dyDescent="0.25">
      <c r="A306" s="120"/>
      <c r="B306" s="75" t="s">
        <v>39</v>
      </c>
      <c r="C306" s="37" t="s">
        <v>41</v>
      </c>
      <c r="D306" s="91" t="s">
        <v>309</v>
      </c>
      <c r="E306" s="38"/>
      <c r="F306" s="91"/>
      <c r="G306" s="76"/>
    </row>
    <row r="307" spans="1:7" ht="15" customHeight="1" x14ac:dyDescent="0.25">
      <c r="A307" s="120"/>
      <c r="B307" s="39">
        <v>1</v>
      </c>
      <c r="C307" s="39" t="s">
        <v>42</v>
      </c>
      <c r="D307" s="40" t="s">
        <v>123</v>
      </c>
      <c r="E307" s="41"/>
      <c r="F307" s="38"/>
      <c r="G307" s="76"/>
    </row>
    <row r="308" spans="1:7" ht="15" customHeight="1" x14ac:dyDescent="0.25">
      <c r="A308" s="120"/>
      <c r="B308" s="43" t="s">
        <v>87</v>
      </c>
      <c r="C308" s="43" t="s">
        <v>88</v>
      </c>
      <c r="D308" s="45" t="s">
        <v>167</v>
      </c>
      <c r="E308" s="38"/>
      <c r="F308" s="38"/>
      <c r="G308" s="76" t="s">
        <v>50</v>
      </c>
    </row>
    <row r="309" spans="1:7" ht="15" customHeight="1" x14ac:dyDescent="0.25">
      <c r="A309" s="120"/>
      <c r="B309" s="104">
        <v>2</v>
      </c>
      <c r="C309" s="42" t="s">
        <v>43</v>
      </c>
      <c r="D309" s="38" t="s">
        <v>125</v>
      </c>
      <c r="E309" s="41"/>
      <c r="F309" s="38" t="s">
        <v>124</v>
      </c>
      <c r="G309" s="76"/>
    </row>
    <row r="310" spans="1:7" ht="15" customHeight="1" x14ac:dyDescent="0.25">
      <c r="A310" s="120"/>
      <c r="B310" s="104">
        <v>3</v>
      </c>
      <c r="C310" s="42" t="s">
        <v>43</v>
      </c>
      <c r="D310" s="38" t="s">
        <v>169</v>
      </c>
      <c r="E310" s="41"/>
      <c r="F310" s="38" t="s">
        <v>168</v>
      </c>
      <c r="G310" s="76"/>
    </row>
    <row r="311" spans="1:7" ht="15" customHeight="1" x14ac:dyDescent="0.25">
      <c r="A311" s="120"/>
      <c r="B311" s="43" t="s">
        <v>87</v>
      </c>
      <c r="C311" s="43" t="s">
        <v>88</v>
      </c>
      <c r="D311" s="45" t="s">
        <v>126</v>
      </c>
      <c r="E311" s="38"/>
      <c r="F311" s="38"/>
      <c r="G311" s="76" t="s">
        <v>50</v>
      </c>
    </row>
    <row r="312" spans="1:7" ht="30" customHeight="1" x14ac:dyDescent="0.25">
      <c r="A312" s="77" t="str">
        <f>TabellaTest!F24</f>
        <v>TF004.UC02</v>
      </c>
      <c r="B312" s="121" t="str">
        <f>TabellaTest!C24</f>
        <v>REQ- SIE-021-04</v>
      </c>
      <c r="C312" s="121"/>
      <c r="D312" s="122" t="str">
        <f>TabellaTest!E24</f>
        <v>Verifica mancanza pulsanti su gestione anagrafica avvocati in SIUS</v>
      </c>
      <c r="E312" s="122"/>
      <c r="F312" s="122" t="str">
        <f>TabellaTest!G24</f>
        <v>Verifica: Verificare che su SIUS il tasto "Inserimento Difensore" e "Modifica Difensore" siano oscurati</v>
      </c>
      <c r="G312" s="123"/>
    </row>
    <row r="313" spans="1:7" ht="30" customHeight="1" x14ac:dyDescent="0.25">
      <c r="A313" s="124"/>
      <c r="B313" s="98" t="s">
        <v>34</v>
      </c>
      <c r="C313" s="98" t="s">
        <v>35</v>
      </c>
      <c r="D313" s="98" t="s">
        <v>36</v>
      </c>
      <c r="E313" s="98" t="s">
        <v>37</v>
      </c>
      <c r="F313" s="98" t="s">
        <v>38</v>
      </c>
      <c r="G313" s="99" t="s">
        <v>11</v>
      </c>
    </row>
    <row r="314" spans="1:7" ht="30" customHeight="1" x14ac:dyDescent="0.25">
      <c r="A314" s="125"/>
      <c r="B314" s="75" t="s">
        <v>39</v>
      </c>
      <c r="C314" s="37" t="s">
        <v>40</v>
      </c>
      <c r="D314" s="38" t="s">
        <v>121</v>
      </c>
      <c r="E314" s="38" t="s">
        <v>122</v>
      </c>
      <c r="F314" s="38"/>
      <c r="G314" s="76"/>
    </row>
    <row r="315" spans="1:7" ht="15" customHeight="1" x14ac:dyDescent="0.25">
      <c r="A315" s="125"/>
      <c r="B315" s="75" t="s">
        <v>39</v>
      </c>
      <c r="C315" s="37" t="s">
        <v>41</v>
      </c>
      <c r="D315" s="91" t="s">
        <v>309</v>
      </c>
      <c r="E315" s="38"/>
      <c r="F315" s="91"/>
      <c r="G315" s="76"/>
    </row>
    <row r="316" spans="1:7" ht="15" customHeight="1" x14ac:dyDescent="0.25">
      <c r="A316" s="125"/>
      <c r="B316" s="39">
        <v>1</v>
      </c>
      <c r="C316" s="39" t="s">
        <v>42</v>
      </c>
      <c r="D316" s="40" t="s">
        <v>123</v>
      </c>
      <c r="E316" s="41"/>
      <c r="F316" s="38"/>
      <c r="G316" s="76"/>
    </row>
    <row r="317" spans="1:7" ht="15" customHeight="1" x14ac:dyDescent="0.25">
      <c r="A317" s="125"/>
      <c r="B317" s="43" t="s">
        <v>87</v>
      </c>
      <c r="C317" s="43" t="s">
        <v>88</v>
      </c>
      <c r="D317" s="45" t="s">
        <v>167</v>
      </c>
      <c r="E317" s="38"/>
      <c r="F317" s="38"/>
      <c r="G317" s="76" t="s">
        <v>50</v>
      </c>
    </row>
    <row r="318" spans="1:7" ht="15" customHeight="1" x14ac:dyDescent="0.25">
      <c r="A318" s="125"/>
      <c r="B318" s="104">
        <v>2</v>
      </c>
      <c r="C318" s="42" t="s">
        <v>43</v>
      </c>
      <c r="D318" s="38" t="s">
        <v>125</v>
      </c>
      <c r="E318" s="41"/>
      <c r="F318" s="38" t="s">
        <v>124</v>
      </c>
      <c r="G318" s="76"/>
    </row>
    <row r="319" spans="1:7" ht="15" customHeight="1" x14ac:dyDescent="0.25">
      <c r="A319" s="125"/>
      <c r="B319" s="104">
        <v>3</v>
      </c>
      <c r="C319" s="42" t="s">
        <v>43</v>
      </c>
      <c r="D319" s="38" t="s">
        <v>169</v>
      </c>
      <c r="E319" s="41"/>
      <c r="F319" s="38" t="s">
        <v>168</v>
      </c>
      <c r="G319" s="76"/>
    </row>
    <row r="320" spans="1:7" ht="15" customHeight="1" x14ac:dyDescent="0.25">
      <c r="A320" s="126"/>
      <c r="B320" s="43" t="s">
        <v>87</v>
      </c>
      <c r="C320" s="43" t="s">
        <v>88</v>
      </c>
      <c r="D320" s="45" t="s">
        <v>126</v>
      </c>
      <c r="E320" s="38"/>
      <c r="F320" s="38"/>
      <c r="G320" s="76" t="s">
        <v>50</v>
      </c>
    </row>
    <row r="321" spans="1:7" ht="30" customHeight="1" x14ac:dyDescent="0.25">
      <c r="A321" s="77" t="str">
        <f>TabellaTest!F25</f>
        <v>TF004.UC03</v>
      </c>
      <c r="B321" s="121" t="str">
        <f>TabellaTest!C25</f>
        <v>REQ- SIE-021-04</v>
      </c>
      <c r="C321" s="121"/>
      <c r="D321" s="122" t="str">
        <f>TabellaTest!E25</f>
        <v>Verifica mancanza pulsanti su gestione anagrafica avvocati in SIGE</v>
      </c>
      <c r="E321" s="122"/>
      <c r="F321" s="122" t="str">
        <f>TabellaTest!G25</f>
        <v>Verifica: Verificare che su SIGE il tasto "Inserimento Difensore" e "Modifica Difensore" siano oscurati</v>
      </c>
      <c r="G321" s="123"/>
    </row>
    <row r="322" spans="1:7" ht="30" customHeight="1" x14ac:dyDescent="0.25">
      <c r="A322" s="124"/>
      <c r="B322" s="98" t="s">
        <v>34</v>
      </c>
      <c r="C322" s="98" t="s">
        <v>35</v>
      </c>
      <c r="D322" s="98" t="s">
        <v>36</v>
      </c>
      <c r="E322" s="98" t="s">
        <v>37</v>
      </c>
      <c r="F322" s="98" t="s">
        <v>38</v>
      </c>
      <c r="G322" s="99" t="s">
        <v>11</v>
      </c>
    </row>
    <row r="323" spans="1:7" ht="30" customHeight="1" x14ac:dyDescent="0.25">
      <c r="A323" s="125"/>
      <c r="B323" s="75" t="s">
        <v>39</v>
      </c>
      <c r="C323" s="37" t="s">
        <v>40</v>
      </c>
      <c r="D323" s="38" t="s">
        <v>117</v>
      </c>
      <c r="E323" s="38" t="s">
        <v>118</v>
      </c>
      <c r="F323" s="38"/>
      <c r="G323" s="76"/>
    </row>
    <row r="324" spans="1:7" ht="15" customHeight="1" x14ac:dyDescent="0.25">
      <c r="A324" s="125"/>
      <c r="B324" s="75" t="s">
        <v>39</v>
      </c>
      <c r="C324" s="37" t="s">
        <v>41</v>
      </c>
      <c r="D324" s="91" t="s">
        <v>309</v>
      </c>
      <c r="E324" s="38"/>
      <c r="F324" s="91"/>
      <c r="G324" s="76"/>
    </row>
    <row r="325" spans="1:7" ht="15" customHeight="1" x14ac:dyDescent="0.25">
      <c r="A325" s="125"/>
      <c r="B325" s="39">
        <v>1</v>
      </c>
      <c r="C325" s="39" t="s">
        <v>42</v>
      </c>
      <c r="D325" s="40" t="s">
        <v>123</v>
      </c>
      <c r="E325" s="41"/>
      <c r="F325" s="38"/>
      <c r="G325" s="76"/>
    </row>
    <row r="326" spans="1:7" ht="15" customHeight="1" x14ac:dyDescent="0.25">
      <c r="A326" s="125"/>
      <c r="B326" s="43" t="s">
        <v>87</v>
      </c>
      <c r="C326" s="43" t="s">
        <v>88</v>
      </c>
      <c r="D326" s="45" t="s">
        <v>167</v>
      </c>
      <c r="E326" s="38"/>
      <c r="F326" s="38"/>
      <c r="G326" s="76" t="s">
        <v>50</v>
      </c>
    </row>
    <row r="327" spans="1:7" ht="15" customHeight="1" x14ac:dyDescent="0.25">
      <c r="A327" s="125"/>
      <c r="B327" s="104">
        <v>2</v>
      </c>
      <c r="C327" s="42" t="s">
        <v>43</v>
      </c>
      <c r="D327" s="38" t="s">
        <v>125</v>
      </c>
      <c r="E327" s="41"/>
      <c r="F327" s="38" t="s">
        <v>124</v>
      </c>
      <c r="G327" s="76"/>
    </row>
    <row r="328" spans="1:7" ht="15" customHeight="1" x14ac:dyDescent="0.25">
      <c r="A328" s="125"/>
      <c r="B328" s="104">
        <v>3</v>
      </c>
      <c r="C328" s="42" t="s">
        <v>43</v>
      </c>
      <c r="D328" s="38" t="s">
        <v>169</v>
      </c>
      <c r="E328" s="41"/>
      <c r="F328" s="38" t="s">
        <v>168</v>
      </c>
      <c r="G328" s="76"/>
    </row>
    <row r="329" spans="1:7" ht="15" customHeight="1" x14ac:dyDescent="0.25">
      <c r="A329" s="126"/>
      <c r="B329" s="43" t="s">
        <v>87</v>
      </c>
      <c r="C329" s="43" t="s">
        <v>88</v>
      </c>
      <c r="D329" s="45" t="s">
        <v>126</v>
      </c>
      <c r="E329" s="38"/>
      <c r="F329" s="38"/>
      <c r="G329" s="76" t="s">
        <v>50</v>
      </c>
    </row>
    <row r="330" spans="1:7" ht="30" customHeight="1" x14ac:dyDescent="0.25">
      <c r="A330" s="77" t="str">
        <f>TabellaTest!F26</f>
        <v>TF005.UC01</v>
      </c>
      <c r="B330" s="121" t="str">
        <f>TabellaTest!C26</f>
        <v>REQ- SIE-021-05</v>
      </c>
      <c r="C330" s="121"/>
      <c r="D330" s="122" t="str">
        <f>TabellaTest!E26</f>
        <v>Verifica gestione omonimie in Inserimento Soggetto SIEP</v>
      </c>
      <c r="E330" s="122"/>
      <c r="F330" s="122" t="str">
        <f>TabellaTest!G26</f>
        <v>Verifica: Verificare che su SIEP sia gestita l'omonimia per i Comuni che abbiano più occorrenze nella tabella COMUNE</v>
      </c>
      <c r="G330" s="123"/>
    </row>
    <row r="331" spans="1:7" ht="30" customHeight="1" x14ac:dyDescent="0.25">
      <c r="A331" s="124"/>
      <c r="B331" s="98" t="s">
        <v>34</v>
      </c>
      <c r="C331" s="98" t="s">
        <v>35</v>
      </c>
      <c r="D331" s="98" t="s">
        <v>36</v>
      </c>
      <c r="E331" s="98" t="s">
        <v>37</v>
      </c>
      <c r="F331" s="98" t="s">
        <v>38</v>
      </c>
      <c r="G331" s="99" t="s">
        <v>11</v>
      </c>
    </row>
    <row r="332" spans="1:7" ht="30" customHeight="1" x14ac:dyDescent="0.25">
      <c r="A332" s="125"/>
      <c r="B332" s="75" t="s">
        <v>39</v>
      </c>
      <c r="C332" s="37" t="s">
        <v>40</v>
      </c>
      <c r="D332" s="38" t="s">
        <v>119</v>
      </c>
      <c r="E332" s="38" t="s">
        <v>120</v>
      </c>
      <c r="F332" s="38"/>
      <c r="G332" s="76"/>
    </row>
    <row r="333" spans="1:7" ht="15" customHeight="1" x14ac:dyDescent="0.25">
      <c r="A333" s="125"/>
      <c r="B333" s="75" t="s">
        <v>39</v>
      </c>
      <c r="C333" s="37" t="s">
        <v>41</v>
      </c>
      <c r="D333" s="91" t="s">
        <v>309</v>
      </c>
      <c r="E333" s="38"/>
      <c r="F333" s="91"/>
      <c r="G333" s="76"/>
    </row>
    <row r="334" spans="1:7" ht="15" customHeight="1" x14ac:dyDescent="0.25">
      <c r="A334" s="125"/>
      <c r="B334" s="39">
        <v>1</v>
      </c>
      <c r="C334" s="39" t="s">
        <v>42</v>
      </c>
      <c r="D334" s="40" t="s">
        <v>204</v>
      </c>
      <c r="E334" s="41"/>
      <c r="F334" s="38" t="s">
        <v>220</v>
      </c>
      <c r="G334" s="76"/>
    </row>
    <row r="335" spans="1:7" ht="45" customHeight="1" x14ac:dyDescent="0.25">
      <c r="A335" s="125"/>
      <c r="B335" s="104">
        <v>2</v>
      </c>
      <c r="C335" s="42" t="s">
        <v>43</v>
      </c>
      <c r="D335" s="38" t="s">
        <v>221</v>
      </c>
      <c r="E335" s="41"/>
      <c r="F335" s="100"/>
      <c r="G335" s="76"/>
    </row>
    <row r="336" spans="1:7" ht="30" customHeight="1" x14ac:dyDescent="0.25">
      <c r="A336" s="125"/>
      <c r="B336" s="43" t="s">
        <v>87</v>
      </c>
      <c r="C336" s="43" t="s">
        <v>88</v>
      </c>
      <c r="D336" s="45" t="s">
        <v>205</v>
      </c>
      <c r="E336" s="38"/>
      <c r="F336" s="38"/>
      <c r="G336" s="76" t="s">
        <v>50</v>
      </c>
    </row>
    <row r="337" spans="1:7" ht="30" customHeight="1" x14ac:dyDescent="0.25">
      <c r="A337" s="125"/>
      <c r="B337" s="104">
        <v>3</v>
      </c>
      <c r="C337" s="42" t="s">
        <v>43</v>
      </c>
      <c r="D337" s="38" t="s">
        <v>177</v>
      </c>
      <c r="E337" s="41"/>
      <c r="F337" s="38" t="s">
        <v>206</v>
      </c>
      <c r="G337" s="76"/>
    </row>
    <row r="338" spans="1:7" ht="30" customHeight="1" x14ac:dyDescent="0.25">
      <c r="A338" s="125"/>
      <c r="B338" s="104">
        <v>4</v>
      </c>
      <c r="C338" s="42" t="s">
        <v>43</v>
      </c>
      <c r="D338" s="38" t="s">
        <v>209</v>
      </c>
      <c r="E338" s="41"/>
      <c r="F338" s="38" t="s">
        <v>210</v>
      </c>
      <c r="G338" s="76"/>
    </row>
    <row r="339" spans="1:7" ht="30" customHeight="1" x14ac:dyDescent="0.25">
      <c r="A339" s="125"/>
      <c r="B339" s="104">
        <v>5</v>
      </c>
      <c r="C339" s="42" t="s">
        <v>43</v>
      </c>
      <c r="D339" s="38" t="s">
        <v>207</v>
      </c>
      <c r="E339" s="41"/>
      <c r="F339" s="38" t="s">
        <v>211</v>
      </c>
      <c r="G339" s="76"/>
    </row>
    <row r="340" spans="1:7" ht="15" customHeight="1" x14ac:dyDescent="0.25">
      <c r="A340" s="125"/>
      <c r="B340" s="104">
        <v>6</v>
      </c>
      <c r="C340" s="42" t="s">
        <v>43</v>
      </c>
      <c r="D340" s="38" t="s">
        <v>208</v>
      </c>
      <c r="E340" s="41"/>
      <c r="F340" s="38" t="s">
        <v>227</v>
      </c>
      <c r="G340" s="76"/>
    </row>
    <row r="341" spans="1:7" ht="15" customHeight="1" x14ac:dyDescent="0.25">
      <c r="A341" s="125"/>
      <c r="B341" s="104">
        <v>7</v>
      </c>
      <c r="C341" s="42" t="s">
        <v>43</v>
      </c>
      <c r="D341" s="38" t="s">
        <v>212</v>
      </c>
      <c r="E341" s="41"/>
      <c r="F341" s="38" t="s">
        <v>213</v>
      </c>
      <c r="G341" s="76"/>
    </row>
    <row r="342" spans="1:7" ht="45" customHeight="1" x14ac:dyDescent="0.25">
      <c r="A342" s="126"/>
      <c r="B342" s="43" t="s">
        <v>87</v>
      </c>
      <c r="C342" s="43" t="s">
        <v>88</v>
      </c>
      <c r="D342" s="45" t="s">
        <v>214</v>
      </c>
      <c r="E342" s="38"/>
      <c r="F342" s="38"/>
      <c r="G342" s="76" t="s">
        <v>50</v>
      </c>
    </row>
    <row r="343" spans="1:7" ht="30" customHeight="1" x14ac:dyDescent="0.25">
      <c r="A343" s="77" t="str">
        <f>TabellaTest!F27</f>
        <v>TF005.UC02</v>
      </c>
      <c r="B343" s="121" t="str">
        <f>TabellaTest!C27</f>
        <v>REQ- SIE-021-05</v>
      </c>
      <c r="C343" s="121"/>
      <c r="D343" s="122" t="str">
        <f>TabellaTest!E27</f>
        <v>Verifica gestione omonimie in Modifica  Soggetto SIEP</v>
      </c>
      <c r="E343" s="122"/>
      <c r="F343" s="122" t="str">
        <f>TabellaTest!G27</f>
        <v>Verifica: Verificare che su SIEP sia gestita l'omonimia per i Comuni che abbiano più occorrenze nella tabella COMUNE</v>
      </c>
      <c r="G343" s="123"/>
    </row>
    <row r="344" spans="1:7" ht="30" customHeight="1" x14ac:dyDescent="0.25">
      <c r="A344" s="124"/>
      <c r="B344" s="98" t="s">
        <v>34</v>
      </c>
      <c r="C344" s="98" t="s">
        <v>35</v>
      </c>
      <c r="D344" s="98" t="s">
        <v>36</v>
      </c>
      <c r="E344" s="98" t="s">
        <v>37</v>
      </c>
      <c r="F344" s="98" t="s">
        <v>38</v>
      </c>
      <c r="G344" s="99" t="s">
        <v>11</v>
      </c>
    </row>
    <row r="345" spans="1:7" ht="30" customHeight="1" x14ac:dyDescent="0.25">
      <c r="A345" s="125"/>
      <c r="B345" s="75" t="s">
        <v>39</v>
      </c>
      <c r="C345" s="37" t="s">
        <v>40</v>
      </c>
      <c r="D345" s="38" t="s">
        <v>119</v>
      </c>
      <c r="E345" s="38" t="s">
        <v>120</v>
      </c>
      <c r="F345" s="38"/>
      <c r="G345" s="76"/>
    </row>
    <row r="346" spans="1:7" ht="15" customHeight="1" x14ac:dyDescent="0.25">
      <c r="A346" s="125"/>
      <c r="B346" s="75" t="s">
        <v>39</v>
      </c>
      <c r="C346" s="37" t="s">
        <v>41</v>
      </c>
      <c r="D346" s="91" t="s">
        <v>217</v>
      </c>
      <c r="E346" s="38"/>
      <c r="F346" s="91"/>
      <c r="G346" s="76"/>
    </row>
    <row r="347" spans="1:7" ht="15" customHeight="1" x14ac:dyDescent="0.25">
      <c r="A347" s="125"/>
      <c r="B347" s="39">
        <v>1</v>
      </c>
      <c r="C347" s="39" t="s">
        <v>42</v>
      </c>
      <c r="D347" s="40" t="s">
        <v>218</v>
      </c>
      <c r="E347" s="41"/>
      <c r="F347" s="38" t="s">
        <v>219</v>
      </c>
      <c r="G347" s="76"/>
    </row>
    <row r="348" spans="1:7" ht="30" customHeight="1" x14ac:dyDescent="0.25">
      <c r="A348" s="125"/>
      <c r="B348" s="104">
        <v>2</v>
      </c>
      <c r="C348" s="42" t="s">
        <v>43</v>
      </c>
      <c r="D348" s="38" t="s">
        <v>223</v>
      </c>
      <c r="E348" s="41"/>
      <c r="F348" s="38"/>
      <c r="G348" s="76"/>
    </row>
    <row r="349" spans="1:7" ht="30" customHeight="1" x14ac:dyDescent="0.25">
      <c r="A349" s="125"/>
      <c r="B349" s="43" t="s">
        <v>87</v>
      </c>
      <c r="C349" s="43" t="s">
        <v>88</v>
      </c>
      <c r="D349" s="45" t="s">
        <v>205</v>
      </c>
      <c r="E349" s="38"/>
      <c r="F349" s="38"/>
      <c r="G349" s="76" t="s">
        <v>50</v>
      </c>
    </row>
    <row r="350" spans="1:7" ht="30" customHeight="1" x14ac:dyDescent="0.25">
      <c r="A350" s="125"/>
      <c r="B350" s="104">
        <v>3</v>
      </c>
      <c r="C350" s="42" t="s">
        <v>43</v>
      </c>
      <c r="D350" s="38" t="s">
        <v>177</v>
      </c>
      <c r="E350" s="41"/>
      <c r="F350" s="38" t="s">
        <v>222</v>
      </c>
      <c r="G350" s="76"/>
    </row>
    <row r="351" spans="1:7" ht="30" customHeight="1" x14ac:dyDescent="0.25">
      <c r="A351" s="125"/>
      <c r="B351" s="104">
        <v>4</v>
      </c>
      <c r="C351" s="42" t="s">
        <v>43</v>
      </c>
      <c r="D351" s="38" t="s">
        <v>209</v>
      </c>
      <c r="E351" s="41"/>
      <c r="F351" s="38" t="s">
        <v>210</v>
      </c>
      <c r="G351" s="76"/>
    </row>
    <row r="352" spans="1:7" ht="30" customHeight="1" x14ac:dyDescent="0.25">
      <c r="A352" s="125"/>
      <c r="B352" s="104">
        <v>5</v>
      </c>
      <c r="C352" s="42" t="s">
        <v>43</v>
      </c>
      <c r="D352" s="38" t="s">
        <v>207</v>
      </c>
      <c r="E352" s="41"/>
      <c r="F352" s="38" t="s">
        <v>211</v>
      </c>
      <c r="G352" s="76"/>
    </row>
    <row r="353" spans="1:7" ht="15" customHeight="1" x14ac:dyDescent="0.25">
      <c r="A353" s="125"/>
      <c r="B353" s="104">
        <v>6</v>
      </c>
      <c r="C353" s="42" t="s">
        <v>43</v>
      </c>
      <c r="D353" s="38" t="s">
        <v>208</v>
      </c>
      <c r="E353" s="41"/>
      <c r="F353" s="38" t="s">
        <v>224</v>
      </c>
      <c r="G353" s="76"/>
    </row>
    <row r="354" spans="1:7" ht="15" customHeight="1" x14ac:dyDescent="0.25">
      <c r="A354" s="125"/>
      <c r="B354" s="104">
        <v>7</v>
      </c>
      <c r="C354" s="42" t="s">
        <v>43</v>
      </c>
      <c r="D354" s="38" t="s">
        <v>225</v>
      </c>
      <c r="E354" s="41"/>
      <c r="F354" s="38" t="s">
        <v>213</v>
      </c>
      <c r="G354" s="76"/>
    </row>
    <row r="355" spans="1:7" ht="45" customHeight="1" x14ac:dyDescent="0.25">
      <c r="A355" s="125"/>
      <c r="B355" s="88" t="s">
        <v>87</v>
      </c>
      <c r="C355" s="88" t="s">
        <v>88</v>
      </c>
      <c r="D355" s="89" t="s">
        <v>226</v>
      </c>
      <c r="E355" s="44"/>
      <c r="F355" s="44"/>
      <c r="G355" s="90" t="s">
        <v>50</v>
      </c>
    </row>
    <row r="356" spans="1:7" ht="30" customHeight="1" x14ac:dyDescent="0.25">
      <c r="A356" s="77" t="str">
        <f>TabellaTest!F28</f>
        <v>TF006.UC01</v>
      </c>
      <c r="B356" s="121" t="str">
        <f>TabellaTest!C28</f>
        <v>REQ- SIE-021-06</v>
      </c>
      <c r="C356" s="121"/>
      <c r="D356" s="122" t="str">
        <f>TabellaTest!E28</f>
        <v>Verifica scambio informativo SIES-NSC per le nuove Nazioni</v>
      </c>
      <c r="E356" s="122"/>
      <c r="F356" s="122" t="str">
        <f>TabellaTest!G28</f>
        <v>Verifica: Verificare che su SIES sia garantito lo scambio informativo con NSC anche per le nuove Nazioni</v>
      </c>
      <c r="G356" s="123"/>
    </row>
    <row r="357" spans="1:7" ht="25.5" x14ac:dyDescent="0.25">
      <c r="A357" s="124"/>
      <c r="B357" s="98" t="s">
        <v>34</v>
      </c>
      <c r="C357" s="98" t="s">
        <v>35</v>
      </c>
      <c r="D357" s="98" t="s">
        <v>36</v>
      </c>
      <c r="E357" s="98" t="s">
        <v>37</v>
      </c>
      <c r="F357" s="98" t="s">
        <v>38</v>
      </c>
      <c r="G357" s="99" t="s">
        <v>11</v>
      </c>
    </row>
    <row r="358" spans="1:7" ht="30" customHeight="1" x14ac:dyDescent="0.25">
      <c r="A358" s="125"/>
      <c r="B358" s="75" t="s">
        <v>39</v>
      </c>
      <c r="C358" s="37" t="s">
        <v>40</v>
      </c>
      <c r="D358" s="38" t="s">
        <v>119</v>
      </c>
      <c r="E358" s="38" t="s">
        <v>120</v>
      </c>
      <c r="F358" s="38"/>
      <c r="G358" s="76"/>
    </row>
    <row r="359" spans="1:7" x14ac:dyDescent="0.25">
      <c r="A359" s="125"/>
      <c r="B359" s="75" t="s">
        <v>39</v>
      </c>
      <c r="C359" s="37" t="s">
        <v>41</v>
      </c>
      <c r="D359" s="91" t="s">
        <v>313</v>
      </c>
      <c r="E359" s="38"/>
      <c r="F359" s="91"/>
      <c r="G359" s="76"/>
    </row>
    <row r="360" spans="1:7" x14ac:dyDescent="0.25">
      <c r="A360" s="125"/>
      <c r="B360" s="39">
        <v>1</v>
      </c>
      <c r="C360" s="39" t="s">
        <v>42</v>
      </c>
      <c r="D360" s="40" t="s">
        <v>314</v>
      </c>
      <c r="E360" s="41"/>
      <c r="F360" s="38" t="s">
        <v>315</v>
      </c>
      <c r="G360" s="76"/>
    </row>
    <row r="361" spans="1:7" ht="15" customHeight="1" x14ac:dyDescent="0.25">
      <c r="A361" s="125"/>
      <c r="B361" s="104">
        <v>2</v>
      </c>
      <c r="C361" s="42" t="s">
        <v>43</v>
      </c>
      <c r="D361" s="38" t="s">
        <v>316</v>
      </c>
      <c r="E361" s="41" t="s">
        <v>317</v>
      </c>
      <c r="F361" s="38" t="s">
        <v>318</v>
      </c>
      <c r="G361" s="76"/>
    </row>
    <row r="362" spans="1:7" ht="30" customHeight="1" x14ac:dyDescent="0.25">
      <c r="A362" s="125"/>
      <c r="B362" s="104">
        <v>3</v>
      </c>
      <c r="C362" s="42" t="s">
        <v>43</v>
      </c>
      <c r="D362" s="38" t="s">
        <v>319</v>
      </c>
      <c r="E362" s="41"/>
      <c r="F362" s="38" t="s">
        <v>320</v>
      </c>
      <c r="G362" s="76"/>
    </row>
    <row r="363" spans="1:7" ht="25.5" x14ac:dyDescent="0.25">
      <c r="A363" s="125"/>
      <c r="B363" s="104">
        <v>4</v>
      </c>
      <c r="C363" s="42" t="s">
        <v>43</v>
      </c>
      <c r="D363" s="38" t="s">
        <v>137</v>
      </c>
      <c r="E363" s="41"/>
      <c r="F363" s="38" t="s">
        <v>320</v>
      </c>
      <c r="G363" s="76"/>
    </row>
    <row r="364" spans="1:7" x14ac:dyDescent="0.25">
      <c r="A364" s="125"/>
      <c r="B364" s="104">
        <v>5</v>
      </c>
      <c r="C364" s="42" t="s">
        <v>43</v>
      </c>
      <c r="D364" s="38" t="s">
        <v>321</v>
      </c>
      <c r="E364" s="41"/>
      <c r="F364" s="38" t="s">
        <v>320</v>
      </c>
      <c r="G364" s="76"/>
    </row>
    <row r="365" spans="1:7" ht="30" customHeight="1" x14ac:dyDescent="0.25">
      <c r="A365" s="125"/>
      <c r="B365" s="88" t="s">
        <v>87</v>
      </c>
      <c r="C365" s="88" t="s">
        <v>88</v>
      </c>
      <c r="D365" s="89" t="s">
        <v>325</v>
      </c>
      <c r="E365" s="44"/>
      <c r="F365" s="44"/>
      <c r="G365" s="90" t="s">
        <v>50</v>
      </c>
    </row>
    <row r="366" spans="1:7" x14ac:dyDescent="0.25">
      <c r="A366" s="125"/>
      <c r="B366" s="39">
        <v>6</v>
      </c>
      <c r="C366" s="39" t="s">
        <v>42</v>
      </c>
      <c r="D366" s="40" t="s">
        <v>322</v>
      </c>
      <c r="E366" s="41"/>
      <c r="F366" s="38" t="s">
        <v>323</v>
      </c>
      <c r="G366" s="76"/>
    </row>
    <row r="367" spans="1:7" x14ac:dyDescent="0.25">
      <c r="A367" s="125"/>
      <c r="B367" s="105">
        <v>7</v>
      </c>
      <c r="C367" s="93" t="s">
        <v>43</v>
      </c>
      <c r="D367" s="44" t="s">
        <v>324</v>
      </c>
      <c r="E367" s="94"/>
      <c r="F367" s="44"/>
      <c r="G367" s="90"/>
    </row>
    <row r="368" spans="1:7" ht="30" customHeight="1" thickBot="1" x14ac:dyDescent="0.3">
      <c r="A368" s="129"/>
      <c r="B368" s="78" t="s">
        <v>87</v>
      </c>
      <c r="C368" s="78" t="s">
        <v>88</v>
      </c>
      <c r="D368" s="79" t="s">
        <v>326</v>
      </c>
      <c r="E368" s="60"/>
      <c r="F368" s="60"/>
      <c r="G368" s="80" t="s">
        <v>50</v>
      </c>
    </row>
    <row r="369" spans="1:7" ht="30" customHeight="1" thickTop="1" x14ac:dyDescent="0.25">
      <c r="A369" s="77" t="str">
        <f>TabellaTest!F29</f>
        <v>TF006.UC02</v>
      </c>
      <c r="B369" s="121" t="str">
        <f>TabellaTest!C29</f>
        <v>REQ- SIE-021-06</v>
      </c>
      <c r="C369" s="121"/>
      <c r="D369" s="122" t="str">
        <f>TabellaTest!E29</f>
        <v>Verifica scambio informativo SIES-NSC per i nuovi Comuni</v>
      </c>
      <c r="E369" s="122"/>
      <c r="F369" s="122" t="str">
        <f>TabellaTest!G29</f>
        <v>Verifica: Verificare che su SIES sia garantito lo scambio informativo con NSC anche per i nuovi Comuni</v>
      </c>
      <c r="G369" s="123"/>
    </row>
    <row r="370" spans="1:7" ht="25.5" x14ac:dyDescent="0.25">
      <c r="A370" s="124"/>
      <c r="B370" s="98" t="s">
        <v>34</v>
      </c>
      <c r="C370" s="98" t="s">
        <v>35</v>
      </c>
      <c r="D370" s="98" t="s">
        <v>36</v>
      </c>
      <c r="E370" s="98" t="s">
        <v>37</v>
      </c>
      <c r="F370" s="98" t="s">
        <v>38</v>
      </c>
      <c r="G370" s="99" t="s">
        <v>11</v>
      </c>
    </row>
    <row r="371" spans="1:7" ht="30" customHeight="1" x14ac:dyDescent="0.25">
      <c r="A371" s="125"/>
      <c r="B371" s="75" t="s">
        <v>39</v>
      </c>
      <c r="C371" s="37" t="s">
        <v>40</v>
      </c>
      <c r="D371" s="38" t="s">
        <v>119</v>
      </c>
      <c r="E371" s="38" t="s">
        <v>120</v>
      </c>
      <c r="F371" s="38"/>
      <c r="G371" s="76"/>
    </row>
    <row r="372" spans="1:7" x14ac:dyDescent="0.25">
      <c r="A372" s="125"/>
      <c r="B372" s="75" t="s">
        <v>39</v>
      </c>
      <c r="C372" s="37" t="s">
        <v>41</v>
      </c>
      <c r="D372" s="91" t="s">
        <v>313</v>
      </c>
      <c r="E372" s="38"/>
      <c r="F372" s="91"/>
      <c r="G372" s="76"/>
    </row>
    <row r="373" spans="1:7" x14ac:dyDescent="0.25">
      <c r="A373" s="125"/>
      <c r="B373" s="39">
        <v>1</v>
      </c>
      <c r="C373" s="39" t="s">
        <v>42</v>
      </c>
      <c r="D373" s="40" t="s">
        <v>314</v>
      </c>
      <c r="E373" s="41"/>
      <c r="F373" s="38" t="s">
        <v>315</v>
      </c>
      <c r="G373" s="76"/>
    </row>
    <row r="374" spans="1:7" ht="45" customHeight="1" x14ac:dyDescent="0.25">
      <c r="A374" s="125"/>
      <c r="B374" s="104">
        <v>2</v>
      </c>
      <c r="C374" s="42" t="s">
        <v>43</v>
      </c>
      <c r="D374" s="38" t="s">
        <v>316</v>
      </c>
      <c r="E374" s="41" t="s">
        <v>332</v>
      </c>
      <c r="F374" s="38" t="s">
        <v>318</v>
      </c>
      <c r="G374" s="76"/>
    </row>
    <row r="375" spans="1:7" ht="30" customHeight="1" x14ac:dyDescent="0.25">
      <c r="A375" s="125"/>
      <c r="B375" s="104">
        <v>3</v>
      </c>
      <c r="C375" s="42" t="s">
        <v>43</v>
      </c>
      <c r="D375" s="38" t="s">
        <v>319</v>
      </c>
      <c r="E375" s="41"/>
      <c r="F375" s="38" t="s">
        <v>320</v>
      </c>
      <c r="G375" s="76"/>
    </row>
    <row r="376" spans="1:7" ht="25.5" x14ac:dyDescent="0.25">
      <c r="A376" s="125"/>
      <c r="B376" s="104">
        <v>4</v>
      </c>
      <c r="C376" s="42" t="s">
        <v>43</v>
      </c>
      <c r="D376" s="38" t="s">
        <v>137</v>
      </c>
      <c r="E376" s="41"/>
      <c r="F376" s="38" t="s">
        <v>320</v>
      </c>
      <c r="G376" s="76"/>
    </row>
    <row r="377" spans="1:7" x14ac:dyDescent="0.25">
      <c r="A377" s="125"/>
      <c r="B377" s="104">
        <v>5</v>
      </c>
      <c r="C377" s="42" t="s">
        <v>43</v>
      </c>
      <c r="D377" s="38" t="s">
        <v>321</v>
      </c>
      <c r="E377" s="41"/>
      <c r="F377" s="38" t="s">
        <v>320</v>
      </c>
      <c r="G377" s="76"/>
    </row>
    <row r="378" spans="1:7" ht="30" customHeight="1" x14ac:dyDescent="0.25">
      <c r="A378" s="125"/>
      <c r="B378" s="88" t="s">
        <v>87</v>
      </c>
      <c r="C378" s="88" t="s">
        <v>88</v>
      </c>
      <c r="D378" s="89" t="s">
        <v>325</v>
      </c>
      <c r="E378" s="44"/>
      <c r="F378" s="44"/>
      <c r="G378" s="90" t="s">
        <v>50</v>
      </c>
    </row>
    <row r="379" spans="1:7" x14ac:dyDescent="0.25">
      <c r="A379" s="125"/>
      <c r="B379" s="39">
        <v>6</v>
      </c>
      <c r="C379" s="39" t="s">
        <v>42</v>
      </c>
      <c r="D379" s="40" t="s">
        <v>322</v>
      </c>
      <c r="E379" s="41"/>
      <c r="F379" s="38" t="s">
        <v>323</v>
      </c>
      <c r="G379" s="76"/>
    </row>
    <row r="380" spans="1:7" x14ac:dyDescent="0.25">
      <c r="A380" s="125"/>
      <c r="B380" s="105">
        <v>7</v>
      </c>
      <c r="C380" s="93" t="s">
        <v>43</v>
      </c>
      <c r="D380" s="44" t="s">
        <v>324</v>
      </c>
      <c r="E380" s="94"/>
      <c r="F380" s="44"/>
      <c r="G380" s="90"/>
    </row>
    <row r="381" spans="1:7" ht="30" customHeight="1" thickBot="1" x14ac:dyDescent="0.3">
      <c r="A381" s="129"/>
      <c r="B381" s="78" t="s">
        <v>87</v>
      </c>
      <c r="C381" s="78" t="s">
        <v>88</v>
      </c>
      <c r="D381" s="79" t="s">
        <v>331</v>
      </c>
      <c r="E381" s="60"/>
      <c r="F381" s="60"/>
      <c r="G381" s="80" t="s">
        <v>50</v>
      </c>
    </row>
    <row r="382" spans="1:7" ht="30" customHeight="1" thickTop="1" x14ac:dyDescent="0.25">
      <c r="A382" s="77" t="str">
        <f>TabellaTest!F30</f>
        <v>TF006.UC03</v>
      </c>
      <c r="B382" s="121" t="str">
        <f>TabellaTest!C30</f>
        <v>REQ- SIE-021-06</v>
      </c>
      <c r="C382" s="121"/>
      <c r="D382" s="122" t="str">
        <f>TabellaTest!E30</f>
        <v>Verifica scambio informativo SIES-NSC per le Nazioni già esistenti</v>
      </c>
      <c r="E382" s="122"/>
      <c r="F382" s="122" t="str">
        <f>TabellaTest!G30</f>
        <v>Verifica: Verificare che su SIES sia garantito lo scambio informativo con NSC anche per le Nazioni già esistenti</v>
      </c>
      <c r="G382" s="123"/>
    </row>
    <row r="383" spans="1:7" ht="25.5" x14ac:dyDescent="0.25">
      <c r="A383" s="124"/>
      <c r="B383" s="98" t="s">
        <v>34</v>
      </c>
      <c r="C383" s="98" t="s">
        <v>35</v>
      </c>
      <c r="D383" s="98" t="s">
        <v>36</v>
      </c>
      <c r="E383" s="98" t="s">
        <v>37</v>
      </c>
      <c r="F383" s="98" t="s">
        <v>38</v>
      </c>
      <c r="G383" s="99" t="s">
        <v>11</v>
      </c>
    </row>
    <row r="384" spans="1:7" ht="30" customHeight="1" x14ac:dyDescent="0.25">
      <c r="A384" s="125"/>
      <c r="B384" s="75" t="s">
        <v>39</v>
      </c>
      <c r="C384" s="37" t="s">
        <v>40</v>
      </c>
      <c r="D384" s="38" t="s">
        <v>119</v>
      </c>
      <c r="E384" s="38" t="s">
        <v>120</v>
      </c>
      <c r="F384" s="38"/>
      <c r="G384" s="76"/>
    </row>
    <row r="385" spans="1:7" x14ac:dyDescent="0.25">
      <c r="A385" s="125"/>
      <c r="B385" s="75" t="s">
        <v>39</v>
      </c>
      <c r="C385" s="37" t="s">
        <v>41</v>
      </c>
      <c r="D385" s="103" t="s">
        <v>313</v>
      </c>
      <c r="E385" s="38"/>
      <c r="F385" s="103"/>
      <c r="G385" s="76"/>
    </row>
    <row r="386" spans="1:7" x14ac:dyDescent="0.25">
      <c r="A386" s="125"/>
      <c r="B386" s="39">
        <v>1</v>
      </c>
      <c r="C386" s="39" t="s">
        <v>42</v>
      </c>
      <c r="D386" s="40" t="s">
        <v>314</v>
      </c>
      <c r="E386" s="41"/>
      <c r="F386" s="38" t="s">
        <v>315</v>
      </c>
      <c r="G386" s="76"/>
    </row>
    <row r="387" spans="1:7" ht="15" customHeight="1" x14ac:dyDescent="0.25">
      <c r="A387" s="125"/>
      <c r="B387" s="104">
        <v>2</v>
      </c>
      <c r="C387" s="42" t="s">
        <v>43</v>
      </c>
      <c r="D387" s="38" t="s">
        <v>316</v>
      </c>
      <c r="E387" s="41" t="s">
        <v>470</v>
      </c>
      <c r="F387" s="38" t="s">
        <v>318</v>
      </c>
      <c r="G387" s="76"/>
    </row>
    <row r="388" spans="1:7" ht="30" customHeight="1" x14ac:dyDescent="0.25">
      <c r="A388" s="125"/>
      <c r="B388" s="104">
        <v>3</v>
      </c>
      <c r="C388" s="42" t="s">
        <v>43</v>
      </c>
      <c r="D388" s="38" t="s">
        <v>319</v>
      </c>
      <c r="E388" s="41"/>
      <c r="F388" s="38" t="s">
        <v>320</v>
      </c>
      <c r="G388" s="76"/>
    </row>
    <row r="389" spans="1:7" ht="25.5" x14ac:dyDescent="0.25">
      <c r="A389" s="125"/>
      <c r="B389" s="104">
        <v>4</v>
      </c>
      <c r="C389" s="42" t="s">
        <v>43</v>
      </c>
      <c r="D389" s="38" t="s">
        <v>137</v>
      </c>
      <c r="E389" s="41"/>
      <c r="F389" s="38" t="s">
        <v>320</v>
      </c>
      <c r="G389" s="76"/>
    </row>
    <row r="390" spans="1:7" x14ac:dyDescent="0.25">
      <c r="A390" s="125"/>
      <c r="B390" s="104">
        <v>5</v>
      </c>
      <c r="C390" s="42" t="s">
        <v>43</v>
      </c>
      <c r="D390" s="38" t="s">
        <v>321</v>
      </c>
      <c r="E390" s="41"/>
      <c r="F390" s="38" t="s">
        <v>320</v>
      </c>
      <c r="G390" s="76"/>
    </row>
    <row r="391" spans="1:7" ht="30" customHeight="1" x14ac:dyDescent="0.25">
      <c r="A391" s="125"/>
      <c r="B391" s="88" t="s">
        <v>87</v>
      </c>
      <c r="C391" s="88" t="s">
        <v>88</v>
      </c>
      <c r="D391" s="89" t="s">
        <v>325</v>
      </c>
      <c r="E391" s="44"/>
      <c r="F391" s="44"/>
      <c r="G391" s="90" t="s">
        <v>50</v>
      </c>
    </row>
    <row r="392" spans="1:7" x14ac:dyDescent="0.25">
      <c r="A392" s="125"/>
      <c r="B392" s="39">
        <v>6</v>
      </c>
      <c r="C392" s="39" t="s">
        <v>42</v>
      </c>
      <c r="D392" s="40" t="s">
        <v>322</v>
      </c>
      <c r="E392" s="41"/>
      <c r="F392" s="38" t="s">
        <v>323</v>
      </c>
      <c r="G392" s="76"/>
    </row>
    <row r="393" spans="1:7" x14ac:dyDescent="0.25">
      <c r="A393" s="125"/>
      <c r="B393" s="105">
        <v>7</v>
      </c>
      <c r="C393" s="93" t="s">
        <v>43</v>
      </c>
      <c r="D393" s="44" t="s">
        <v>324</v>
      </c>
      <c r="E393" s="94"/>
      <c r="F393" s="44"/>
      <c r="G393" s="90"/>
    </row>
    <row r="394" spans="1:7" ht="30" customHeight="1" thickBot="1" x14ac:dyDescent="0.3">
      <c r="A394" s="129"/>
      <c r="B394" s="78" t="s">
        <v>87</v>
      </c>
      <c r="C394" s="78" t="s">
        <v>88</v>
      </c>
      <c r="D394" s="79" t="s">
        <v>469</v>
      </c>
      <c r="E394" s="60"/>
      <c r="F394" s="60"/>
      <c r="G394" s="80" t="s">
        <v>50</v>
      </c>
    </row>
    <row r="395" spans="1:7" ht="30" customHeight="1" thickTop="1" x14ac:dyDescent="0.25">
      <c r="A395" s="77" t="str">
        <f>TabellaTest!F31</f>
        <v>TF006.UC04</v>
      </c>
      <c r="B395" s="121" t="str">
        <f>TabellaTest!C31</f>
        <v>REQ- SIE-021-06</v>
      </c>
      <c r="C395" s="121"/>
      <c r="D395" s="122" t="str">
        <f>TabellaTest!E31</f>
        <v>Verifica scambio informativo SIES-NSC per i Comuni già esistenti</v>
      </c>
      <c r="E395" s="122"/>
      <c r="F395" s="122" t="str">
        <f>TabellaTest!G31</f>
        <v>Verifica: Verificare che su SIES sia garantito lo scambio informativo con NSC anche per i Comuni già esistenti</v>
      </c>
      <c r="G395" s="123"/>
    </row>
    <row r="396" spans="1:7" ht="25.5" x14ac:dyDescent="0.25">
      <c r="A396" s="124"/>
      <c r="B396" s="98" t="s">
        <v>34</v>
      </c>
      <c r="C396" s="98" t="s">
        <v>35</v>
      </c>
      <c r="D396" s="98" t="s">
        <v>36</v>
      </c>
      <c r="E396" s="98" t="s">
        <v>37</v>
      </c>
      <c r="F396" s="98" t="s">
        <v>38</v>
      </c>
      <c r="G396" s="99" t="s">
        <v>11</v>
      </c>
    </row>
    <row r="397" spans="1:7" ht="30" customHeight="1" x14ac:dyDescent="0.25">
      <c r="A397" s="125"/>
      <c r="B397" s="75" t="s">
        <v>39</v>
      </c>
      <c r="C397" s="37" t="s">
        <v>40</v>
      </c>
      <c r="D397" s="38" t="s">
        <v>119</v>
      </c>
      <c r="E397" s="38" t="s">
        <v>120</v>
      </c>
      <c r="F397" s="38"/>
      <c r="G397" s="76"/>
    </row>
    <row r="398" spans="1:7" x14ac:dyDescent="0.25">
      <c r="A398" s="125"/>
      <c r="B398" s="75" t="s">
        <v>39</v>
      </c>
      <c r="C398" s="37" t="s">
        <v>41</v>
      </c>
      <c r="D398" s="103" t="s">
        <v>313</v>
      </c>
      <c r="E398" s="38"/>
      <c r="F398" s="103"/>
      <c r="G398" s="76"/>
    </row>
    <row r="399" spans="1:7" x14ac:dyDescent="0.25">
      <c r="A399" s="125"/>
      <c r="B399" s="39">
        <v>1</v>
      </c>
      <c r="C399" s="39" t="s">
        <v>42</v>
      </c>
      <c r="D399" s="40" t="s">
        <v>314</v>
      </c>
      <c r="E399" s="41"/>
      <c r="F399" s="38" t="s">
        <v>315</v>
      </c>
      <c r="G399" s="76"/>
    </row>
    <row r="400" spans="1:7" ht="45" customHeight="1" x14ac:dyDescent="0.25">
      <c r="A400" s="125"/>
      <c r="B400" s="104">
        <v>2</v>
      </c>
      <c r="C400" s="42" t="s">
        <v>43</v>
      </c>
      <c r="D400" s="38" t="s">
        <v>316</v>
      </c>
      <c r="E400" s="41" t="s">
        <v>357</v>
      </c>
      <c r="F400" s="38" t="s">
        <v>318</v>
      </c>
      <c r="G400" s="76"/>
    </row>
    <row r="401" spans="1:7" ht="30" customHeight="1" x14ac:dyDescent="0.25">
      <c r="A401" s="125"/>
      <c r="B401" s="104">
        <v>3</v>
      </c>
      <c r="C401" s="42" t="s">
        <v>43</v>
      </c>
      <c r="D401" s="38" t="s">
        <v>319</v>
      </c>
      <c r="E401" s="41"/>
      <c r="F401" s="38" t="s">
        <v>320</v>
      </c>
      <c r="G401" s="76"/>
    </row>
    <row r="402" spans="1:7" ht="25.5" x14ac:dyDescent="0.25">
      <c r="A402" s="125"/>
      <c r="B402" s="104">
        <v>4</v>
      </c>
      <c r="C402" s="42" t="s">
        <v>43</v>
      </c>
      <c r="D402" s="38" t="s">
        <v>137</v>
      </c>
      <c r="E402" s="41"/>
      <c r="F402" s="38" t="s">
        <v>320</v>
      </c>
      <c r="G402" s="76"/>
    </row>
    <row r="403" spans="1:7" x14ac:dyDescent="0.25">
      <c r="A403" s="125"/>
      <c r="B403" s="104">
        <v>5</v>
      </c>
      <c r="C403" s="42" t="s">
        <v>43</v>
      </c>
      <c r="D403" s="38" t="s">
        <v>321</v>
      </c>
      <c r="E403" s="41"/>
      <c r="F403" s="38" t="s">
        <v>320</v>
      </c>
      <c r="G403" s="76"/>
    </row>
    <row r="404" spans="1:7" ht="30" customHeight="1" x14ac:dyDescent="0.25">
      <c r="A404" s="125"/>
      <c r="B404" s="88" t="s">
        <v>87</v>
      </c>
      <c r="C404" s="88" t="s">
        <v>88</v>
      </c>
      <c r="D404" s="89" t="s">
        <v>325</v>
      </c>
      <c r="E404" s="44"/>
      <c r="F404" s="44"/>
      <c r="G404" s="90" t="s">
        <v>50</v>
      </c>
    </row>
    <row r="405" spans="1:7" x14ac:dyDescent="0.25">
      <c r="A405" s="125"/>
      <c r="B405" s="39">
        <v>6</v>
      </c>
      <c r="C405" s="39" t="s">
        <v>42</v>
      </c>
      <c r="D405" s="40" t="s">
        <v>322</v>
      </c>
      <c r="E405" s="41"/>
      <c r="F405" s="38" t="s">
        <v>323</v>
      </c>
      <c r="G405" s="76"/>
    </row>
    <row r="406" spans="1:7" x14ac:dyDescent="0.25">
      <c r="A406" s="125"/>
      <c r="B406" s="105">
        <v>7</v>
      </c>
      <c r="C406" s="93" t="s">
        <v>43</v>
      </c>
      <c r="D406" s="44" t="s">
        <v>324</v>
      </c>
      <c r="E406" s="94"/>
      <c r="F406" s="44"/>
      <c r="G406" s="90"/>
    </row>
    <row r="407" spans="1:7" ht="30" customHeight="1" thickBot="1" x14ac:dyDescent="0.3">
      <c r="A407" s="129"/>
      <c r="B407" s="78" t="s">
        <v>87</v>
      </c>
      <c r="C407" s="78" t="s">
        <v>88</v>
      </c>
      <c r="D407" s="79" t="s">
        <v>469</v>
      </c>
      <c r="E407" s="60"/>
      <c r="F407" s="60"/>
      <c r="G407" s="80" t="s">
        <v>50</v>
      </c>
    </row>
    <row r="408" spans="1:7" ht="30" customHeight="1" thickTop="1" x14ac:dyDescent="0.25">
      <c r="A408" s="77" t="str">
        <f>TabellaTest!F32</f>
        <v>TF006.UC05</v>
      </c>
      <c r="B408" s="121" t="str">
        <f>TabellaTest!C32</f>
        <v>REQ- SIE-021-06</v>
      </c>
      <c r="C408" s="121"/>
      <c r="D408" s="122" t="str">
        <f>TabellaTest!E32</f>
        <v>Verifica scambio informativo SIES-NSC per i Comuni non esistenti, inseriti e poi cessati</v>
      </c>
      <c r="E408" s="122"/>
      <c r="F408" s="122" t="str">
        <f>TabellaTest!G32</f>
        <v>Verifica: Verificare che su SIES sia garantito lo scambio informativo con NSC anche per i Comuni non esistenti, inseriti e poi cessati</v>
      </c>
      <c r="G408" s="123"/>
    </row>
    <row r="409" spans="1:7" ht="25.5" x14ac:dyDescent="0.25">
      <c r="A409" s="124"/>
      <c r="B409" s="98" t="s">
        <v>34</v>
      </c>
      <c r="C409" s="98" t="s">
        <v>35</v>
      </c>
      <c r="D409" s="98" t="s">
        <v>36</v>
      </c>
      <c r="E409" s="98" t="s">
        <v>37</v>
      </c>
      <c r="F409" s="98" t="s">
        <v>38</v>
      </c>
      <c r="G409" s="99" t="s">
        <v>11</v>
      </c>
    </row>
    <row r="410" spans="1:7" ht="30" customHeight="1" x14ac:dyDescent="0.25">
      <c r="A410" s="125"/>
      <c r="B410" s="75" t="s">
        <v>39</v>
      </c>
      <c r="C410" s="37" t="s">
        <v>40</v>
      </c>
      <c r="D410" s="38" t="s">
        <v>119</v>
      </c>
      <c r="E410" s="38" t="s">
        <v>120</v>
      </c>
      <c r="F410" s="38"/>
      <c r="G410" s="76"/>
    </row>
    <row r="411" spans="1:7" x14ac:dyDescent="0.25">
      <c r="A411" s="125"/>
      <c r="B411" s="75" t="s">
        <v>39</v>
      </c>
      <c r="C411" s="37" t="s">
        <v>41</v>
      </c>
      <c r="D411" s="103" t="s">
        <v>313</v>
      </c>
      <c r="E411" s="38"/>
      <c r="F411" s="103"/>
      <c r="G411" s="76"/>
    </row>
    <row r="412" spans="1:7" x14ac:dyDescent="0.25">
      <c r="A412" s="125"/>
      <c r="B412" s="39">
        <v>1</v>
      </c>
      <c r="C412" s="39" t="s">
        <v>42</v>
      </c>
      <c r="D412" s="40" t="s">
        <v>314</v>
      </c>
      <c r="E412" s="41"/>
      <c r="F412" s="38" t="s">
        <v>315</v>
      </c>
      <c r="G412" s="76"/>
    </row>
    <row r="413" spans="1:7" ht="45" customHeight="1" x14ac:dyDescent="0.25">
      <c r="A413" s="125"/>
      <c r="B413" s="104">
        <v>2</v>
      </c>
      <c r="C413" s="42" t="s">
        <v>43</v>
      </c>
      <c r="D413" s="38" t="s">
        <v>316</v>
      </c>
      <c r="E413" s="41" t="s">
        <v>358</v>
      </c>
      <c r="F413" s="38" t="s">
        <v>318</v>
      </c>
      <c r="G413" s="76"/>
    </row>
    <row r="414" spans="1:7" ht="30" customHeight="1" x14ac:dyDescent="0.25">
      <c r="A414" s="125"/>
      <c r="B414" s="104">
        <v>3</v>
      </c>
      <c r="C414" s="42" t="s">
        <v>43</v>
      </c>
      <c r="D414" s="38" t="s">
        <v>319</v>
      </c>
      <c r="E414" s="41"/>
      <c r="F414" s="38" t="s">
        <v>320</v>
      </c>
      <c r="G414" s="76"/>
    </row>
    <row r="415" spans="1:7" ht="25.5" x14ac:dyDescent="0.25">
      <c r="A415" s="125"/>
      <c r="B415" s="104">
        <v>4</v>
      </c>
      <c r="C415" s="42" t="s">
        <v>43</v>
      </c>
      <c r="D415" s="38" t="s">
        <v>137</v>
      </c>
      <c r="E415" s="41"/>
      <c r="F415" s="38" t="s">
        <v>320</v>
      </c>
      <c r="G415" s="76"/>
    </row>
    <row r="416" spans="1:7" x14ac:dyDescent="0.25">
      <c r="A416" s="125"/>
      <c r="B416" s="104">
        <v>5</v>
      </c>
      <c r="C416" s="42" t="s">
        <v>43</v>
      </c>
      <c r="D416" s="38" t="s">
        <v>321</v>
      </c>
      <c r="E416" s="41"/>
      <c r="F416" s="38" t="s">
        <v>320</v>
      </c>
      <c r="G416" s="76"/>
    </row>
    <row r="417" spans="1:7" ht="30" customHeight="1" x14ac:dyDescent="0.25">
      <c r="A417" s="125"/>
      <c r="B417" s="88" t="s">
        <v>87</v>
      </c>
      <c r="C417" s="88" t="s">
        <v>88</v>
      </c>
      <c r="D417" s="89" t="s">
        <v>325</v>
      </c>
      <c r="E417" s="44"/>
      <c r="F417" s="44"/>
      <c r="G417" s="90" t="s">
        <v>50</v>
      </c>
    </row>
    <row r="418" spans="1:7" x14ac:dyDescent="0.25">
      <c r="A418" s="125"/>
      <c r="B418" s="39">
        <v>6</v>
      </c>
      <c r="C418" s="39" t="s">
        <v>42</v>
      </c>
      <c r="D418" s="40" t="s">
        <v>322</v>
      </c>
      <c r="E418" s="41"/>
      <c r="F418" s="38" t="s">
        <v>323</v>
      </c>
      <c r="G418" s="76"/>
    </row>
    <row r="419" spans="1:7" x14ac:dyDescent="0.25">
      <c r="A419" s="125"/>
      <c r="B419" s="105">
        <v>7</v>
      </c>
      <c r="C419" s="93" t="s">
        <v>43</v>
      </c>
      <c r="D419" s="44" t="s">
        <v>324</v>
      </c>
      <c r="E419" s="94"/>
      <c r="F419" s="44"/>
      <c r="G419" s="90"/>
    </row>
    <row r="420" spans="1:7" ht="30" customHeight="1" thickBot="1" x14ac:dyDescent="0.3">
      <c r="A420" s="129"/>
      <c r="B420" s="78" t="s">
        <v>87</v>
      </c>
      <c r="C420" s="78" t="s">
        <v>88</v>
      </c>
      <c r="D420" s="79" t="s">
        <v>359</v>
      </c>
      <c r="E420" s="60"/>
      <c r="F420" s="60"/>
      <c r="G420" s="80" t="s">
        <v>50</v>
      </c>
    </row>
    <row r="421" spans="1:7" ht="30" customHeight="1" thickTop="1" x14ac:dyDescent="0.25">
      <c r="A421" s="77" t="str">
        <f>TabellaTest!F33</f>
        <v>TF006.UC06</v>
      </c>
      <c r="B421" s="121" t="str">
        <f>TabellaTest!C33</f>
        <v>REQ- SIE-021-06</v>
      </c>
      <c r="C421" s="121"/>
      <c r="D421" s="122" t="str">
        <f>TabellaTest!E33</f>
        <v>Verifica scambio informativo SIES-NSC per gli Stati non esistenti</v>
      </c>
      <c r="E421" s="122"/>
      <c r="F421" s="122" t="str">
        <f>TabellaTest!G33</f>
        <v>Verifica: Verificare che su SIES sia garantito lo scambio informativo con NSC anche per gli Stati non esistenti</v>
      </c>
      <c r="G421" s="123"/>
    </row>
    <row r="422" spans="1:7" ht="25.5" x14ac:dyDescent="0.25">
      <c r="A422" s="124"/>
      <c r="B422" s="98" t="s">
        <v>34</v>
      </c>
      <c r="C422" s="98" t="s">
        <v>35</v>
      </c>
      <c r="D422" s="98" t="s">
        <v>36</v>
      </c>
      <c r="E422" s="98" t="s">
        <v>37</v>
      </c>
      <c r="F422" s="98" t="s">
        <v>38</v>
      </c>
      <c r="G422" s="99" t="s">
        <v>11</v>
      </c>
    </row>
    <row r="423" spans="1:7" ht="30" customHeight="1" x14ac:dyDescent="0.25">
      <c r="A423" s="125"/>
      <c r="B423" s="75" t="s">
        <v>39</v>
      </c>
      <c r="C423" s="37" t="s">
        <v>40</v>
      </c>
      <c r="D423" s="38" t="s">
        <v>119</v>
      </c>
      <c r="E423" s="38" t="s">
        <v>120</v>
      </c>
      <c r="F423" s="38"/>
      <c r="G423" s="76"/>
    </row>
    <row r="424" spans="1:7" x14ac:dyDescent="0.25">
      <c r="A424" s="125"/>
      <c r="B424" s="75" t="s">
        <v>39</v>
      </c>
      <c r="C424" s="37" t="s">
        <v>41</v>
      </c>
      <c r="D424" s="112" t="s">
        <v>313</v>
      </c>
      <c r="E424" s="38"/>
      <c r="F424" s="112"/>
      <c r="G424" s="76"/>
    </row>
    <row r="425" spans="1:7" x14ac:dyDescent="0.25">
      <c r="A425" s="125"/>
      <c r="B425" s="39">
        <v>1</v>
      </c>
      <c r="C425" s="39" t="s">
        <v>42</v>
      </c>
      <c r="D425" s="40" t="s">
        <v>314</v>
      </c>
      <c r="E425" s="41"/>
      <c r="F425" s="38" t="s">
        <v>315</v>
      </c>
      <c r="G425" s="76"/>
    </row>
    <row r="426" spans="1:7" ht="25.5" x14ac:dyDescent="0.25">
      <c r="A426" s="125"/>
      <c r="B426" s="104">
        <v>2</v>
      </c>
      <c r="C426" s="42" t="s">
        <v>43</v>
      </c>
      <c r="D426" s="38" t="s">
        <v>316</v>
      </c>
      <c r="E426" s="41" t="s">
        <v>467</v>
      </c>
      <c r="F426" s="38" t="s">
        <v>318</v>
      </c>
      <c r="G426" s="76"/>
    </row>
    <row r="427" spans="1:7" ht="30" customHeight="1" x14ac:dyDescent="0.25">
      <c r="A427" s="125"/>
      <c r="B427" s="104">
        <v>3</v>
      </c>
      <c r="C427" s="42" t="s">
        <v>43</v>
      </c>
      <c r="D427" s="38" t="s">
        <v>319</v>
      </c>
      <c r="E427" s="41"/>
      <c r="F427" s="38" t="s">
        <v>320</v>
      </c>
      <c r="G427" s="76"/>
    </row>
    <row r="428" spans="1:7" ht="25.5" x14ac:dyDescent="0.25">
      <c r="A428" s="125"/>
      <c r="B428" s="104">
        <v>4</v>
      </c>
      <c r="C428" s="42" t="s">
        <v>43</v>
      </c>
      <c r="D428" s="38" t="s">
        <v>137</v>
      </c>
      <c r="E428" s="41"/>
      <c r="F428" s="38" t="s">
        <v>320</v>
      </c>
      <c r="G428" s="76"/>
    </row>
    <row r="429" spans="1:7" x14ac:dyDescent="0.25">
      <c r="A429" s="125"/>
      <c r="B429" s="104">
        <v>5</v>
      </c>
      <c r="C429" s="42" t="s">
        <v>43</v>
      </c>
      <c r="D429" s="38" t="s">
        <v>321</v>
      </c>
      <c r="E429" s="41"/>
      <c r="F429" s="38" t="s">
        <v>320</v>
      </c>
      <c r="G429" s="76"/>
    </row>
    <row r="430" spans="1:7" ht="30" customHeight="1" x14ac:dyDescent="0.25">
      <c r="A430" s="125"/>
      <c r="B430" s="88" t="s">
        <v>87</v>
      </c>
      <c r="C430" s="88" t="s">
        <v>88</v>
      </c>
      <c r="D430" s="89" t="s">
        <v>325</v>
      </c>
      <c r="E430" s="44"/>
      <c r="F430" s="44"/>
      <c r="G430" s="90" t="s">
        <v>50</v>
      </c>
    </row>
    <row r="431" spans="1:7" x14ac:dyDescent="0.25">
      <c r="A431" s="125"/>
      <c r="B431" s="39">
        <v>6</v>
      </c>
      <c r="C431" s="39" t="s">
        <v>42</v>
      </c>
      <c r="D431" s="40" t="s">
        <v>322</v>
      </c>
      <c r="E431" s="41"/>
      <c r="F431" s="38" t="s">
        <v>323</v>
      </c>
      <c r="G431" s="76"/>
    </row>
    <row r="432" spans="1:7" x14ac:dyDescent="0.25">
      <c r="A432" s="125"/>
      <c r="B432" s="105">
        <v>7</v>
      </c>
      <c r="C432" s="93" t="s">
        <v>43</v>
      </c>
      <c r="D432" s="44" t="s">
        <v>324</v>
      </c>
      <c r="E432" s="94"/>
      <c r="F432" s="44"/>
      <c r="G432" s="90"/>
    </row>
    <row r="433" spans="1:7" ht="30" customHeight="1" thickBot="1" x14ac:dyDescent="0.3">
      <c r="A433" s="129"/>
      <c r="B433" s="78" t="s">
        <v>87</v>
      </c>
      <c r="C433" s="78" t="s">
        <v>88</v>
      </c>
      <c r="D433" s="79" t="s">
        <v>468</v>
      </c>
      <c r="E433" s="60"/>
      <c r="F433" s="60"/>
      <c r="G433" s="80" t="s">
        <v>50</v>
      </c>
    </row>
    <row r="434" spans="1:7" s="36" customFormat="1" ht="30" customHeight="1" thickTop="1" x14ac:dyDescent="0.25">
      <c r="A434" s="77" t="str">
        <f>TabellaTest!F34</f>
        <v>TF007.UC01</v>
      </c>
      <c r="B434" s="121" t="str">
        <f>TabellaTest!C34</f>
        <v>REQ- SIE-021-07</v>
      </c>
      <c r="C434" s="122"/>
      <c r="D434" s="122" t="str">
        <f>TabellaTest!E34</f>
        <v>Verifica avvocato certificato</v>
      </c>
      <c r="E434" s="127"/>
      <c r="F434" s="122" t="str">
        <f>TabellaTest!G34</f>
        <v>Verifica: Verificare che su SIES, dopo la bonifica, l'avvocato del fascicolo risulti certificato</v>
      </c>
      <c r="G434" s="128"/>
    </row>
    <row r="435" spans="1:7" ht="30" customHeight="1" x14ac:dyDescent="0.25">
      <c r="A435" s="120"/>
      <c r="B435" s="98" t="s">
        <v>34</v>
      </c>
      <c r="C435" s="98" t="s">
        <v>35</v>
      </c>
      <c r="D435" s="98" t="s">
        <v>36</v>
      </c>
      <c r="E435" s="98" t="s">
        <v>37</v>
      </c>
      <c r="F435" s="98" t="s">
        <v>38</v>
      </c>
      <c r="G435" s="99" t="s">
        <v>11</v>
      </c>
    </row>
    <row r="436" spans="1:7" ht="30" customHeight="1" x14ac:dyDescent="0.25">
      <c r="A436" s="120"/>
      <c r="B436" s="75" t="s">
        <v>39</v>
      </c>
      <c r="C436" s="37" t="s">
        <v>40</v>
      </c>
      <c r="D436" s="38" t="s">
        <v>119</v>
      </c>
      <c r="E436" s="38" t="s">
        <v>120</v>
      </c>
      <c r="F436" s="38"/>
      <c r="G436" s="76"/>
    </row>
    <row r="437" spans="1:7" ht="15" customHeight="1" x14ac:dyDescent="0.25">
      <c r="A437" s="120"/>
      <c r="B437" s="75" t="s">
        <v>39</v>
      </c>
      <c r="C437" s="37" t="s">
        <v>41</v>
      </c>
      <c r="D437" s="38" t="s">
        <v>309</v>
      </c>
      <c r="E437" s="38"/>
      <c r="F437" s="103"/>
      <c r="G437" s="76"/>
    </row>
    <row r="438" spans="1:7" ht="330" customHeight="1" x14ac:dyDescent="0.25">
      <c r="A438" s="120"/>
      <c r="B438" s="104">
        <v>1</v>
      </c>
      <c r="C438" s="42" t="s">
        <v>43</v>
      </c>
      <c r="D438" s="38" t="s">
        <v>368</v>
      </c>
      <c r="E438" s="173" t="s">
        <v>481</v>
      </c>
      <c r="F438" s="38" t="s">
        <v>482</v>
      </c>
      <c r="G438" s="76"/>
    </row>
    <row r="439" spans="1:7" ht="15" customHeight="1" x14ac:dyDescent="0.25">
      <c r="A439" s="120"/>
      <c r="B439" s="104">
        <v>2</v>
      </c>
      <c r="C439" s="42" t="s">
        <v>43</v>
      </c>
      <c r="D439" s="38" t="s">
        <v>370</v>
      </c>
      <c r="E439" s="41"/>
      <c r="F439" s="38" t="s">
        <v>369</v>
      </c>
      <c r="G439" s="76"/>
    </row>
    <row r="440" spans="1:7" ht="30" customHeight="1" x14ac:dyDescent="0.25">
      <c r="A440" s="120"/>
      <c r="B440" s="43" t="s">
        <v>87</v>
      </c>
      <c r="C440" s="43" t="s">
        <v>88</v>
      </c>
      <c r="D440" s="38" t="s">
        <v>471</v>
      </c>
      <c r="E440" s="103"/>
      <c r="F440" s="38"/>
      <c r="G440" s="76" t="s">
        <v>50</v>
      </c>
    </row>
    <row r="441" spans="1:7" s="36" customFormat="1" ht="30" customHeight="1" x14ac:dyDescent="0.25">
      <c r="A441" s="77" t="str">
        <f>TabellaTest!F35</f>
        <v>TF007.UC02</v>
      </c>
      <c r="B441" s="121" t="str">
        <f>TabellaTest!C35</f>
        <v>REQ- SIE-021-07</v>
      </c>
      <c r="C441" s="122"/>
      <c r="D441" s="122" t="str">
        <f>TabellaTest!E35</f>
        <v>Verifica avvocato NON certificato</v>
      </c>
      <c r="E441" s="127"/>
      <c r="F441" s="122" t="str">
        <f>TabellaTest!G35</f>
        <v>Verifica: Verificare che su SIES, dopo la bonifica, ci sia un avviso che attesti che l'avvocato del fascicolo NON è certificato</v>
      </c>
      <c r="G441" s="128"/>
    </row>
    <row r="442" spans="1:7" ht="30" customHeight="1" x14ac:dyDescent="0.25">
      <c r="A442" s="120"/>
      <c r="B442" s="98" t="s">
        <v>34</v>
      </c>
      <c r="C442" s="98" t="s">
        <v>35</v>
      </c>
      <c r="D442" s="98" t="s">
        <v>36</v>
      </c>
      <c r="E442" s="98" t="s">
        <v>37</v>
      </c>
      <c r="F442" s="98" t="s">
        <v>38</v>
      </c>
      <c r="G442" s="99" t="s">
        <v>11</v>
      </c>
    </row>
    <row r="443" spans="1:7" ht="30" customHeight="1" x14ac:dyDescent="0.25">
      <c r="A443" s="120"/>
      <c r="B443" s="75" t="s">
        <v>39</v>
      </c>
      <c r="C443" s="37" t="s">
        <v>40</v>
      </c>
      <c r="D443" s="38" t="s">
        <v>119</v>
      </c>
      <c r="E443" s="38" t="s">
        <v>120</v>
      </c>
      <c r="F443" s="38"/>
      <c r="G443" s="76"/>
    </row>
    <row r="444" spans="1:7" ht="15" customHeight="1" x14ac:dyDescent="0.25">
      <c r="A444" s="120"/>
      <c r="B444" s="75" t="s">
        <v>39</v>
      </c>
      <c r="C444" s="37" t="s">
        <v>41</v>
      </c>
      <c r="D444" s="38" t="s">
        <v>309</v>
      </c>
      <c r="E444" s="38"/>
      <c r="F444" s="103"/>
      <c r="G444" s="76"/>
    </row>
    <row r="445" spans="1:7" ht="330" customHeight="1" x14ac:dyDescent="0.25">
      <c r="A445" s="120"/>
      <c r="B445" s="104">
        <v>1</v>
      </c>
      <c r="C445" s="42" t="s">
        <v>43</v>
      </c>
      <c r="D445" s="38" t="s">
        <v>368</v>
      </c>
      <c r="E445" s="173" t="s">
        <v>479</v>
      </c>
      <c r="F445" s="38" t="s">
        <v>482</v>
      </c>
      <c r="G445" s="76"/>
    </row>
    <row r="446" spans="1:7" ht="15" customHeight="1" x14ac:dyDescent="0.25">
      <c r="A446" s="120"/>
      <c r="B446" s="104">
        <v>2</v>
      </c>
      <c r="C446" s="42" t="s">
        <v>43</v>
      </c>
      <c r="D446" s="38" t="s">
        <v>370</v>
      </c>
      <c r="E446" s="41"/>
      <c r="F446" s="38" t="s">
        <v>369</v>
      </c>
      <c r="G446" s="76"/>
    </row>
    <row r="447" spans="1:7" ht="120" customHeight="1" x14ac:dyDescent="0.25">
      <c r="A447" s="120"/>
      <c r="B447" s="43" t="s">
        <v>87</v>
      </c>
      <c r="C447" s="43" t="s">
        <v>88</v>
      </c>
      <c r="D447" s="38" t="s">
        <v>472</v>
      </c>
      <c r="E447" s="41" t="s">
        <v>371</v>
      </c>
      <c r="F447" s="38"/>
      <c r="G447" s="76" t="s">
        <v>50</v>
      </c>
    </row>
    <row r="448" spans="1:7" s="36" customFormat="1" ht="30" customHeight="1" x14ac:dyDescent="0.25">
      <c r="A448" s="77" t="str">
        <f>TabellaTest!F36</f>
        <v>TF007.UC03</v>
      </c>
      <c r="B448" s="121" t="str">
        <f>TabellaTest!C36</f>
        <v>REQ- SIE-021-07</v>
      </c>
      <c r="C448" s="122"/>
      <c r="D448" s="122" t="str">
        <f>TabellaTest!E36</f>
        <v>Verifica pendenza fascicolo e stato certificazione avvocato</v>
      </c>
      <c r="E448" s="127"/>
      <c r="F448" s="122" t="str">
        <f>TabellaTest!G36</f>
        <v>Verifica: Verificare su SIES, se il fascicolo è pendente e lo stato di certificazione dell'avvocato</v>
      </c>
      <c r="G448" s="128"/>
    </row>
    <row r="449" spans="1:7" ht="30" customHeight="1" x14ac:dyDescent="0.25">
      <c r="A449" s="120"/>
      <c r="B449" s="98" t="s">
        <v>34</v>
      </c>
      <c r="C449" s="98" t="s">
        <v>35</v>
      </c>
      <c r="D449" s="98" t="s">
        <v>36</v>
      </c>
      <c r="E449" s="98" t="s">
        <v>37</v>
      </c>
      <c r="F449" s="98" t="s">
        <v>38</v>
      </c>
      <c r="G449" s="99" t="s">
        <v>11</v>
      </c>
    </row>
    <row r="450" spans="1:7" ht="30" customHeight="1" x14ac:dyDescent="0.25">
      <c r="A450" s="120"/>
      <c r="B450" s="75" t="s">
        <v>39</v>
      </c>
      <c r="C450" s="37" t="s">
        <v>40</v>
      </c>
      <c r="D450" s="38" t="s">
        <v>119</v>
      </c>
      <c r="E450" s="38" t="s">
        <v>120</v>
      </c>
      <c r="F450" s="38"/>
      <c r="G450" s="76"/>
    </row>
    <row r="451" spans="1:7" ht="15" customHeight="1" x14ac:dyDescent="0.25">
      <c r="A451" s="120"/>
      <c r="B451" s="75" t="s">
        <v>39</v>
      </c>
      <c r="C451" s="37" t="s">
        <v>41</v>
      </c>
      <c r="D451" s="38" t="s">
        <v>309</v>
      </c>
      <c r="E451" s="38"/>
      <c r="F451" s="103"/>
      <c r="G451" s="76"/>
    </row>
    <row r="452" spans="1:7" ht="360" customHeight="1" x14ac:dyDescent="0.25">
      <c r="A452" s="120"/>
      <c r="B452" s="104">
        <v>1</v>
      </c>
      <c r="C452" s="42" t="s">
        <v>43</v>
      </c>
      <c r="D452" s="38" t="s">
        <v>368</v>
      </c>
      <c r="E452" s="173" t="s">
        <v>483</v>
      </c>
      <c r="F452" s="38" t="s">
        <v>482</v>
      </c>
      <c r="G452" s="76"/>
    </row>
    <row r="453" spans="1:7" ht="120" customHeight="1" x14ac:dyDescent="0.25">
      <c r="A453" s="120"/>
      <c r="B453" s="43" t="s">
        <v>87</v>
      </c>
      <c r="C453" s="43" t="s">
        <v>88</v>
      </c>
      <c r="D453" s="38" t="s">
        <v>473</v>
      </c>
      <c r="E453" s="41" t="s">
        <v>371</v>
      </c>
      <c r="F453" s="38"/>
      <c r="G453" s="76" t="s">
        <v>50</v>
      </c>
    </row>
    <row r="454" spans="1:7" s="36" customFormat="1" ht="30" customHeight="1" x14ac:dyDescent="0.25">
      <c r="A454" s="77" t="str">
        <f>TabellaTest!F37</f>
        <v>TF007.UC04</v>
      </c>
      <c r="B454" s="121" t="str">
        <f>TabellaTest!C37</f>
        <v>REQ- SIE-021-07</v>
      </c>
      <c r="C454" s="122"/>
      <c r="D454" s="122" t="str">
        <f>TabellaTest!E37</f>
        <v>Verifica pendenza fascicolo e certificazione avvocato</v>
      </c>
      <c r="E454" s="127"/>
      <c r="F454" s="122" t="str">
        <f>TabellaTest!G37</f>
        <v>Verifica: Verificare su SIES, il corretto aggiornamento del campo ‘avv_id_avvocato’ dei procedimenti SIEP pendenti</v>
      </c>
      <c r="G454" s="128"/>
    </row>
    <row r="455" spans="1:7" ht="30" customHeight="1" x14ac:dyDescent="0.25">
      <c r="A455" s="120"/>
      <c r="B455" s="98" t="s">
        <v>34</v>
      </c>
      <c r="C455" s="98" t="s">
        <v>35</v>
      </c>
      <c r="D455" s="98" t="s">
        <v>36</v>
      </c>
      <c r="E455" s="98" t="s">
        <v>37</v>
      </c>
      <c r="F455" s="98" t="s">
        <v>38</v>
      </c>
      <c r="G455" s="99" t="s">
        <v>11</v>
      </c>
    </row>
    <row r="456" spans="1:7" ht="30" customHeight="1" x14ac:dyDescent="0.25">
      <c r="A456" s="120"/>
      <c r="B456" s="75" t="s">
        <v>39</v>
      </c>
      <c r="C456" s="37" t="s">
        <v>40</v>
      </c>
      <c r="D456" s="38" t="s">
        <v>119</v>
      </c>
      <c r="E456" s="38" t="s">
        <v>120</v>
      </c>
      <c r="F456" s="38"/>
      <c r="G456" s="76"/>
    </row>
    <row r="457" spans="1:7" ht="15" customHeight="1" x14ac:dyDescent="0.25">
      <c r="A457" s="120"/>
      <c r="B457" s="75" t="s">
        <v>39</v>
      </c>
      <c r="C457" s="37" t="s">
        <v>41</v>
      </c>
      <c r="D457" s="38" t="s">
        <v>309</v>
      </c>
      <c r="E457" s="38"/>
      <c r="F457" s="103"/>
      <c r="G457" s="76"/>
    </row>
    <row r="458" spans="1:7" ht="75" customHeight="1" x14ac:dyDescent="0.25">
      <c r="A458" s="120"/>
      <c r="B458" s="104">
        <v>1</v>
      </c>
      <c r="C458" s="42" t="s">
        <v>43</v>
      </c>
      <c r="D458" s="38" t="s">
        <v>368</v>
      </c>
      <c r="E458" s="41" t="s">
        <v>378</v>
      </c>
      <c r="F458" s="38" t="s">
        <v>484</v>
      </c>
      <c r="G458" s="76"/>
    </row>
    <row r="459" spans="1:7" ht="15" customHeight="1" x14ac:dyDescent="0.25">
      <c r="A459" s="120"/>
      <c r="B459" s="104">
        <v>2</v>
      </c>
      <c r="C459" s="42" t="s">
        <v>43</v>
      </c>
      <c r="D459" s="38" t="s">
        <v>370</v>
      </c>
      <c r="E459" s="41"/>
      <c r="F459" s="38" t="s">
        <v>369</v>
      </c>
      <c r="G459" s="76"/>
    </row>
    <row r="460" spans="1:7" ht="45" customHeight="1" x14ac:dyDescent="0.25">
      <c r="A460" s="120"/>
      <c r="B460" s="43" t="s">
        <v>87</v>
      </c>
      <c r="C460" s="43" t="s">
        <v>88</v>
      </c>
      <c r="D460" s="38" t="s">
        <v>474</v>
      </c>
      <c r="E460" s="41"/>
      <c r="F460" s="38"/>
      <c r="G460" s="76" t="s">
        <v>50</v>
      </c>
    </row>
    <row r="461" spans="1:7" s="36" customFormat="1" ht="30" customHeight="1" x14ac:dyDescent="0.25">
      <c r="A461" s="77" t="str">
        <f>TabellaTest!F38</f>
        <v>TF007.UC05</v>
      </c>
      <c r="B461" s="121" t="str">
        <f>TabellaTest!C38</f>
        <v>REQ- SIE-021-07</v>
      </c>
      <c r="C461" s="122"/>
      <c r="D461" s="122" t="str">
        <f>TabellaTest!E38</f>
        <v>Verifica pendenza fascicolo e certificazione avvocato</v>
      </c>
      <c r="E461" s="127"/>
      <c r="F461" s="122" t="str">
        <f>TabellaTest!G38</f>
        <v>Verifica: Verificare su SIES, il corretto aggiornamento del campo ‘avv_id_avvocato’ dei procedimenti SIGE pendenti</v>
      </c>
      <c r="G461" s="128"/>
    </row>
    <row r="462" spans="1:7" ht="30" customHeight="1" x14ac:dyDescent="0.25">
      <c r="A462" s="120"/>
      <c r="B462" s="98" t="s">
        <v>34</v>
      </c>
      <c r="C462" s="98" t="s">
        <v>35</v>
      </c>
      <c r="D462" s="98" t="s">
        <v>36</v>
      </c>
      <c r="E462" s="98" t="s">
        <v>37</v>
      </c>
      <c r="F462" s="98" t="s">
        <v>38</v>
      </c>
      <c r="G462" s="99" t="s">
        <v>11</v>
      </c>
    </row>
    <row r="463" spans="1:7" ht="30" customHeight="1" x14ac:dyDescent="0.25">
      <c r="A463" s="120"/>
      <c r="B463" s="75" t="s">
        <v>39</v>
      </c>
      <c r="C463" s="37" t="s">
        <v>40</v>
      </c>
      <c r="D463" s="38" t="s">
        <v>381</v>
      </c>
      <c r="E463" s="38" t="s">
        <v>380</v>
      </c>
      <c r="F463" s="38"/>
      <c r="G463" s="76"/>
    </row>
    <row r="464" spans="1:7" ht="15" customHeight="1" x14ac:dyDescent="0.25">
      <c r="A464" s="120"/>
      <c r="B464" s="75" t="s">
        <v>39</v>
      </c>
      <c r="C464" s="37" t="s">
        <v>41</v>
      </c>
      <c r="D464" s="38" t="s">
        <v>309</v>
      </c>
      <c r="E464" s="38"/>
      <c r="F464" s="103"/>
      <c r="G464" s="76"/>
    </row>
    <row r="465" spans="1:7" ht="75" customHeight="1" x14ac:dyDescent="0.25">
      <c r="A465" s="120"/>
      <c r="B465" s="104">
        <v>1</v>
      </c>
      <c r="C465" s="42" t="s">
        <v>43</v>
      </c>
      <c r="D465" s="38" t="s">
        <v>368</v>
      </c>
      <c r="E465" s="41" t="s">
        <v>379</v>
      </c>
      <c r="F465" s="38" t="s">
        <v>485</v>
      </c>
      <c r="G465" s="76"/>
    </row>
    <row r="466" spans="1:7" ht="15" customHeight="1" x14ac:dyDescent="0.25">
      <c r="A466" s="120"/>
      <c r="B466" s="104">
        <v>2</v>
      </c>
      <c r="C466" s="42" t="s">
        <v>43</v>
      </c>
      <c r="D466" s="38" t="s">
        <v>382</v>
      </c>
      <c r="E466" s="41"/>
      <c r="F466" s="38" t="s">
        <v>383</v>
      </c>
      <c r="G466" s="76"/>
    </row>
    <row r="467" spans="1:7" ht="45" customHeight="1" x14ac:dyDescent="0.25">
      <c r="A467" s="120"/>
      <c r="B467" s="43" t="s">
        <v>87</v>
      </c>
      <c r="C467" s="43" t="s">
        <v>88</v>
      </c>
      <c r="D467" s="38" t="s">
        <v>474</v>
      </c>
      <c r="E467" s="41"/>
      <c r="F467" s="38"/>
      <c r="G467" s="76" t="s">
        <v>50</v>
      </c>
    </row>
    <row r="468" spans="1:7" s="36" customFormat="1" ht="30" customHeight="1" x14ac:dyDescent="0.25">
      <c r="A468" s="77" t="str">
        <f>TabellaTest!F39</f>
        <v>TF007.UC06</v>
      </c>
      <c r="B468" s="121" t="str">
        <f>TabellaTest!C39</f>
        <v>REQ- SIE-021-07</v>
      </c>
      <c r="C468" s="122"/>
      <c r="D468" s="122" t="str">
        <f>TabellaTest!E39</f>
        <v>Verifica pendenza fascicolo e certificazione avvocato</v>
      </c>
      <c r="E468" s="127"/>
      <c r="F468" s="122" t="str">
        <f>TabellaTest!G39</f>
        <v>Verifica: Verificare su SIES, il corretto aggiornamento del campo ‘avv_id_avvocato’ dei procedimenti SIUS pendenti</v>
      </c>
      <c r="G468" s="128"/>
    </row>
    <row r="469" spans="1:7" ht="30" customHeight="1" x14ac:dyDescent="0.25">
      <c r="A469" s="120"/>
      <c r="B469" s="98" t="s">
        <v>34</v>
      </c>
      <c r="C469" s="98" t="s">
        <v>35</v>
      </c>
      <c r="D469" s="98" t="s">
        <v>36</v>
      </c>
      <c r="E469" s="98" t="s">
        <v>37</v>
      </c>
      <c r="F469" s="98" t="s">
        <v>38</v>
      </c>
      <c r="G469" s="99" t="s">
        <v>11</v>
      </c>
    </row>
    <row r="470" spans="1:7" ht="30" customHeight="1" x14ac:dyDescent="0.25">
      <c r="A470" s="120"/>
      <c r="B470" s="75" t="s">
        <v>39</v>
      </c>
      <c r="C470" s="37" t="s">
        <v>40</v>
      </c>
      <c r="D470" s="38" t="s">
        <v>121</v>
      </c>
      <c r="E470" s="38" t="s">
        <v>122</v>
      </c>
      <c r="F470" s="38"/>
      <c r="G470" s="76"/>
    </row>
    <row r="471" spans="1:7" ht="15" customHeight="1" x14ac:dyDescent="0.25">
      <c r="A471" s="120"/>
      <c r="B471" s="75" t="s">
        <v>39</v>
      </c>
      <c r="C471" s="37" t="s">
        <v>41</v>
      </c>
      <c r="D471" s="38" t="s">
        <v>309</v>
      </c>
      <c r="E471" s="38"/>
      <c r="F471" s="103"/>
      <c r="G471" s="76"/>
    </row>
    <row r="472" spans="1:7" ht="75" customHeight="1" x14ac:dyDescent="0.25">
      <c r="A472" s="120"/>
      <c r="B472" s="104">
        <v>1</v>
      </c>
      <c r="C472" s="42" t="s">
        <v>43</v>
      </c>
      <c r="D472" s="38" t="s">
        <v>368</v>
      </c>
      <c r="E472" s="41" t="s">
        <v>412</v>
      </c>
      <c r="F472" s="38" t="s">
        <v>486</v>
      </c>
      <c r="G472" s="76"/>
    </row>
    <row r="473" spans="1:7" ht="15" customHeight="1" x14ac:dyDescent="0.25">
      <c r="A473" s="120"/>
      <c r="B473" s="104">
        <v>2</v>
      </c>
      <c r="C473" s="42" t="s">
        <v>43</v>
      </c>
      <c r="D473" s="38" t="s">
        <v>370</v>
      </c>
      <c r="E473" s="41"/>
      <c r="F473" s="38" t="s">
        <v>369</v>
      </c>
      <c r="G473" s="76"/>
    </row>
    <row r="474" spans="1:7" ht="45" customHeight="1" x14ac:dyDescent="0.25">
      <c r="A474" s="120"/>
      <c r="B474" s="43" t="s">
        <v>87</v>
      </c>
      <c r="C474" s="43" t="s">
        <v>88</v>
      </c>
      <c r="D474" s="38" t="s">
        <v>474</v>
      </c>
      <c r="E474" s="41"/>
      <c r="F474" s="38"/>
      <c r="G474" s="76" t="s">
        <v>50</v>
      </c>
    </row>
    <row r="475" spans="1:7" s="36" customFormat="1" ht="30" customHeight="1" x14ac:dyDescent="0.25">
      <c r="A475" s="77" t="str">
        <f>TabellaTest!F40</f>
        <v>TF007.UC07</v>
      </c>
      <c r="B475" s="121" t="str">
        <f>TabellaTest!C40</f>
        <v>REQ- SIE-021-07</v>
      </c>
      <c r="C475" s="122"/>
      <c r="D475" s="122" t="str">
        <f>TabellaTest!E40</f>
        <v>Verifica aggiornamento campo nel database</v>
      </c>
      <c r="E475" s="127"/>
      <c r="F475" s="122" t="str">
        <f>TabellaTest!G40</f>
        <v>Verifica: Verificare il corretto aggiornamento del campo ‘avv_id_avvocato’ dei records "AVVISI_AVVOCATO"</v>
      </c>
      <c r="G475" s="128"/>
    </row>
    <row r="476" spans="1:7" ht="30" customHeight="1" x14ac:dyDescent="0.25">
      <c r="A476" s="120"/>
      <c r="B476" s="98" t="s">
        <v>34</v>
      </c>
      <c r="C476" s="98" t="s">
        <v>35</v>
      </c>
      <c r="D476" s="98" t="s">
        <v>36</v>
      </c>
      <c r="E476" s="98" t="s">
        <v>37</v>
      </c>
      <c r="F476" s="98" t="s">
        <v>38</v>
      </c>
      <c r="G476" s="99" t="s">
        <v>11</v>
      </c>
    </row>
    <row r="477" spans="1:7" ht="30" customHeight="1" x14ac:dyDescent="0.25">
      <c r="A477" s="120"/>
      <c r="B477" s="75" t="s">
        <v>39</v>
      </c>
      <c r="C477" s="37" t="s">
        <v>40</v>
      </c>
      <c r="D477" s="38" t="s">
        <v>413</v>
      </c>
      <c r="E477" s="38" t="s">
        <v>414</v>
      </c>
      <c r="F477" s="38"/>
      <c r="G477" s="76"/>
    </row>
    <row r="478" spans="1:7" ht="15" customHeight="1" x14ac:dyDescent="0.25">
      <c r="A478" s="120"/>
      <c r="B478" s="75" t="s">
        <v>39</v>
      </c>
      <c r="C478" s="37" t="s">
        <v>41</v>
      </c>
      <c r="D478" s="38" t="s">
        <v>428</v>
      </c>
      <c r="E478" s="38"/>
      <c r="F478" s="103"/>
      <c r="G478" s="76"/>
    </row>
    <row r="479" spans="1:7" ht="45" customHeight="1" x14ac:dyDescent="0.25">
      <c r="A479" s="120"/>
      <c r="B479" s="104">
        <v>1</v>
      </c>
      <c r="C479" s="42" t="s">
        <v>43</v>
      </c>
      <c r="D479" s="111" t="s">
        <v>429</v>
      </c>
      <c r="E479" s="41" t="s">
        <v>430</v>
      </c>
      <c r="F479" s="38" t="s">
        <v>431</v>
      </c>
      <c r="G479" s="76"/>
    </row>
    <row r="480" spans="1:7" ht="120" customHeight="1" x14ac:dyDescent="0.25">
      <c r="A480" s="120"/>
      <c r="B480" s="104">
        <v>2</v>
      </c>
      <c r="C480" s="42" t="s">
        <v>43</v>
      </c>
      <c r="D480" s="38" t="s">
        <v>429</v>
      </c>
      <c r="E480" s="41" t="s">
        <v>432</v>
      </c>
      <c r="F480" s="38" t="s">
        <v>433</v>
      </c>
      <c r="G480" s="76"/>
    </row>
    <row r="481" spans="1:7" ht="15" customHeight="1" x14ac:dyDescent="0.25">
      <c r="A481" s="120"/>
      <c r="B481" s="43" t="s">
        <v>87</v>
      </c>
      <c r="C481" s="43" t="s">
        <v>88</v>
      </c>
      <c r="D481" s="38" t="s">
        <v>434</v>
      </c>
      <c r="E481" s="41"/>
      <c r="F481" s="38"/>
      <c r="G481" s="76" t="s">
        <v>50</v>
      </c>
    </row>
    <row r="482" spans="1:7" ht="120" customHeight="1" x14ac:dyDescent="0.25">
      <c r="A482" s="102"/>
      <c r="B482" s="104">
        <v>3</v>
      </c>
      <c r="C482" s="42" t="s">
        <v>43</v>
      </c>
      <c r="D482" s="38" t="s">
        <v>429</v>
      </c>
      <c r="E482" s="41" t="s">
        <v>435</v>
      </c>
      <c r="F482" s="38" t="s">
        <v>436</v>
      </c>
      <c r="G482" s="76"/>
    </row>
    <row r="483" spans="1:7" ht="15" customHeight="1" x14ac:dyDescent="0.25">
      <c r="A483" s="102"/>
      <c r="B483" s="43" t="s">
        <v>87</v>
      </c>
      <c r="C483" s="43" t="s">
        <v>88</v>
      </c>
      <c r="D483" s="38" t="s">
        <v>443</v>
      </c>
      <c r="E483" s="41"/>
      <c r="F483" s="38"/>
      <c r="G483" s="76" t="s">
        <v>50</v>
      </c>
    </row>
    <row r="484" spans="1:7" s="36" customFormat="1" ht="30" customHeight="1" x14ac:dyDescent="0.25">
      <c r="A484" s="77" t="str">
        <f>TabellaTest!F41</f>
        <v>TF007.UC08</v>
      </c>
      <c r="B484" s="121" t="str">
        <f>TabellaTest!C41</f>
        <v>REQ- SIE-021-07</v>
      </c>
      <c r="C484" s="122"/>
      <c r="D484" s="122" t="str">
        <f>TabellaTest!E41</f>
        <v>Verifica aggiornamento campo nel database</v>
      </c>
      <c r="E484" s="127"/>
      <c r="F484" s="122" t="str">
        <f>TabellaTest!G41</f>
        <v>Verifica: Verificare il corretto aggiornamento del campo ‘avv_id_avvocato’ dei records "PARTI_UDIENZA_DIFENSORE"</v>
      </c>
      <c r="G484" s="128"/>
    </row>
    <row r="485" spans="1:7" ht="30" customHeight="1" x14ac:dyDescent="0.25">
      <c r="A485" s="120"/>
      <c r="B485" s="98" t="s">
        <v>34</v>
      </c>
      <c r="C485" s="98" t="s">
        <v>35</v>
      </c>
      <c r="D485" s="98" t="s">
        <v>36</v>
      </c>
      <c r="E485" s="98" t="s">
        <v>37</v>
      </c>
      <c r="F485" s="98" t="s">
        <v>38</v>
      </c>
      <c r="G485" s="99" t="s">
        <v>11</v>
      </c>
    </row>
    <row r="486" spans="1:7" ht="30" customHeight="1" x14ac:dyDescent="0.25">
      <c r="A486" s="120"/>
      <c r="B486" s="75" t="s">
        <v>39</v>
      </c>
      <c r="C486" s="37" t="s">
        <v>40</v>
      </c>
      <c r="D486" s="38" t="s">
        <v>413</v>
      </c>
      <c r="E486" s="38" t="s">
        <v>414</v>
      </c>
      <c r="F486" s="38"/>
      <c r="G486" s="76"/>
    </row>
    <row r="487" spans="1:7" ht="15" customHeight="1" x14ac:dyDescent="0.25">
      <c r="A487" s="120"/>
      <c r="B487" s="75" t="s">
        <v>39</v>
      </c>
      <c r="C487" s="37" t="s">
        <v>41</v>
      </c>
      <c r="D487" s="38" t="s">
        <v>428</v>
      </c>
      <c r="E487" s="38"/>
      <c r="F487" s="103"/>
      <c r="G487" s="76"/>
    </row>
    <row r="488" spans="1:7" ht="45" customHeight="1" x14ac:dyDescent="0.25">
      <c r="A488" s="120"/>
      <c r="B488" s="104">
        <v>1</v>
      </c>
      <c r="C488" s="42" t="s">
        <v>43</v>
      </c>
      <c r="D488" s="111" t="s">
        <v>429</v>
      </c>
      <c r="E488" s="41" t="s">
        <v>437</v>
      </c>
      <c r="F488" s="38" t="s">
        <v>438</v>
      </c>
      <c r="G488" s="76"/>
    </row>
    <row r="489" spans="1:7" ht="150" customHeight="1" x14ac:dyDescent="0.25">
      <c r="A489" s="120"/>
      <c r="B489" s="104">
        <v>2</v>
      </c>
      <c r="C489" s="42" t="s">
        <v>43</v>
      </c>
      <c r="D489" s="38" t="s">
        <v>429</v>
      </c>
      <c r="E489" s="41" t="s">
        <v>439</v>
      </c>
      <c r="F489" s="38" t="s">
        <v>440</v>
      </c>
      <c r="G489" s="76"/>
    </row>
    <row r="490" spans="1:7" ht="15" customHeight="1" x14ac:dyDescent="0.25">
      <c r="A490" s="120"/>
      <c r="B490" s="43" t="s">
        <v>87</v>
      </c>
      <c r="C490" s="43" t="s">
        <v>88</v>
      </c>
      <c r="D490" s="38" t="s">
        <v>434</v>
      </c>
      <c r="E490" s="41"/>
      <c r="F490" s="38"/>
      <c r="G490" s="76" t="s">
        <v>50</v>
      </c>
    </row>
    <row r="491" spans="1:7" ht="150" customHeight="1" x14ac:dyDescent="0.25">
      <c r="A491" s="102"/>
      <c r="B491" s="104">
        <v>3</v>
      </c>
      <c r="C491" s="42" t="s">
        <v>43</v>
      </c>
      <c r="D491" s="38" t="s">
        <v>429</v>
      </c>
      <c r="E491" s="41" t="s">
        <v>441</v>
      </c>
      <c r="F491" s="38" t="s">
        <v>442</v>
      </c>
      <c r="G491" s="76"/>
    </row>
    <row r="492" spans="1:7" ht="15" customHeight="1" x14ac:dyDescent="0.25">
      <c r="A492" s="102"/>
      <c r="B492" s="43" t="s">
        <v>87</v>
      </c>
      <c r="C492" s="43" t="s">
        <v>88</v>
      </c>
      <c r="D492" s="38" t="s">
        <v>443</v>
      </c>
      <c r="E492" s="41"/>
      <c r="F492" s="38"/>
      <c r="G492" s="76" t="s">
        <v>50</v>
      </c>
    </row>
    <row r="493" spans="1:7" s="36" customFormat="1" ht="30" customHeight="1" x14ac:dyDescent="0.25">
      <c r="A493" s="77" t="str">
        <f>TabellaTest!F42</f>
        <v>TF007.UC09</v>
      </c>
      <c r="B493" s="121" t="str">
        <f>TabellaTest!C42</f>
        <v>REQ- SIE-021-07</v>
      </c>
      <c r="C493" s="122"/>
      <c r="D493" s="122" t="str">
        <f>TabellaTest!E42</f>
        <v>Verifica aggiornamento campo nel database</v>
      </c>
      <c r="E493" s="127"/>
      <c r="F493" s="122" t="str">
        <f>TabellaTest!G42</f>
        <v>Verifica: Verificare il corretto aggiornamento del campo ‘avv_id_avvocato’ dei records "STORICO_AVVOCATO"</v>
      </c>
      <c r="G493" s="128"/>
    </row>
    <row r="494" spans="1:7" ht="30" customHeight="1" x14ac:dyDescent="0.25">
      <c r="A494" s="120"/>
      <c r="B494" s="98" t="s">
        <v>34</v>
      </c>
      <c r="C494" s="98" t="s">
        <v>35</v>
      </c>
      <c r="D494" s="98" t="s">
        <v>36</v>
      </c>
      <c r="E494" s="98" t="s">
        <v>37</v>
      </c>
      <c r="F494" s="98" t="s">
        <v>38</v>
      </c>
      <c r="G494" s="99" t="s">
        <v>11</v>
      </c>
    </row>
    <row r="495" spans="1:7" ht="30" customHeight="1" x14ac:dyDescent="0.25">
      <c r="A495" s="120"/>
      <c r="B495" s="75" t="s">
        <v>39</v>
      </c>
      <c r="C495" s="37" t="s">
        <v>40</v>
      </c>
      <c r="D495" s="38" t="s">
        <v>413</v>
      </c>
      <c r="E495" s="38" t="s">
        <v>414</v>
      </c>
      <c r="F495" s="38"/>
      <c r="G495" s="76"/>
    </row>
    <row r="496" spans="1:7" ht="15" customHeight="1" x14ac:dyDescent="0.25">
      <c r="A496" s="120"/>
      <c r="B496" s="75" t="s">
        <v>39</v>
      </c>
      <c r="C496" s="37" t="s">
        <v>41</v>
      </c>
      <c r="D496" s="38" t="s">
        <v>428</v>
      </c>
      <c r="E496" s="38"/>
      <c r="F496" s="103"/>
      <c r="G496" s="76"/>
    </row>
    <row r="497" spans="1:7" ht="45" customHeight="1" x14ac:dyDescent="0.25">
      <c r="A497" s="120"/>
      <c r="B497" s="104">
        <v>1</v>
      </c>
      <c r="C497" s="42" t="s">
        <v>43</v>
      </c>
      <c r="D497" s="111" t="s">
        <v>429</v>
      </c>
      <c r="E497" s="41" t="s">
        <v>444</v>
      </c>
      <c r="F497" s="38" t="s">
        <v>445</v>
      </c>
      <c r="G497" s="76"/>
    </row>
    <row r="498" spans="1:7" ht="165" customHeight="1" x14ac:dyDescent="0.25">
      <c r="A498" s="120"/>
      <c r="B498" s="104">
        <v>2</v>
      </c>
      <c r="C498" s="42" t="s">
        <v>43</v>
      </c>
      <c r="D498" s="38" t="s">
        <v>429</v>
      </c>
      <c r="E498" s="173" t="s">
        <v>446</v>
      </c>
      <c r="F498" s="38" t="s">
        <v>447</v>
      </c>
      <c r="G498" s="76"/>
    </row>
    <row r="499" spans="1:7" ht="15" customHeight="1" x14ac:dyDescent="0.25">
      <c r="A499" s="120"/>
      <c r="B499" s="43" t="s">
        <v>87</v>
      </c>
      <c r="C499" s="43" t="s">
        <v>88</v>
      </c>
      <c r="D499" s="38" t="s">
        <v>434</v>
      </c>
      <c r="E499" s="41"/>
      <c r="F499" s="38"/>
      <c r="G499" s="76" t="s">
        <v>50</v>
      </c>
    </row>
    <row r="500" spans="1:7" ht="165" customHeight="1" x14ac:dyDescent="0.25">
      <c r="A500" s="102"/>
      <c r="B500" s="104">
        <v>3</v>
      </c>
      <c r="C500" s="42" t="s">
        <v>43</v>
      </c>
      <c r="D500" s="38" t="s">
        <v>429</v>
      </c>
      <c r="E500" s="41" t="s">
        <v>449</v>
      </c>
      <c r="F500" s="38" t="s">
        <v>448</v>
      </c>
      <c r="G500" s="76"/>
    </row>
    <row r="501" spans="1:7" ht="15" customHeight="1" x14ac:dyDescent="0.25">
      <c r="A501" s="102"/>
      <c r="B501" s="43" t="s">
        <v>87</v>
      </c>
      <c r="C501" s="43" t="s">
        <v>88</v>
      </c>
      <c r="D501" s="38" t="s">
        <v>443</v>
      </c>
      <c r="E501" s="41"/>
      <c r="F501" s="38"/>
      <c r="G501" s="76" t="s">
        <v>50</v>
      </c>
    </row>
    <row r="502" spans="1:7" s="36" customFormat="1" ht="30" customHeight="1" x14ac:dyDescent="0.25">
      <c r="A502" s="77" t="str">
        <f>TabellaTest!F43</f>
        <v>TF007.UC10</v>
      </c>
      <c r="B502" s="121" t="str">
        <f>TabellaTest!C43</f>
        <v>REQ- SIE-021-07</v>
      </c>
      <c r="C502" s="122"/>
      <c r="D502" s="122" t="str">
        <f>TabellaTest!E43</f>
        <v>Verifica aggiornamento campo nel database</v>
      </c>
      <c r="E502" s="127"/>
      <c r="F502" s="122" t="str">
        <f>TabellaTest!G43</f>
        <v>Verifica: Verificare il corretto aggiornamento del campo ‘avv_id_avvocato’ e 'avv_id_avvocato_presentante' dei records "NUOVA_ISTANZA"</v>
      </c>
      <c r="G502" s="128"/>
    </row>
    <row r="503" spans="1:7" ht="30" customHeight="1" x14ac:dyDescent="0.25">
      <c r="A503" s="120"/>
      <c r="B503" s="98" t="s">
        <v>34</v>
      </c>
      <c r="C503" s="98" t="s">
        <v>35</v>
      </c>
      <c r="D503" s="98" t="s">
        <v>36</v>
      </c>
      <c r="E503" s="98" t="s">
        <v>37</v>
      </c>
      <c r="F503" s="98" t="s">
        <v>38</v>
      </c>
      <c r="G503" s="99" t="s">
        <v>11</v>
      </c>
    </row>
    <row r="504" spans="1:7" ht="30" customHeight="1" x14ac:dyDescent="0.25">
      <c r="A504" s="120"/>
      <c r="B504" s="75" t="s">
        <v>39</v>
      </c>
      <c r="C504" s="37" t="s">
        <v>40</v>
      </c>
      <c r="D504" s="38" t="s">
        <v>413</v>
      </c>
      <c r="E504" s="38" t="s">
        <v>414</v>
      </c>
      <c r="F504" s="38"/>
      <c r="G504" s="76"/>
    </row>
    <row r="505" spans="1:7" ht="15" customHeight="1" x14ac:dyDescent="0.25">
      <c r="A505" s="120"/>
      <c r="B505" s="75" t="s">
        <v>39</v>
      </c>
      <c r="C505" s="37" t="s">
        <v>41</v>
      </c>
      <c r="D505" s="38" t="s">
        <v>428</v>
      </c>
      <c r="E505" s="38"/>
      <c r="F505" s="103"/>
      <c r="G505" s="76"/>
    </row>
    <row r="506" spans="1:7" ht="90" customHeight="1" x14ac:dyDescent="0.25">
      <c r="A506" s="120"/>
      <c r="B506" s="104">
        <v>1</v>
      </c>
      <c r="C506" s="42" t="s">
        <v>43</v>
      </c>
      <c r="D506" s="111" t="s">
        <v>429</v>
      </c>
      <c r="E506" s="41" t="s">
        <v>487</v>
      </c>
      <c r="F506" s="38" t="s">
        <v>451</v>
      </c>
      <c r="G506" s="76"/>
    </row>
    <row r="507" spans="1:7" ht="285" customHeight="1" x14ac:dyDescent="0.25">
      <c r="A507" s="120"/>
      <c r="B507" s="104">
        <v>2</v>
      </c>
      <c r="C507" s="42" t="s">
        <v>43</v>
      </c>
      <c r="D507" s="38" t="s">
        <v>429</v>
      </c>
      <c r="E507" s="173" t="s">
        <v>452</v>
      </c>
      <c r="F507" s="38" t="s">
        <v>453</v>
      </c>
      <c r="G507" s="76"/>
    </row>
    <row r="508" spans="1:7" ht="15" customHeight="1" x14ac:dyDescent="0.25">
      <c r="A508" s="120"/>
      <c r="B508" s="43" t="s">
        <v>87</v>
      </c>
      <c r="C508" s="43" t="s">
        <v>88</v>
      </c>
      <c r="D508" s="38" t="s">
        <v>434</v>
      </c>
      <c r="E508" s="41"/>
      <c r="F508" s="38"/>
      <c r="G508" s="76" t="s">
        <v>50</v>
      </c>
    </row>
    <row r="509" spans="1:7" ht="285" customHeight="1" x14ac:dyDescent="0.25">
      <c r="A509" s="102"/>
      <c r="B509" s="104">
        <v>3</v>
      </c>
      <c r="C509" s="42" t="s">
        <v>43</v>
      </c>
      <c r="D509" s="38" t="s">
        <v>429</v>
      </c>
      <c r="E509" s="173" t="s">
        <v>454</v>
      </c>
      <c r="F509" s="38" t="s">
        <v>455</v>
      </c>
      <c r="G509" s="76"/>
    </row>
    <row r="510" spans="1:7" ht="15" customHeight="1" x14ac:dyDescent="0.25">
      <c r="A510" s="102"/>
      <c r="B510" s="43" t="s">
        <v>87</v>
      </c>
      <c r="C510" s="43" t="s">
        <v>88</v>
      </c>
      <c r="D510" s="38" t="s">
        <v>443</v>
      </c>
      <c r="E510" s="41"/>
      <c r="F510" s="38"/>
      <c r="G510" s="76" t="s">
        <v>50</v>
      </c>
    </row>
    <row r="511" spans="1:7" ht="45" customHeight="1" x14ac:dyDescent="0.25">
      <c r="A511" s="77" t="str">
        <f>TabellaTest!F44</f>
        <v>TF008.UC01</v>
      </c>
      <c r="B511" s="121" t="str">
        <f>TabellaTest!C44</f>
        <v>REQ- SIE-021-08</v>
      </c>
      <c r="C511" s="121"/>
      <c r="D511" s="122" t="str">
        <f>TabellaTest!E44</f>
        <v>Verifica iscrizione soggetto</v>
      </c>
      <c r="E511" s="122"/>
      <c r="F511" s="122" t="str">
        <f>TabellaTest!G44</f>
        <v>Verifica: Verificare che al momento dell’iscrizione in SIES di un nuovo soggetto, insieme al valore del 'COD_COMUNE' viene riportato anche il valore di 'COD_SEDE_GIUDIZIARIA'</v>
      </c>
      <c r="G511" s="123"/>
    </row>
    <row r="512" spans="1:7" ht="30" customHeight="1" x14ac:dyDescent="0.25">
      <c r="A512" s="124"/>
      <c r="B512" s="98" t="s">
        <v>34</v>
      </c>
      <c r="C512" s="98" t="s">
        <v>35</v>
      </c>
      <c r="D512" s="98" t="s">
        <v>36</v>
      </c>
      <c r="E512" s="98" t="s">
        <v>37</v>
      </c>
      <c r="F512" s="98" t="s">
        <v>38</v>
      </c>
      <c r="G512" s="99" t="s">
        <v>11</v>
      </c>
    </row>
    <row r="513" spans="1:7" ht="30" customHeight="1" x14ac:dyDescent="0.25">
      <c r="A513" s="125"/>
      <c r="B513" s="75" t="s">
        <v>39</v>
      </c>
      <c r="C513" s="37" t="s">
        <v>40</v>
      </c>
      <c r="D513" s="38" t="s">
        <v>119</v>
      </c>
      <c r="E513" s="38" t="s">
        <v>120</v>
      </c>
      <c r="F513" s="38"/>
      <c r="G513" s="76"/>
    </row>
    <row r="514" spans="1:7" ht="15" customHeight="1" x14ac:dyDescent="0.25">
      <c r="A514" s="125"/>
      <c r="B514" s="75" t="s">
        <v>39</v>
      </c>
      <c r="C514" s="37" t="s">
        <v>41</v>
      </c>
      <c r="D514" s="103" t="s">
        <v>309</v>
      </c>
      <c r="E514" s="38"/>
      <c r="F514" s="103"/>
      <c r="G514" s="76"/>
    </row>
    <row r="515" spans="1:7" ht="15" customHeight="1" x14ac:dyDescent="0.25">
      <c r="A515" s="125"/>
      <c r="B515" s="39">
        <v>1</v>
      </c>
      <c r="C515" s="39" t="s">
        <v>42</v>
      </c>
      <c r="D515" s="40" t="s">
        <v>456</v>
      </c>
      <c r="E515" s="41"/>
      <c r="F515" s="38" t="s">
        <v>457</v>
      </c>
      <c r="G515" s="76"/>
    </row>
    <row r="516" spans="1:7" ht="45" customHeight="1" x14ac:dyDescent="0.25">
      <c r="A516" s="125"/>
      <c r="B516" s="104">
        <v>2</v>
      </c>
      <c r="C516" s="42" t="s">
        <v>43</v>
      </c>
      <c r="D516" s="38" t="s">
        <v>458</v>
      </c>
      <c r="E516" s="41"/>
      <c r="F516" s="100"/>
      <c r="G516" s="76"/>
    </row>
    <row r="517" spans="1:7" ht="30" customHeight="1" x14ac:dyDescent="0.25">
      <c r="A517" s="125"/>
      <c r="B517" s="104">
        <v>3</v>
      </c>
      <c r="C517" s="42" t="s">
        <v>43</v>
      </c>
      <c r="D517" s="38" t="s">
        <v>462</v>
      </c>
      <c r="E517" s="41" t="s">
        <v>463</v>
      </c>
      <c r="F517" s="100"/>
      <c r="G517" s="76"/>
    </row>
    <row r="518" spans="1:7" ht="30" customHeight="1" x14ac:dyDescent="0.25">
      <c r="A518" s="125"/>
      <c r="B518" s="75" t="s">
        <v>39</v>
      </c>
      <c r="C518" s="37" t="s">
        <v>40</v>
      </c>
      <c r="D518" s="38" t="s">
        <v>413</v>
      </c>
      <c r="E518" s="38" t="s">
        <v>414</v>
      </c>
      <c r="F518" s="38"/>
      <c r="G518" s="76"/>
    </row>
    <row r="519" spans="1:7" ht="15" customHeight="1" x14ac:dyDescent="0.25">
      <c r="A519" s="125"/>
      <c r="B519" s="75" t="s">
        <v>39</v>
      </c>
      <c r="C519" s="37" t="s">
        <v>41</v>
      </c>
      <c r="D519" s="38" t="s">
        <v>428</v>
      </c>
      <c r="E519" s="38"/>
      <c r="F519" s="103"/>
      <c r="G519" s="76"/>
    </row>
    <row r="520" spans="1:7" ht="150" customHeight="1" x14ac:dyDescent="0.25">
      <c r="A520" s="125"/>
      <c r="B520" s="104">
        <v>4</v>
      </c>
      <c r="C520" s="42" t="s">
        <v>43</v>
      </c>
      <c r="D520" s="38" t="s">
        <v>429</v>
      </c>
      <c r="E520" s="41" t="s">
        <v>461</v>
      </c>
      <c r="F520" s="38" t="s">
        <v>459</v>
      </c>
      <c r="G520" s="76"/>
    </row>
    <row r="521" spans="1:7" ht="15" customHeight="1" x14ac:dyDescent="0.25">
      <c r="A521" s="126"/>
      <c r="B521" s="43" t="s">
        <v>87</v>
      </c>
      <c r="C521" s="43" t="s">
        <v>88</v>
      </c>
      <c r="D521" s="45" t="s">
        <v>460</v>
      </c>
      <c r="E521" s="38"/>
      <c r="F521" s="38"/>
      <c r="G521" s="76" t="s">
        <v>50</v>
      </c>
    </row>
    <row r="522" spans="1:7" ht="45" customHeight="1" x14ac:dyDescent="0.25">
      <c r="A522" s="77" t="str">
        <f>TabellaTest!F45</f>
        <v>TF009.UC01</v>
      </c>
      <c r="B522" s="121" t="str">
        <f>TabellaTest!C45</f>
        <v>REQ- SIE-021-09</v>
      </c>
      <c r="C522" s="121"/>
      <c r="D522" s="122" t="str">
        <f>TabellaTest!E45</f>
        <v>Verifica congruenza dati estratti in SIUS-Avvocati</v>
      </c>
      <c r="E522" s="122"/>
      <c r="F522" s="122" t="str">
        <f>TabellaTest!G45</f>
        <v>Verifica: Verificare che su SIUS-Avvocati la stessa ricerca fatta da un avvocato prima della bonifica restituisca gli stessi risultati dopo la bonifica</v>
      </c>
      <c r="G522" s="123"/>
    </row>
    <row r="523" spans="1:7" ht="25.5" x14ac:dyDescent="0.25">
      <c r="A523" s="124"/>
      <c r="B523" s="98" t="s">
        <v>34</v>
      </c>
      <c r="C523" s="98" t="s">
        <v>35</v>
      </c>
      <c r="D523" s="98" t="s">
        <v>36</v>
      </c>
      <c r="E523" s="98" t="s">
        <v>37</v>
      </c>
      <c r="F523" s="98" t="s">
        <v>38</v>
      </c>
      <c r="G523" s="99" t="s">
        <v>11</v>
      </c>
    </row>
    <row r="524" spans="1:7" ht="30" customHeight="1" x14ac:dyDescent="0.25">
      <c r="A524" s="125"/>
      <c r="B524" s="75" t="s">
        <v>39</v>
      </c>
      <c r="C524" s="37" t="s">
        <v>40</v>
      </c>
      <c r="D524" s="38" t="s">
        <v>337</v>
      </c>
      <c r="E524" s="38" t="s">
        <v>338</v>
      </c>
      <c r="F524" s="38"/>
      <c r="G524" s="76"/>
    </row>
    <row r="525" spans="1:7" x14ac:dyDescent="0.25">
      <c r="A525" s="125"/>
      <c r="B525" s="75" t="s">
        <v>39</v>
      </c>
      <c r="C525" s="37" t="s">
        <v>41</v>
      </c>
      <c r="D525" s="101" t="s">
        <v>313</v>
      </c>
      <c r="E525" s="38"/>
      <c r="F525" s="101"/>
      <c r="G525" s="76"/>
    </row>
    <row r="526" spans="1:7" ht="25.5" x14ac:dyDescent="0.25">
      <c r="A526" s="125"/>
      <c r="B526" s="39">
        <v>1</v>
      </c>
      <c r="C526" s="39" t="s">
        <v>42</v>
      </c>
      <c r="D526" s="40" t="s">
        <v>339</v>
      </c>
      <c r="E526" s="41"/>
      <c r="F526" s="38" t="s">
        <v>340</v>
      </c>
      <c r="G526" s="76"/>
    </row>
    <row r="527" spans="1:7" ht="30" customHeight="1" x14ac:dyDescent="0.25">
      <c r="A527" s="125"/>
      <c r="B527" s="104">
        <v>2</v>
      </c>
      <c r="C527" s="42" t="s">
        <v>43</v>
      </c>
      <c r="D527" s="38" t="s">
        <v>341</v>
      </c>
      <c r="E527" s="41" t="s">
        <v>344</v>
      </c>
      <c r="F527" s="38" t="s">
        <v>342</v>
      </c>
      <c r="G527" s="76"/>
    </row>
    <row r="528" spans="1:7" ht="15" customHeight="1" x14ac:dyDescent="0.25">
      <c r="A528" s="125"/>
      <c r="B528" s="88" t="s">
        <v>87</v>
      </c>
      <c r="C528" s="88" t="s">
        <v>88</v>
      </c>
      <c r="D528" s="89" t="s">
        <v>346</v>
      </c>
      <c r="E528" s="94" t="s">
        <v>347</v>
      </c>
      <c r="F528" s="44"/>
      <c r="G528" s="90" t="s">
        <v>50</v>
      </c>
    </row>
    <row r="529" spans="1:7" x14ac:dyDescent="0.25">
      <c r="A529" s="125"/>
      <c r="B529" s="105">
        <v>3</v>
      </c>
      <c r="C529" s="93" t="s">
        <v>43</v>
      </c>
      <c r="D529" s="44" t="s">
        <v>343</v>
      </c>
      <c r="E529" s="94"/>
      <c r="F529" s="44"/>
      <c r="G529" s="90"/>
    </row>
    <row r="530" spans="1:7" ht="30" customHeight="1" x14ac:dyDescent="0.25">
      <c r="A530" s="125"/>
      <c r="B530" s="75" t="s">
        <v>39</v>
      </c>
      <c r="C530" s="37" t="s">
        <v>40</v>
      </c>
      <c r="D530" s="38" t="s">
        <v>337</v>
      </c>
      <c r="E530" s="38" t="s">
        <v>338</v>
      </c>
      <c r="F530" s="38"/>
      <c r="G530" s="76"/>
    </row>
    <row r="531" spans="1:7" x14ac:dyDescent="0.25">
      <c r="A531" s="125"/>
      <c r="B531" s="75" t="s">
        <v>39</v>
      </c>
      <c r="C531" s="37" t="s">
        <v>41</v>
      </c>
      <c r="D531" s="101" t="s">
        <v>313</v>
      </c>
      <c r="E531" s="38"/>
      <c r="F531" s="101"/>
      <c r="G531" s="76"/>
    </row>
    <row r="532" spans="1:7" ht="25.5" x14ac:dyDescent="0.25">
      <c r="A532" s="125"/>
      <c r="B532" s="39">
        <v>4</v>
      </c>
      <c r="C532" s="39" t="s">
        <v>42</v>
      </c>
      <c r="D532" s="40" t="s">
        <v>339</v>
      </c>
      <c r="E532" s="41"/>
      <c r="F532" s="38" t="s">
        <v>340</v>
      </c>
      <c r="G532" s="76"/>
    </row>
    <row r="533" spans="1:7" ht="30" customHeight="1" x14ac:dyDescent="0.25">
      <c r="A533" s="125"/>
      <c r="B533" s="104">
        <v>5</v>
      </c>
      <c r="C533" s="42" t="s">
        <v>43</v>
      </c>
      <c r="D533" s="38" t="s">
        <v>341</v>
      </c>
      <c r="E533" s="41" t="s">
        <v>345</v>
      </c>
      <c r="F533" s="38" t="s">
        <v>342</v>
      </c>
      <c r="G533" s="76"/>
    </row>
    <row r="534" spans="1:7" ht="30" customHeight="1" thickBot="1" x14ac:dyDescent="0.3">
      <c r="A534" s="129"/>
      <c r="B534" s="78" t="s">
        <v>87</v>
      </c>
      <c r="C534" s="78" t="s">
        <v>88</v>
      </c>
      <c r="D534" s="79" t="s">
        <v>348</v>
      </c>
      <c r="E534" s="60"/>
      <c r="F534" s="60"/>
      <c r="G534" s="80" t="s">
        <v>50</v>
      </c>
    </row>
    <row r="535" spans="1:7" ht="15.75" thickTop="1" x14ac:dyDescent="0.25"/>
  </sheetData>
  <autoFilter ref="A3:G3">
    <filterColumn colId="1" showButton="0"/>
    <filterColumn colId="3" showButton="0"/>
    <filterColumn colId="5" showButton="0"/>
  </autoFilter>
  <mergeCells count="175">
    <mergeCell ref="B369:C369"/>
    <mergeCell ref="D369:E369"/>
    <mergeCell ref="F369:G369"/>
    <mergeCell ref="A370:A381"/>
    <mergeCell ref="B356:C356"/>
    <mergeCell ref="D356:E356"/>
    <mergeCell ref="F356:G356"/>
    <mergeCell ref="A357:A368"/>
    <mergeCell ref="F228:G228"/>
    <mergeCell ref="A229:A242"/>
    <mergeCell ref="A259:A273"/>
    <mergeCell ref="B243:C243"/>
    <mergeCell ref="D243:E243"/>
    <mergeCell ref="F243:G243"/>
    <mergeCell ref="A244:A257"/>
    <mergeCell ref="B258:C258"/>
    <mergeCell ref="D258:E258"/>
    <mergeCell ref="F258:G258"/>
    <mergeCell ref="F274:G274"/>
    <mergeCell ref="A275:A290"/>
    <mergeCell ref="B291:C291"/>
    <mergeCell ref="D291:E291"/>
    <mergeCell ref="F291:G291"/>
    <mergeCell ref="B330:C330"/>
    <mergeCell ref="F172:G172"/>
    <mergeCell ref="A173:A184"/>
    <mergeCell ref="B185:C185"/>
    <mergeCell ref="D185:E185"/>
    <mergeCell ref="F330:G330"/>
    <mergeCell ref="B343:C343"/>
    <mergeCell ref="D343:E343"/>
    <mergeCell ref="F185:G185"/>
    <mergeCell ref="A186:A197"/>
    <mergeCell ref="B198:C198"/>
    <mergeCell ref="D198:E198"/>
    <mergeCell ref="F198:G198"/>
    <mergeCell ref="A199:A212"/>
    <mergeCell ref="B213:C213"/>
    <mergeCell ref="D213:E213"/>
    <mergeCell ref="F213:G213"/>
    <mergeCell ref="F343:G343"/>
    <mergeCell ref="A322:A329"/>
    <mergeCell ref="A331:A342"/>
    <mergeCell ref="D34:E34"/>
    <mergeCell ref="A21:A33"/>
    <mergeCell ref="F64:G64"/>
    <mergeCell ref="F76:G76"/>
    <mergeCell ref="F113:G113"/>
    <mergeCell ref="B136:C136"/>
    <mergeCell ref="D136:E136"/>
    <mergeCell ref="F136:G136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59:C159"/>
    <mergeCell ref="D159:E159"/>
    <mergeCell ref="F159:G159"/>
    <mergeCell ref="A160:A171"/>
    <mergeCell ref="B172:C172"/>
    <mergeCell ref="D172:E172"/>
    <mergeCell ref="D90:E90"/>
    <mergeCell ref="D330:E330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A5:A19"/>
    <mergeCell ref="B4:C4"/>
    <mergeCell ref="D4:E4"/>
    <mergeCell ref="F20:G20"/>
    <mergeCell ref="F34:G34"/>
    <mergeCell ref="F90:G90"/>
    <mergeCell ref="A77:A89"/>
    <mergeCell ref="A51:A63"/>
    <mergeCell ref="B20:C20"/>
    <mergeCell ref="D20:E20"/>
    <mergeCell ref="B34:C34"/>
    <mergeCell ref="B522:C522"/>
    <mergeCell ref="D522:E522"/>
    <mergeCell ref="F522:G522"/>
    <mergeCell ref="A523:A534"/>
    <mergeCell ref="A344:A355"/>
    <mergeCell ref="A35:A49"/>
    <mergeCell ref="A114:A135"/>
    <mergeCell ref="A313:A320"/>
    <mergeCell ref="A292:A303"/>
    <mergeCell ref="B274:C274"/>
    <mergeCell ref="D274:E274"/>
    <mergeCell ref="A137:A158"/>
    <mergeCell ref="B64:C64"/>
    <mergeCell ref="D64:E64"/>
    <mergeCell ref="B113:C113"/>
    <mergeCell ref="D113:E113"/>
    <mergeCell ref="A214:A227"/>
    <mergeCell ref="B228:C228"/>
    <mergeCell ref="D228:E228"/>
    <mergeCell ref="A91:A112"/>
    <mergeCell ref="A65:A75"/>
    <mergeCell ref="B76:C76"/>
    <mergeCell ref="D76:E76"/>
    <mergeCell ref="B90:C90"/>
    <mergeCell ref="B382:C382"/>
    <mergeCell ref="D382:E382"/>
    <mergeCell ref="F382:G382"/>
    <mergeCell ref="A383:A394"/>
    <mergeCell ref="B395:C395"/>
    <mergeCell ref="D395:E395"/>
    <mergeCell ref="F395:G395"/>
    <mergeCell ref="A396:A407"/>
    <mergeCell ref="B408:C408"/>
    <mergeCell ref="D408:E408"/>
    <mergeCell ref="F408:G408"/>
    <mergeCell ref="A409:A420"/>
    <mergeCell ref="B434:C434"/>
    <mergeCell ref="D434:E434"/>
    <mergeCell ref="F434:G434"/>
    <mergeCell ref="A435:A440"/>
    <mergeCell ref="B441:C441"/>
    <mergeCell ref="D441:E441"/>
    <mergeCell ref="F441:G441"/>
    <mergeCell ref="A442:A447"/>
    <mergeCell ref="B421:C421"/>
    <mergeCell ref="D421:E421"/>
    <mergeCell ref="F421:G421"/>
    <mergeCell ref="A422:A433"/>
    <mergeCell ref="B448:C448"/>
    <mergeCell ref="D448:E448"/>
    <mergeCell ref="F448:G448"/>
    <mergeCell ref="A449:A453"/>
    <mergeCell ref="B454:C454"/>
    <mergeCell ref="D454:E454"/>
    <mergeCell ref="F454:G454"/>
    <mergeCell ref="A455:A460"/>
    <mergeCell ref="B461:C461"/>
    <mergeCell ref="D461:E461"/>
    <mergeCell ref="F461:G461"/>
    <mergeCell ref="A462:A467"/>
    <mergeCell ref="B468:C468"/>
    <mergeCell ref="D468:E468"/>
    <mergeCell ref="F468:G468"/>
    <mergeCell ref="A469:A474"/>
    <mergeCell ref="B475:C475"/>
    <mergeCell ref="D475:E475"/>
    <mergeCell ref="F475:G475"/>
    <mergeCell ref="A476:A481"/>
    <mergeCell ref="A503:A508"/>
    <mergeCell ref="B511:C511"/>
    <mergeCell ref="D511:E511"/>
    <mergeCell ref="F511:G511"/>
    <mergeCell ref="A512:A521"/>
    <mergeCell ref="B484:C484"/>
    <mergeCell ref="D484:E484"/>
    <mergeCell ref="F484:G484"/>
    <mergeCell ref="A485:A490"/>
    <mergeCell ref="B493:C493"/>
    <mergeCell ref="D493:E493"/>
    <mergeCell ref="F493:G493"/>
    <mergeCell ref="A494:A499"/>
    <mergeCell ref="B502:C502"/>
    <mergeCell ref="D502:E502"/>
    <mergeCell ref="F502:G502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sqref="A1:XFD1048576"/>
    </sheetView>
  </sheetViews>
  <sheetFormatPr defaultRowHeight="12.75" x14ac:dyDescent="0.25"/>
  <cols>
    <col min="1" max="1" width="5.7109375" style="4" customWidth="1"/>
    <col min="2" max="3" width="20.7109375" style="4" customWidth="1"/>
    <col min="4" max="4" width="30.7109375" style="4" customWidth="1"/>
    <col min="5" max="5" width="75.7109375" style="4" customWidth="1"/>
    <col min="6" max="6" width="15.7109375" style="4" customWidth="1"/>
    <col min="7" max="7" width="16.7109375" style="4" customWidth="1"/>
    <col min="8" max="254" width="9.140625" style="4"/>
    <col min="255" max="255" width="4" style="4" bestFit="1" customWidth="1"/>
    <col min="256" max="256" width="26.7109375" style="4" bestFit="1" customWidth="1"/>
    <col min="257" max="257" width="22.7109375" style="4" bestFit="1" customWidth="1"/>
    <col min="258" max="258" width="32.5703125" style="4" customWidth="1"/>
    <col min="259" max="259" width="57.28515625" style="4" customWidth="1"/>
    <col min="260" max="260" width="15.5703125" style="4" customWidth="1"/>
    <col min="261" max="261" width="16.7109375" style="4" customWidth="1"/>
    <col min="262" max="510" width="9.140625" style="4"/>
    <col min="511" max="511" width="4" style="4" bestFit="1" customWidth="1"/>
    <col min="512" max="512" width="26.7109375" style="4" bestFit="1" customWidth="1"/>
    <col min="513" max="513" width="22.7109375" style="4" bestFit="1" customWidth="1"/>
    <col min="514" max="514" width="32.5703125" style="4" customWidth="1"/>
    <col min="515" max="515" width="57.28515625" style="4" customWidth="1"/>
    <col min="516" max="516" width="15.5703125" style="4" customWidth="1"/>
    <col min="517" max="517" width="16.7109375" style="4" customWidth="1"/>
    <col min="518" max="766" width="9.140625" style="4"/>
    <col min="767" max="767" width="4" style="4" bestFit="1" customWidth="1"/>
    <col min="768" max="768" width="26.7109375" style="4" bestFit="1" customWidth="1"/>
    <col min="769" max="769" width="22.7109375" style="4" bestFit="1" customWidth="1"/>
    <col min="770" max="770" width="32.5703125" style="4" customWidth="1"/>
    <col min="771" max="771" width="57.28515625" style="4" customWidth="1"/>
    <col min="772" max="772" width="15.5703125" style="4" customWidth="1"/>
    <col min="773" max="773" width="16.7109375" style="4" customWidth="1"/>
    <col min="774" max="1022" width="9.140625" style="4"/>
    <col min="1023" max="1023" width="4" style="4" bestFit="1" customWidth="1"/>
    <col min="1024" max="1024" width="26.7109375" style="4" bestFit="1" customWidth="1"/>
    <col min="1025" max="1025" width="22.7109375" style="4" bestFit="1" customWidth="1"/>
    <col min="1026" max="1026" width="32.5703125" style="4" customWidth="1"/>
    <col min="1027" max="1027" width="57.28515625" style="4" customWidth="1"/>
    <col min="1028" max="1028" width="15.5703125" style="4" customWidth="1"/>
    <col min="1029" max="1029" width="16.7109375" style="4" customWidth="1"/>
    <col min="1030" max="1278" width="9.140625" style="4"/>
    <col min="1279" max="1279" width="4" style="4" bestFit="1" customWidth="1"/>
    <col min="1280" max="1280" width="26.7109375" style="4" bestFit="1" customWidth="1"/>
    <col min="1281" max="1281" width="22.7109375" style="4" bestFit="1" customWidth="1"/>
    <col min="1282" max="1282" width="32.5703125" style="4" customWidth="1"/>
    <col min="1283" max="1283" width="57.28515625" style="4" customWidth="1"/>
    <col min="1284" max="1284" width="15.5703125" style="4" customWidth="1"/>
    <col min="1285" max="1285" width="16.7109375" style="4" customWidth="1"/>
    <col min="1286" max="1534" width="9.140625" style="4"/>
    <col min="1535" max="1535" width="4" style="4" bestFit="1" customWidth="1"/>
    <col min="1536" max="1536" width="26.7109375" style="4" bestFit="1" customWidth="1"/>
    <col min="1537" max="1537" width="22.7109375" style="4" bestFit="1" customWidth="1"/>
    <col min="1538" max="1538" width="32.5703125" style="4" customWidth="1"/>
    <col min="1539" max="1539" width="57.28515625" style="4" customWidth="1"/>
    <col min="1540" max="1540" width="15.5703125" style="4" customWidth="1"/>
    <col min="1541" max="1541" width="16.7109375" style="4" customWidth="1"/>
    <col min="1542" max="1790" width="9.140625" style="4"/>
    <col min="1791" max="1791" width="4" style="4" bestFit="1" customWidth="1"/>
    <col min="1792" max="1792" width="26.7109375" style="4" bestFit="1" customWidth="1"/>
    <col min="1793" max="1793" width="22.7109375" style="4" bestFit="1" customWidth="1"/>
    <col min="1794" max="1794" width="32.5703125" style="4" customWidth="1"/>
    <col min="1795" max="1795" width="57.28515625" style="4" customWidth="1"/>
    <col min="1796" max="1796" width="15.5703125" style="4" customWidth="1"/>
    <col min="1797" max="1797" width="16.7109375" style="4" customWidth="1"/>
    <col min="1798" max="2046" width="9.140625" style="4"/>
    <col min="2047" max="2047" width="4" style="4" bestFit="1" customWidth="1"/>
    <col min="2048" max="2048" width="26.7109375" style="4" bestFit="1" customWidth="1"/>
    <col min="2049" max="2049" width="22.7109375" style="4" bestFit="1" customWidth="1"/>
    <col min="2050" max="2050" width="32.5703125" style="4" customWidth="1"/>
    <col min="2051" max="2051" width="57.28515625" style="4" customWidth="1"/>
    <col min="2052" max="2052" width="15.5703125" style="4" customWidth="1"/>
    <col min="2053" max="2053" width="16.7109375" style="4" customWidth="1"/>
    <col min="2054" max="2302" width="9.140625" style="4"/>
    <col min="2303" max="2303" width="4" style="4" bestFit="1" customWidth="1"/>
    <col min="2304" max="2304" width="26.7109375" style="4" bestFit="1" customWidth="1"/>
    <col min="2305" max="2305" width="22.7109375" style="4" bestFit="1" customWidth="1"/>
    <col min="2306" max="2306" width="32.5703125" style="4" customWidth="1"/>
    <col min="2307" max="2307" width="57.28515625" style="4" customWidth="1"/>
    <col min="2308" max="2308" width="15.5703125" style="4" customWidth="1"/>
    <col min="2309" max="2309" width="16.7109375" style="4" customWidth="1"/>
    <col min="2310" max="2558" width="9.140625" style="4"/>
    <col min="2559" max="2559" width="4" style="4" bestFit="1" customWidth="1"/>
    <col min="2560" max="2560" width="26.7109375" style="4" bestFit="1" customWidth="1"/>
    <col min="2561" max="2561" width="22.7109375" style="4" bestFit="1" customWidth="1"/>
    <col min="2562" max="2562" width="32.5703125" style="4" customWidth="1"/>
    <col min="2563" max="2563" width="57.28515625" style="4" customWidth="1"/>
    <col min="2564" max="2564" width="15.5703125" style="4" customWidth="1"/>
    <col min="2565" max="2565" width="16.7109375" style="4" customWidth="1"/>
    <col min="2566" max="2814" width="9.140625" style="4"/>
    <col min="2815" max="2815" width="4" style="4" bestFit="1" customWidth="1"/>
    <col min="2816" max="2816" width="26.7109375" style="4" bestFit="1" customWidth="1"/>
    <col min="2817" max="2817" width="22.7109375" style="4" bestFit="1" customWidth="1"/>
    <col min="2818" max="2818" width="32.5703125" style="4" customWidth="1"/>
    <col min="2819" max="2819" width="57.28515625" style="4" customWidth="1"/>
    <col min="2820" max="2820" width="15.5703125" style="4" customWidth="1"/>
    <col min="2821" max="2821" width="16.7109375" style="4" customWidth="1"/>
    <col min="2822" max="3070" width="9.140625" style="4"/>
    <col min="3071" max="3071" width="4" style="4" bestFit="1" customWidth="1"/>
    <col min="3072" max="3072" width="26.7109375" style="4" bestFit="1" customWidth="1"/>
    <col min="3073" max="3073" width="22.7109375" style="4" bestFit="1" customWidth="1"/>
    <col min="3074" max="3074" width="32.5703125" style="4" customWidth="1"/>
    <col min="3075" max="3075" width="57.28515625" style="4" customWidth="1"/>
    <col min="3076" max="3076" width="15.5703125" style="4" customWidth="1"/>
    <col min="3077" max="3077" width="16.7109375" style="4" customWidth="1"/>
    <col min="3078" max="3326" width="9.140625" style="4"/>
    <col min="3327" max="3327" width="4" style="4" bestFit="1" customWidth="1"/>
    <col min="3328" max="3328" width="26.7109375" style="4" bestFit="1" customWidth="1"/>
    <col min="3329" max="3329" width="22.7109375" style="4" bestFit="1" customWidth="1"/>
    <col min="3330" max="3330" width="32.5703125" style="4" customWidth="1"/>
    <col min="3331" max="3331" width="57.28515625" style="4" customWidth="1"/>
    <col min="3332" max="3332" width="15.5703125" style="4" customWidth="1"/>
    <col min="3333" max="3333" width="16.7109375" style="4" customWidth="1"/>
    <col min="3334" max="3582" width="9.140625" style="4"/>
    <col min="3583" max="3583" width="4" style="4" bestFit="1" customWidth="1"/>
    <col min="3584" max="3584" width="26.7109375" style="4" bestFit="1" customWidth="1"/>
    <col min="3585" max="3585" width="22.7109375" style="4" bestFit="1" customWidth="1"/>
    <col min="3586" max="3586" width="32.5703125" style="4" customWidth="1"/>
    <col min="3587" max="3587" width="57.28515625" style="4" customWidth="1"/>
    <col min="3588" max="3588" width="15.5703125" style="4" customWidth="1"/>
    <col min="3589" max="3589" width="16.7109375" style="4" customWidth="1"/>
    <col min="3590" max="3838" width="9.140625" style="4"/>
    <col min="3839" max="3839" width="4" style="4" bestFit="1" customWidth="1"/>
    <col min="3840" max="3840" width="26.7109375" style="4" bestFit="1" customWidth="1"/>
    <col min="3841" max="3841" width="22.7109375" style="4" bestFit="1" customWidth="1"/>
    <col min="3842" max="3842" width="32.5703125" style="4" customWidth="1"/>
    <col min="3843" max="3843" width="57.28515625" style="4" customWidth="1"/>
    <col min="3844" max="3844" width="15.5703125" style="4" customWidth="1"/>
    <col min="3845" max="3845" width="16.7109375" style="4" customWidth="1"/>
    <col min="3846" max="4094" width="9.140625" style="4"/>
    <col min="4095" max="4095" width="4" style="4" bestFit="1" customWidth="1"/>
    <col min="4096" max="4096" width="26.7109375" style="4" bestFit="1" customWidth="1"/>
    <col min="4097" max="4097" width="22.7109375" style="4" bestFit="1" customWidth="1"/>
    <col min="4098" max="4098" width="32.5703125" style="4" customWidth="1"/>
    <col min="4099" max="4099" width="57.28515625" style="4" customWidth="1"/>
    <col min="4100" max="4100" width="15.5703125" style="4" customWidth="1"/>
    <col min="4101" max="4101" width="16.7109375" style="4" customWidth="1"/>
    <col min="4102" max="4350" width="9.140625" style="4"/>
    <col min="4351" max="4351" width="4" style="4" bestFit="1" customWidth="1"/>
    <col min="4352" max="4352" width="26.7109375" style="4" bestFit="1" customWidth="1"/>
    <col min="4353" max="4353" width="22.7109375" style="4" bestFit="1" customWidth="1"/>
    <col min="4354" max="4354" width="32.5703125" style="4" customWidth="1"/>
    <col min="4355" max="4355" width="57.28515625" style="4" customWidth="1"/>
    <col min="4356" max="4356" width="15.5703125" style="4" customWidth="1"/>
    <col min="4357" max="4357" width="16.7109375" style="4" customWidth="1"/>
    <col min="4358" max="4606" width="9.140625" style="4"/>
    <col min="4607" max="4607" width="4" style="4" bestFit="1" customWidth="1"/>
    <col min="4608" max="4608" width="26.7109375" style="4" bestFit="1" customWidth="1"/>
    <col min="4609" max="4609" width="22.7109375" style="4" bestFit="1" customWidth="1"/>
    <col min="4610" max="4610" width="32.5703125" style="4" customWidth="1"/>
    <col min="4611" max="4611" width="57.28515625" style="4" customWidth="1"/>
    <col min="4612" max="4612" width="15.5703125" style="4" customWidth="1"/>
    <col min="4613" max="4613" width="16.7109375" style="4" customWidth="1"/>
    <col min="4614" max="4862" width="9.140625" style="4"/>
    <col min="4863" max="4863" width="4" style="4" bestFit="1" customWidth="1"/>
    <col min="4864" max="4864" width="26.7109375" style="4" bestFit="1" customWidth="1"/>
    <col min="4865" max="4865" width="22.7109375" style="4" bestFit="1" customWidth="1"/>
    <col min="4866" max="4866" width="32.5703125" style="4" customWidth="1"/>
    <col min="4867" max="4867" width="57.28515625" style="4" customWidth="1"/>
    <col min="4868" max="4868" width="15.5703125" style="4" customWidth="1"/>
    <col min="4869" max="4869" width="16.7109375" style="4" customWidth="1"/>
    <col min="4870" max="5118" width="9.140625" style="4"/>
    <col min="5119" max="5119" width="4" style="4" bestFit="1" customWidth="1"/>
    <col min="5120" max="5120" width="26.7109375" style="4" bestFit="1" customWidth="1"/>
    <col min="5121" max="5121" width="22.7109375" style="4" bestFit="1" customWidth="1"/>
    <col min="5122" max="5122" width="32.5703125" style="4" customWidth="1"/>
    <col min="5123" max="5123" width="57.28515625" style="4" customWidth="1"/>
    <col min="5124" max="5124" width="15.5703125" style="4" customWidth="1"/>
    <col min="5125" max="5125" width="16.7109375" style="4" customWidth="1"/>
    <col min="5126" max="5374" width="9.140625" style="4"/>
    <col min="5375" max="5375" width="4" style="4" bestFit="1" customWidth="1"/>
    <col min="5376" max="5376" width="26.7109375" style="4" bestFit="1" customWidth="1"/>
    <col min="5377" max="5377" width="22.7109375" style="4" bestFit="1" customWidth="1"/>
    <col min="5378" max="5378" width="32.5703125" style="4" customWidth="1"/>
    <col min="5379" max="5379" width="57.28515625" style="4" customWidth="1"/>
    <col min="5380" max="5380" width="15.5703125" style="4" customWidth="1"/>
    <col min="5381" max="5381" width="16.7109375" style="4" customWidth="1"/>
    <col min="5382" max="5630" width="9.140625" style="4"/>
    <col min="5631" max="5631" width="4" style="4" bestFit="1" customWidth="1"/>
    <col min="5632" max="5632" width="26.7109375" style="4" bestFit="1" customWidth="1"/>
    <col min="5633" max="5633" width="22.7109375" style="4" bestFit="1" customWidth="1"/>
    <col min="5634" max="5634" width="32.5703125" style="4" customWidth="1"/>
    <col min="5635" max="5635" width="57.28515625" style="4" customWidth="1"/>
    <col min="5636" max="5636" width="15.5703125" style="4" customWidth="1"/>
    <col min="5637" max="5637" width="16.7109375" style="4" customWidth="1"/>
    <col min="5638" max="5886" width="9.140625" style="4"/>
    <col min="5887" max="5887" width="4" style="4" bestFit="1" customWidth="1"/>
    <col min="5888" max="5888" width="26.7109375" style="4" bestFit="1" customWidth="1"/>
    <col min="5889" max="5889" width="22.7109375" style="4" bestFit="1" customWidth="1"/>
    <col min="5890" max="5890" width="32.5703125" style="4" customWidth="1"/>
    <col min="5891" max="5891" width="57.28515625" style="4" customWidth="1"/>
    <col min="5892" max="5892" width="15.5703125" style="4" customWidth="1"/>
    <col min="5893" max="5893" width="16.7109375" style="4" customWidth="1"/>
    <col min="5894" max="6142" width="9.140625" style="4"/>
    <col min="6143" max="6143" width="4" style="4" bestFit="1" customWidth="1"/>
    <col min="6144" max="6144" width="26.7109375" style="4" bestFit="1" customWidth="1"/>
    <col min="6145" max="6145" width="22.7109375" style="4" bestFit="1" customWidth="1"/>
    <col min="6146" max="6146" width="32.5703125" style="4" customWidth="1"/>
    <col min="6147" max="6147" width="57.28515625" style="4" customWidth="1"/>
    <col min="6148" max="6148" width="15.5703125" style="4" customWidth="1"/>
    <col min="6149" max="6149" width="16.7109375" style="4" customWidth="1"/>
    <col min="6150" max="6398" width="9.140625" style="4"/>
    <col min="6399" max="6399" width="4" style="4" bestFit="1" customWidth="1"/>
    <col min="6400" max="6400" width="26.7109375" style="4" bestFit="1" customWidth="1"/>
    <col min="6401" max="6401" width="22.7109375" style="4" bestFit="1" customWidth="1"/>
    <col min="6402" max="6402" width="32.5703125" style="4" customWidth="1"/>
    <col min="6403" max="6403" width="57.28515625" style="4" customWidth="1"/>
    <col min="6404" max="6404" width="15.5703125" style="4" customWidth="1"/>
    <col min="6405" max="6405" width="16.7109375" style="4" customWidth="1"/>
    <col min="6406" max="6654" width="9.140625" style="4"/>
    <col min="6655" max="6655" width="4" style="4" bestFit="1" customWidth="1"/>
    <col min="6656" max="6656" width="26.7109375" style="4" bestFit="1" customWidth="1"/>
    <col min="6657" max="6657" width="22.7109375" style="4" bestFit="1" customWidth="1"/>
    <col min="6658" max="6658" width="32.5703125" style="4" customWidth="1"/>
    <col min="6659" max="6659" width="57.28515625" style="4" customWidth="1"/>
    <col min="6660" max="6660" width="15.5703125" style="4" customWidth="1"/>
    <col min="6661" max="6661" width="16.7109375" style="4" customWidth="1"/>
    <col min="6662" max="6910" width="9.140625" style="4"/>
    <col min="6911" max="6911" width="4" style="4" bestFit="1" customWidth="1"/>
    <col min="6912" max="6912" width="26.7109375" style="4" bestFit="1" customWidth="1"/>
    <col min="6913" max="6913" width="22.7109375" style="4" bestFit="1" customWidth="1"/>
    <col min="6914" max="6914" width="32.5703125" style="4" customWidth="1"/>
    <col min="6915" max="6915" width="57.28515625" style="4" customWidth="1"/>
    <col min="6916" max="6916" width="15.5703125" style="4" customWidth="1"/>
    <col min="6917" max="6917" width="16.7109375" style="4" customWidth="1"/>
    <col min="6918" max="7166" width="9.140625" style="4"/>
    <col min="7167" max="7167" width="4" style="4" bestFit="1" customWidth="1"/>
    <col min="7168" max="7168" width="26.7109375" style="4" bestFit="1" customWidth="1"/>
    <col min="7169" max="7169" width="22.7109375" style="4" bestFit="1" customWidth="1"/>
    <col min="7170" max="7170" width="32.5703125" style="4" customWidth="1"/>
    <col min="7171" max="7171" width="57.28515625" style="4" customWidth="1"/>
    <col min="7172" max="7172" width="15.5703125" style="4" customWidth="1"/>
    <col min="7173" max="7173" width="16.7109375" style="4" customWidth="1"/>
    <col min="7174" max="7422" width="9.140625" style="4"/>
    <col min="7423" max="7423" width="4" style="4" bestFit="1" customWidth="1"/>
    <col min="7424" max="7424" width="26.7109375" style="4" bestFit="1" customWidth="1"/>
    <col min="7425" max="7425" width="22.7109375" style="4" bestFit="1" customWidth="1"/>
    <col min="7426" max="7426" width="32.5703125" style="4" customWidth="1"/>
    <col min="7427" max="7427" width="57.28515625" style="4" customWidth="1"/>
    <col min="7428" max="7428" width="15.5703125" style="4" customWidth="1"/>
    <col min="7429" max="7429" width="16.7109375" style="4" customWidth="1"/>
    <col min="7430" max="7678" width="9.140625" style="4"/>
    <col min="7679" max="7679" width="4" style="4" bestFit="1" customWidth="1"/>
    <col min="7680" max="7680" width="26.7109375" style="4" bestFit="1" customWidth="1"/>
    <col min="7681" max="7681" width="22.7109375" style="4" bestFit="1" customWidth="1"/>
    <col min="7682" max="7682" width="32.5703125" style="4" customWidth="1"/>
    <col min="7683" max="7683" width="57.28515625" style="4" customWidth="1"/>
    <col min="7684" max="7684" width="15.5703125" style="4" customWidth="1"/>
    <col min="7685" max="7685" width="16.7109375" style="4" customWidth="1"/>
    <col min="7686" max="7934" width="9.140625" style="4"/>
    <col min="7935" max="7935" width="4" style="4" bestFit="1" customWidth="1"/>
    <col min="7936" max="7936" width="26.7109375" style="4" bestFit="1" customWidth="1"/>
    <col min="7937" max="7937" width="22.7109375" style="4" bestFit="1" customWidth="1"/>
    <col min="7938" max="7938" width="32.5703125" style="4" customWidth="1"/>
    <col min="7939" max="7939" width="57.28515625" style="4" customWidth="1"/>
    <col min="7940" max="7940" width="15.5703125" style="4" customWidth="1"/>
    <col min="7941" max="7941" width="16.7109375" style="4" customWidth="1"/>
    <col min="7942" max="8190" width="9.140625" style="4"/>
    <col min="8191" max="8191" width="4" style="4" bestFit="1" customWidth="1"/>
    <col min="8192" max="8192" width="26.7109375" style="4" bestFit="1" customWidth="1"/>
    <col min="8193" max="8193" width="22.7109375" style="4" bestFit="1" customWidth="1"/>
    <col min="8194" max="8194" width="32.5703125" style="4" customWidth="1"/>
    <col min="8195" max="8195" width="57.28515625" style="4" customWidth="1"/>
    <col min="8196" max="8196" width="15.5703125" style="4" customWidth="1"/>
    <col min="8197" max="8197" width="16.7109375" style="4" customWidth="1"/>
    <col min="8198" max="8446" width="9.140625" style="4"/>
    <col min="8447" max="8447" width="4" style="4" bestFit="1" customWidth="1"/>
    <col min="8448" max="8448" width="26.7109375" style="4" bestFit="1" customWidth="1"/>
    <col min="8449" max="8449" width="22.7109375" style="4" bestFit="1" customWidth="1"/>
    <col min="8450" max="8450" width="32.5703125" style="4" customWidth="1"/>
    <col min="8451" max="8451" width="57.28515625" style="4" customWidth="1"/>
    <col min="8452" max="8452" width="15.5703125" style="4" customWidth="1"/>
    <col min="8453" max="8453" width="16.7109375" style="4" customWidth="1"/>
    <col min="8454" max="8702" width="9.140625" style="4"/>
    <col min="8703" max="8703" width="4" style="4" bestFit="1" customWidth="1"/>
    <col min="8704" max="8704" width="26.7109375" style="4" bestFit="1" customWidth="1"/>
    <col min="8705" max="8705" width="22.7109375" style="4" bestFit="1" customWidth="1"/>
    <col min="8706" max="8706" width="32.5703125" style="4" customWidth="1"/>
    <col min="8707" max="8707" width="57.28515625" style="4" customWidth="1"/>
    <col min="8708" max="8708" width="15.5703125" style="4" customWidth="1"/>
    <col min="8709" max="8709" width="16.7109375" style="4" customWidth="1"/>
    <col min="8710" max="8958" width="9.140625" style="4"/>
    <col min="8959" max="8959" width="4" style="4" bestFit="1" customWidth="1"/>
    <col min="8960" max="8960" width="26.7109375" style="4" bestFit="1" customWidth="1"/>
    <col min="8961" max="8961" width="22.7109375" style="4" bestFit="1" customWidth="1"/>
    <col min="8962" max="8962" width="32.5703125" style="4" customWidth="1"/>
    <col min="8963" max="8963" width="57.28515625" style="4" customWidth="1"/>
    <col min="8964" max="8964" width="15.5703125" style="4" customWidth="1"/>
    <col min="8965" max="8965" width="16.7109375" style="4" customWidth="1"/>
    <col min="8966" max="9214" width="9.140625" style="4"/>
    <col min="9215" max="9215" width="4" style="4" bestFit="1" customWidth="1"/>
    <col min="9216" max="9216" width="26.7109375" style="4" bestFit="1" customWidth="1"/>
    <col min="9217" max="9217" width="22.7109375" style="4" bestFit="1" customWidth="1"/>
    <col min="9218" max="9218" width="32.5703125" style="4" customWidth="1"/>
    <col min="9219" max="9219" width="57.28515625" style="4" customWidth="1"/>
    <col min="9220" max="9220" width="15.5703125" style="4" customWidth="1"/>
    <col min="9221" max="9221" width="16.7109375" style="4" customWidth="1"/>
    <col min="9222" max="9470" width="9.140625" style="4"/>
    <col min="9471" max="9471" width="4" style="4" bestFit="1" customWidth="1"/>
    <col min="9472" max="9472" width="26.7109375" style="4" bestFit="1" customWidth="1"/>
    <col min="9473" max="9473" width="22.7109375" style="4" bestFit="1" customWidth="1"/>
    <col min="9474" max="9474" width="32.5703125" style="4" customWidth="1"/>
    <col min="9475" max="9475" width="57.28515625" style="4" customWidth="1"/>
    <col min="9476" max="9476" width="15.5703125" style="4" customWidth="1"/>
    <col min="9477" max="9477" width="16.7109375" style="4" customWidth="1"/>
    <col min="9478" max="9726" width="9.140625" style="4"/>
    <col min="9727" max="9727" width="4" style="4" bestFit="1" customWidth="1"/>
    <col min="9728" max="9728" width="26.7109375" style="4" bestFit="1" customWidth="1"/>
    <col min="9729" max="9729" width="22.7109375" style="4" bestFit="1" customWidth="1"/>
    <col min="9730" max="9730" width="32.5703125" style="4" customWidth="1"/>
    <col min="9731" max="9731" width="57.28515625" style="4" customWidth="1"/>
    <col min="9732" max="9732" width="15.5703125" style="4" customWidth="1"/>
    <col min="9733" max="9733" width="16.7109375" style="4" customWidth="1"/>
    <col min="9734" max="9982" width="9.140625" style="4"/>
    <col min="9983" max="9983" width="4" style="4" bestFit="1" customWidth="1"/>
    <col min="9984" max="9984" width="26.7109375" style="4" bestFit="1" customWidth="1"/>
    <col min="9985" max="9985" width="22.7109375" style="4" bestFit="1" customWidth="1"/>
    <col min="9986" max="9986" width="32.5703125" style="4" customWidth="1"/>
    <col min="9987" max="9987" width="57.28515625" style="4" customWidth="1"/>
    <col min="9988" max="9988" width="15.5703125" style="4" customWidth="1"/>
    <col min="9989" max="9989" width="16.7109375" style="4" customWidth="1"/>
    <col min="9990" max="10238" width="9.140625" style="4"/>
    <col min="10239" max="10239" width="4" style="4" bestFit="1" customWidth="1"/>
    <col min="10240" max="10240" width="26.7109375" style="4" bestFit="1" customWidth="1"/>
    <col min="10241" max="10241" width="22.7109375" style="4" bestFit="1" customWidth="1"/>
    <col min="10242" max="10242" width="32.5703125" style="4" customWidth="1"/>
    <col min="10243" max="10243" width="57.28515625" style="4" customWidth="1"/>
    <col min="10244" max="10244" width="15.5703125" style="4" customWidth="1"/>
    <col min="10245" max="10245" width="16.7109375" style="4" customWidth="1"/>
    <col min="10246" max="10494" width="9.140625" style="4"/>
    <col min="10495" max="10495" width="4" style="4" bestFit="1" customWidth="1"/>
    <col min="10496" max="10496" width="26.7109375" style="4" bestFit="1" customWidth="1"/>
    <col min="10497" max="10497" width="22.7109375" style="4" bestFit="1" customWidth="1"/>
    <col min="10498" max="10498" width="32.5703125" style="4" customWidth="1"/>
    <col min="10499" max="10499" width="57.28515625" style="4" customWidth="1"/>
    <col min="10500" max="10500" width="15.5703125" style="4" customWidth="1"/>
    <col min="10501" max="10501" width="16.7109375" style="4" customWidth="1"/>
    <col min="10502" max="10750" width="9.140625" style="4"/>
    <col min="10751" max="10751" width="4" style="4" bestFit="1" customWidth="1"/>
    <col min="10752" max="10752" width="26.7109375" style="4" bestFit="1" customWidth="1"/>
    <col min="10753" max="10753" width="22.7109375" style="4" bestFit="1" customWidth="1"/>
    <col min="10754" max="10754" width="32.5703125" style="4" customWidth="1"/>
    <col min="10755" max="10755" width="57.28515625" style="4" customWidth="1"/>
    <col min="10756" max="10756" width="15.5703125" style="4" customWidth="1"/>
    <col min="10757" max="10757" width="16.7109375" style="4" customWidth="1"/>
    <col min="10758" max="11006" width="9.140625" style="4"/>
    <col min="11007" max="11007" width="4" style="4" bestFit="1" customWidth="1"/>
    <col min="11008" max="11008" width="26.7109375" style="4" bestFit="1" customWidth="1"/>
    <col min="11009" max="11009" width="22.7109375" style="4" bestFit="1" customWidth="1"/>
    <col min="11010" max="11010" width="32.5703125" style="4" customWidth="1"/>
    <col min="11011" max="11011" width="57.28515625" style="4" customWidth="1"/>
    <col min="11012" max="11012" width="15.5703125" style="4" customWidth="1"/>
    <col min="11013" max="11013" width="16.7109375" style="4" customWidth="1"/>
    <col min="11014" max="11262" width="9.140625" style="4"/>
    <col min="11263" max="11263" width="4" style="4" bestFit="1" customWidth="1"/>
    <col min="11264" max="11264" width="26.7109375" style="4" bestFit="1" customWidth="1"/>
    <col min="11265" max="11265" width="22.7109375" style="4" bestFit="1" customWidth="1"/>
    <col min="11266" max="11266" width="32.5703125" style="4" customWidth="1"/>
    <col min="11267" max="11267" width="57.28515625" style="4" customWidth="1"/>
    <col min="11268" max="11268" width="15.5703125" style="4" customWidth="1"/>
    <col min="11269" max="11269" width="16.7109375" style="4" customWidth="1"/>
    <col min="11270" max="11518" width="9.140625" style="4"/>
    <col min="11519" max="11519" width="4" style="4" bestFit="1" customWidth="1"/>
    <col min="11520" max="11520" width="26.7109375" style="4" bestFit="1" customWidth="1"/>
    <col min="11521" max="11521" width="22.7109375" style="4" bestFit="1" customWidth="1"/>
    <col min="11522" max="11522" width="32.5703125" style="4" customWidth="1"/>
    <col min="11523" max="11523" width="57.28515625" style="4" customWidth="1"/>
    <col min="11524" max="11524" width="15.5703125" style="4" customWidth="1"/>
    <col min="11525" max="11525" width="16.7109375" style="4" customWidth="1"/>
    <col min="11526" max="11774" width="9.140625" style="4"/>
    <col min="11775" max="11775" width="4" style="4" bestFit="1" customWidth="1"/>
    <col min="11776" max="11776" width="26.7109375" style="4" bestFit="1" customWidth="1"/>
    <col min="11777" max="11777" width="22.7109375" style="4" bestFit="1" customWidth="1"/>
    <col min="11778" max="11778" width="32.5703125" style="4" customWidth="1"/>
    <col min="11779" max="11779" width="57.28515625" style="4" customWidth="1"/>
    <col min="11780" max="11780" width="15.5703125" style="4" customWidth="1"/>
    <col min="11781" max="11781" width="16.7109375" style="4" customWidth="1"/>
    <col min="11782" max="12030" width="9.140625" style="4"/>
    <col min="12031" max="12031" width="4" style="4" bestFit="1" customWidth="1"/>
    <col min="12032" max="12032" width="26.7109375" style="4" bestFit="1" customWidth="1"/>
    <col min="12033" max="12033" width="22.7109375" style="4" bestFit="1" customWidth="1"/>
    <col min="12034" max="12034" width="32.5703125" style="4" customWidth="1"/>
    <col min="12035" max="12035" width="57.28515625" style="4" customWidth="1"/>
    <col min="12036" max="12036" width="15.5703125" style="4" customWidth="1"/>
    <col min="12037" max="12037" width="16.7109375" style="4" customWidth="1"/>
    <col min="12038" max="12286" width="9.140625" style="4"/>
    <col min="12287" max="12287" width="4" style="4" bestFit="1" customWidth="1"/>
    <col min="12288" max="12288" width="26.7109375" style="4" bestFit="1" customWidth="1"/>
    <col min="12289" max="12289" width="22.7109375" style="4" bestFit="1" customWidth="1"/>
    <col min="12290" max="12290" width="32.5703125" style="4" customWidth="1"/>
    <col min="12291" max="12291" width="57.28515625" style="4" customWidth="1"/>
    <col min="12292" max="12292" width="15.5703125" style="4" customWidth="1"/>
    <col min="12293" max="12293" width="16.7109375" style="4" customWidth="1"/>
    <col min="12294" max="12542" width="9.140625" style="4"/>
    <col min="12543" max="12543" width="4" style="4" bestFit="1" customWidth="1"/>
    <col min="12544" max="12544" width="26.7109375" style="4" bestFit="1" customWidth="1"/>
    <col min="12545" max="12545" width="22.7109375" style="4" bestFit="1" customWidth="1"/>
    <col min="12546" max="12546" width="32.5703125" style="4" customWidth="1"/>
    <col min="12547" max="12547" width="57.28515625" style="4" customWidth="1"/>
    <col min="12548" max="12548" width="15.5703125" style="4" customWidth="1"/>
    <col min="12549" max="12549" width="16.7109375" style="4" customWidth="1"/>
    <col min="12550" max="12798" width="9.140625" style="4"/>
    <col min="12799" max="12799" width="4" style="4" bestFit="1" customWidth="1"/>
    <col min="12800" max="12800" width="26.7109375" style="4" bestFit="1" customWidth="1"/>
    <col min="12801" max="12801" width="22.7109375" style="4" bestFit="1" customWidth="1"/>
    <col min="12802" max="12802" width="32.5703125" style="4" customWidth="1"/>
    <col min="12803" max="12803" width="57.28515625" style="4" customWidth="1"/>
    <col min="12804" max="12804" width="15.5703125" style="4" customWidth="1"/>
    <col min="12805" max="12805" width="16.7109375" style="4" customWidth="1"/>
    <col min="12806" max="13054" width="9.140625" style="4"/>
    <col min="13055" max="13055" width="4" style="4" bestFit="1" customWidth="1"/>
    <col min="13056" max="13056" width="26.7109375" style="4" bestFit="1" customWidth="1"/>
    <col min="13057" max="13057" width="22.7109375" style="4" bestFit="1" customWidth="1"/>
    <col min="13058" max="13058" width="32.5703125" style="4" customWidth="1"/>
    <col min="13059" max="13059" width="57.28515625" style="4" customWidth="1"/>
    <col min="13060" max="13060" width="15.5703125" style="4" customWidth="1"/>
    <col min="13061" max="13061" width="16.7109375" style="4" customWidth="1"/>
    <col min="13062" max="13310" width="9.140625" style="4"/>
    <col min="13311" max="13311" width="4" style="4" bestFit="1" customWidth="1"/>
    <col min="13312" max="13312" width="26.7109375" style="4" bestFit="1" customWidth="1"/>
    <col min="13313" max="13313" width="22.7109375" style="4" bestFit="1" customWidth="1"/>
    <col min="13314" max="13314" width="32.5703125" style="4" customWidth="1"/>
    <col min="13315" max="13315" width="57.28515625" style="4" customWidth="1"/>
    <col min="13316" max="13316" width="15.5703125" style="4" customWidth="1"/>
    <col min="13317" max="13317" width="16.7109375" style="4" customWidth="1"/>
    <col min="13318" max="13566" width="9.140625" style="4"/>
    <col min="13567" max="13567" width="4" style="4" bestFit="1" customWidth="1"/>
    <col min="13568" max="13568" width="26.7109375" style="4" bestFit="1" customWidth="1"/>
    <col min="13569" max="13569" width="22.7109375" style="4" bestFit="1" customWidth="1"/>
    <col min="13570" max="13570" width="32.5703125" style="4" customWidth="1"/>
    <col min="13571" max="13571" width="57.28515625" style="4" customWidth="1"/>
    <col min="13572" max="13572" width="15.5703125" style="4" customWidth="1"/>
    <col min="13573" max="13573" width="16.7109375" style="4" customWidth="1"/>
    <col min="13574" max="13822" width="9.140625" style="4"/>
    <col min="13823" max="13823" width="4" style="4" bestFit="1" customWidth="1"/>
    <col min="13824" max="13824" width="26.7109375" style="4" bestFit="1" customWidth="1"/>
    <col min="13825" max="13825" width="22.7109375" style="4" bestFit="1" customWidth="1"/>
    <col min="13826" max="13826" width="32.5703125" style="4" customWidth="1"/>
    <col min="13827" max="13827" width="57.28515625" style="4" customWidth="1"/>
    <col min="13828" max="13828" width="15.5703125" style="4" customWidth="1"/>
    <col min="13829" max="13829" width="16.7109375" style="4" customWidth="1"/>
    <col min="13830" max="14078" width="9.140625" style="4"/>
    <col min="14079" max="14079" width="4" style="4" bestFit="1" customWidth="1"/>
    <col min="14080" max="14080" width="26.7109375" style="4" bestFit="1" customWidth="1"/>
    <col min="14081" max="14081" width="22.7109375" style="4" bestFit="1" customWidth="1"/>
    <col min="14082" max="14082" width="32.5703125" style="4" customWidth="1"/>
    <col min="14083" max="14083" width="57.28515625" style="4" customWidth="1"/>
    <col min="14084" max="14084" width="15.5703125" style="4" customWidth="1"/>
    <col min="14085" max="14085" width="16.7109375" style="4" customWidth="1"/>
    <col min="14086" max="14334" width="9.140625" style="4"/>
    <col min="14335" max="14335" width="4" style="4" bestFit="1" customWidth="1"/>
    <col min="14336" max="14336" width="26.7109375" style="4" bestFit="1" customWidth="1"/>
    <col min="14337" max="14337" width="22.7109375" style="4" bestFit="1" customWidth="1"/>
    <col min="14338" max="14338" width="32.5703125" style="4" customWidth="1"/>
    <col min="14339" max="14339" width="57.28515625" style="4" customWidth="1"/>
    <col min="14340" max="14340" width="15.5703125" style="4" customWidth="1"/>
    <col min="14341" max="14341" width="16.7109375" style="4" customWidth="1"/>
    <col min="14342" max="14590" width="9.140625" style="4"/>
    <col min="14591" max="14591" width="4" style="4" bestFit="1" customWidth="1"/>
    <col min="14592" max="14592" width="26.7109375" style="4" bestFit="1" customWidth="1"/>
    <col min="14593" max="14593" width="22.7109375" style="4" bestFit="1" customWidth="1"/>
    <col min="14594" max="14594" width="32.5703125" style="4" customWidth="1"/>
    <col min="14595" max="14595" width="57.28515625" style="4" customWidth="1"/>
    <col min="14596" max="14596" width="15.5703125" style="4" customWidth="1"/>
    <col min="14597" max="14597" width="16.7109375" style="4" customWidth="1"/>
    <col min="14598" max="14846" width="9.140625" style="4"/>
    <col min="14847" max="14847" width="4" style="4" bestFit="1" customWidth="1"/>
    <col min="14848" max="14848" width="26.7109375" style="4" bestFit="1" customWidth="1"/>
    <col min="14849" max="14849" width="22.7109375" style="4" bestFit="1" customWidth="1"/>
    <col min="14850" max="14850" width="32.5703125" style="4" customWidth="1"/>
    <col min="14851" max="14851" width="57.28515625" style="4" customWidth="1"/>
    <col min="14852" max="14852" width="15.5703125" style="4" customWidth="1"/>
    <col min="14853" max="14853" width="16.7109375" style="4" customWidth="1"/>
    <col min="14854" max="15102" width="9.140625" style="4"/>
    <col min="15103" max="15103" width="4" style="4" bestFit="1" customWidth="1"/>
    <col min="15104" max="15104" width="26.7109375" style="4" bestFit="1" customWidth="1"/>
    <col min="15105" max="15105" width="22.7109375" style="4" bestFit="1" customWidth="1"/>
    <col min="15106" max="15106" width="32.5703125" style="4" customWidth="1"/>
    <col min="15107" max="15107" width="57.28515625" style="4" customWidth="1"/>
    <col min="15108" max="15108" width="15.5703125" style="4" customWidth="1"/>
    <col min="15109" max="15109" width="16.7109375" style="4" customWidth="1"/>
    <col min="15110" max="15358" width="9.140625" style="4"/>
    <col min="15359" max="15359" width="4" style="4" bestFit="1" customWidth="1"/>
    <col min="15360" max="15360" width="26.7109375" style="4" bestFit="1" customWidth="1"/>
    <col min="15361" max="15361" width="22.7109375" style="4" bestFit="1" customWidth="1"/>
    <col min="15362" max="15362" width="32.5703125" style="4" customWidth="1"/>
    <col min="15363" max="15363" width="57.28515625" style="4" customWidth="1"/>
    <col min="15364" max="15364" width="15.5703125" style="4" customWidth="1"/>
    <col min="15365" max="15365" width="16.7109375" style="4" customWidth="1"/>
    <col min="15366" max="15614" width="9.140625" style="4"/>
    <col min="15615" max="15615" width="4" style="4" bestFit="1" customWidth="1"/>
    <col min="15616" max="15616" width="26.7109375" style="4" bestFit="1" customWidth="1"/>
    <col min="15617" max="15617" width="22.7109375" style="4" bestFit="1" customWidth="1"/>
    <col min="15618" max="15618" width="32.5703125" style="4" customWidth="1"/>
    <col min="15619" max="15619" width="57.28515625" style="4" customWidth="1"/>
    <col min="15620" max="15620" width="15.5703125" style="4" customWidth="1"/>
    <col min="15621" max="15621" width="16.7109375" style="4" customWidth="1"/>
    <col min="15622" max="15870" width="9.140625" style="4"/>
    <col min="15871" max="15871" width="4" style="4" bestFit="1" customWidth="1"/>
    <col min="15872" max="15872" width="26.7109375" style="4" bestFit="1" customWidth="1"/>
    <col min="15873" max="15873" width="22.7109375" style="4" bestFit="1" customWidth="1"/>
    <col min="15874" max="15874" width="32.5703125" style="4" customWidth="1"/>
    <col min="15875" max="15875" width="57.28515625" style="4" customWidth="1"/>
    <col min="15876" max="15876" width="15.5703125" style="4" customWidth="1"/>
    <col min="15877" max="15877" width="16.7109375" style="4" customWidth="1"/>
    <col min="15878" max="16126" width="9.140625" style="4"/>
    <col min="16127" max="16127" width="4" style="4" bestFit="1" customWidth="1"/>
    <col min="16128" max="16128" width="26.7109375" style="4" bestFit="1" customWidth="1"/>
    <col min="16129" max="16129" width="22.7109375" style="4" bestFit="1" customWidth="1"/>
    <col min="16130" max="16130" width="32.5703125" style="4" customWidth="1"/>
    <col min="16131" max="16131" width="57.28515625" style="4" customWidth="1"/>
    <col min="16132" max="16132" width="15.5703125" style="4" customWidth="1"/>
    <col min="16133" max="16133" width="16.7109375" style="4" customWidth="1"/>
    <col min="16134" max="16384" width="9.140625" style="4"/>
  </cols>
  <sheetData>
    <row r="1" spans="1:8" s="34" customFormat="1" ht="30" customHeight="1" thickTop="1" thickBot="1" x14ac:dyDescent="0.35">
      <c r="A1" s="119" t="s">
        <v>4</v>
      </c>
      <c r="B1" s="140"/>
      <c r="C1" s="141"/>
      <c r="D1" s="144" t="str">
        <f>Copertina!C7</f>
        <v>MEV 19_021 RegInde</v>
      </c>
      <c r="E1" s="144"/>
      <c r="F1" s="144"/>
      <c r="G1" s="144"/>
      <c r="H1" s="4"/>
    </row>
    <row r="2" spans="1:8" s="34" customFormat="1" ht="30" customHeight="1" thickTop="1" thickBot="1" x14ac:dyDescent="0.35">
      <c r="A2" s="119" t="s">
        <v>12</v>
      </c>
      <c r="B2" s="142"/>
      <c r="C2" s="143"/>
      <c r="D2" s="144" t="str">
        <f>Copertina!C3</f>
        <v>SIUT-SIE-CT-1.4-20230110-Allegato_al_piano_test_021_RegInde_SIES.xlsx</v>
      </c>
      <c r="E2" s="144"/>
      <c r="F2" s="144"/>
      <c r="G2" s="144"/>
      <c r="H2" s="35"/>
    </row>
    <row r="3" spans="1:8" ht="30" customHeight="1" thickTop="1" thickBot="1" x14ac:dyDescent="0.35">
      <c r="A3" s="61" t="s">
        <v>8</v>
      </c>
      <c r="B3" s="62" t="s">
        <v>14</v>
      </c>
      <c r="C3" s="62" t="s">
        <v>15</v>
      </c>
      <c r="D3" s="62" t="s">
        <v>16</v>
      </c>
      <c r="E3" s="62" t="s">
        <v>17</v>
      </c>
      <c r="F3" s="62" t="s">
        <v>18</v>
      </c>
      <c r="G3" s="63" t="s">
        <v>19</v>
      </c>
    </row>
    <row r="4" spans="1:8" ht="30" customHeight="1" thickTop="1" x14ac:dyDescent="0.25">
      <c r="A4" s="64" t="s">
        <v>45</v>
      </c>
      <c r="B4" s="65" t="s">
        <v>46</v>
      </c>
      <c r="C4" s="65" t="s">
        <v>47</v>
      </c>
      <c r="D4" s="65" t="s">
        <v>48</v>
      </c>
      <c r="E4" s="65" t="s">
        <v>49</v>
      </c>
      <c r="F4" s="65" t="s">
        <v>50</v>
      </c>
      <c r="G4" s="66"/>
    </row>
    <row r="5" spans="1:8" ht="30" customHeight="1" x14ac:dyDescent="0.25">
      <c r="A5" s="67" t="s">
        <v>51</v>
      </c>
      <c r="B5" s="27" t="s">
        <v>46</v>
      </c>
      <c r="C5" s="27" t="s">
        <v>52</v>
      </c>
      <c r="D5" s="27" t="s">
        <v>53</v>
      </c>
      <c r="E5" s="27" t="s">
        <v>54</v>
      </c>
      <c r="F5" s="27" t="s">
        <v>50</v>
      </c>
      <c r="G5" s="68"/>
    </row>
    <row r="6" spans="1:8" ht="30" customHeight="1" x14ac:dyDescent="0.25">
      <c r="A6" s="67" t="s">
        <v>55</v>
      </c>
      <c r="B6" s="27" t="s">
        <v>46</v>
      </c>
      <c r="C6" s="27" t="s">
        <v>56</v>
      </c>
      <c r="D6" s="27" t="s">
        <v>57</v>
      </c>
      <c r="E6" s="27" t="s">
        <v>58</v>
      </c>
      <c r="F6" s="27" t="s">
        <v>50</v>
      </c>
      <c r="G6" s="68"/>
    </row>
    <row r="7" spans="1:8" ht="30" customHeight="1" x14ac:dyDescent="0.25">
      <c r="A7" s="67" t="s">
        <v>59</v>
      </c>
      <c r="B7" s="27" t="s">
        <v>60</v>
      </c>
      <c r="C7" s="27" t="s">
        <v>61</v>
      </c>
      <c r="D7" s="27" t="s">
        <v>62</v>
      </c>
      <c r="E7" s="27" t="s">
        <v>63</v>
      </c>
      <c r="F7" s="27" t="s">
        <v>50</v>
      </c>
      <c r="G7" s="68"/>
    </row>
    <row r="8" spans="1:8" ht="45" customHeight="1" x14ac:dyDescent="0.25">
      <c r="A8" s="67" t="s">
        <v>64</v>
      </c>
      <c r="B8" s="27" t="s">
        <v>65</v>
      </c>
      <c r="C8" s="27" t="s">
        <v>66</v>
      </c>
      <c r="D8" s="27" t="s">
        <v>67</v>
      </c>
      <c r="E8" s="27" t="s">
        <v>68</v>
      </c>
      <c r="F8" s="27" t="s">
        <v>50</v>
      </c>
      <c r="G8" s="68"/>
    </row>
    <row r="9" spans="1:8" ht="30" customHeight="1" x14ac:dyDescent="0.25">
      <c r="A9" s="67" t="s">
        <v>69</v>
      </c>
      <c r="B9" s="27" t="s">
        <v>65</v>
      </c>
      <c r="C9" s="27" t="s">
        <v>66</v>
      </c>
      <c r="D9" s="27" t="s">
        <v>70</v>
      </c>
      <c r="E9" s="27" t="s">
        <v>71</v>
      </c>
      <c r="F9" s="27" t="s">
        <v>50</v>
      </c>
      <c r="G9" s="68"/>
    </row>
    <row r="10" spans="1:8" ht="30" customHeight="1" x14ac:dyDescent="0.25">
      <c r="A10" s="67" t="s">
        <v>72</v>
      </c>
      <c r="B10" s="27" t="s">
        <v>65</v>
      </c>
      <c r="C10" s="27" t="s">
        <v>66</v>
      </c>
      <c r="D10" s="27" t="s">
        <v>73</v>
      </c>
      <c r="E10" s="27" t="s">
        <v>74</v>
      </c>
      <c r="F10" s="27" t="s">
        <v>50</v>
      </c>
      <c r="G10" s="68"/>
    </row>
    <row r="11" spans="1:8" ht="45" customHeight="1" thickBot="1" x14ac:dyDescent="0.3">
      <c r="A11" s="69" t="s">
        <v>75</v>
      </c>
      <c r="B11" s="70" t="s">
        <v>65</v>
      </c>
      <c r="C11" s="70" t="s">
        <v>76</v>
      </c>
      <c r="D11" s="70" t="s">
        <v>77</v>
      </c>
      <c r="E11" s="70" t="s">
        <v>78</v>
      </c>
      <c r="F11" s="70" t="s">
        <v>50</v>
      </c>
      <c r="G11" s="71"/>
    </row>
    <row r="12" spans="1:8" ht="14.45" thickTop="1" x14ac:dyDescent="0.3"/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0" customWidth="1"/>
    <col min="2" max="2" width="29.85546875" style="10" customWidth="1"/>
    <col min="3" max="3" width="28.140625" style="10" customWidth="1"/>
    <col min="4" max="4" width="27" style="10" customWidth="1"/>
    <col min="5" max="5" width="30.5703125" style="10" customWidth="1"/>
    <col min="6" max="6" width="1.7109375" style="10" customWidth="1"/>
    <col min="7" max="7" width="9.140625" style="19"/>
    <col min="8" max="256" width="9.140625" style="10"/>
    <col min="257" max="257" width="24.140625" style="10" customWidth="1"/>
    <col min="258" max="258" width="29.85546875" style="10" customWidth="1"/>
    <col min="259" max="259" width="28.140625" style="10" customWidth="1"/>
    <col min="260" max="260" width="27" style="10" customWidth="1"/>
    <col min="261" max="261" width="30.5703125" style="10" customWidth="1"/>
    <col min="262" max="262" width="1.7109375" style="10" customWidth="1"/>
    <col min="263" max="512" width="9.140625" style="10"/>
    <col min="513" max="513" width="24.140625" style="10" customWidth="1"/>
    <col min="514" max="514" width="29.85546875" style="10" customWidth="1"/>
    <col min="515" max="515" width="28.140625" style="10" customWidth="1"/>
    <col min="516" max="516" width="27" style="10" customWidth="1"/>
    <col min="517" max="517" width="30.5703125" style="10" customWidth="1"/>
    <col min="518" max="518" width="1.7109375" style="10" customWidth="1"/>
    <col min="519" max="768" width="9.140625" style="10"/>
    <col min="769" max="769" width="24.140625" style="10" customWidth="1"/>
    <col min="770" max="770" width="29.85546875" style="10" customWidth="1"/>
    <col min="771" max="771" width="28.140625" style="10" customWidth="1"/>
    <col min="772" max="772" width="27" style="10" customWidth="1"/>
    <col min="773" max="773" width="30.5703125" style="10" customWidth="1"/>
    <col min="774" max="774" width="1.7109375" style="10" customWidth="1"/>
    <col min="775" max="1024" width="9.140625" style="10"/>
    <col min="1025" max="1025" width="24.140625" style="10" customWidth="1"/>
    <col min="1026" max="1026" width="29.85546875" style="10" customWidth="1"/>
    <col min="1027" max="1027" width="28.140625" style="10" customWidth="1"/>
    <col min="1028" max="1028" width="27" style="10" customWidth="1"/>
    <col min="1029" max="1029" width="30.5703125" style="10" customWidth="1"/>
    <col min="1030" max="1030" width="1.7109375" style="10" customWidth="1"/>
    <col min="1031" max="1280" width="9.140625" style="10"/>
    <col min="1281" max="1281" width="24.140625" style="10" customWidth="1"/>
    <col min="1282" max="1282" width="29.85546875" style="10" customWidth="1"/>
    <col min="1283" max="1283" width="28.140625" style="10" customWidth="1"/>
    <col min="1284" max="1284" width="27" style="10" customWidth="1"/>
    <col min="1285" max="1285" width="30.5703125" style="10" customWidth="1"/>
    <col min="1286" max="1286" width="1.7109375" style="10" customWidth="1"/>
    <col min="1287" max="1536" width="9.140625" style="10"/>
    <col min="1537" max="1537" width="24.140625" style="10" customWidth="1"/>
    <col min="1538" max="1538" width="29.85546875" style="10" customWidth="1"/>
    <col min="1539" max="1539" width="28.140625" style="10" customWidth="1"/>
    <col min="1540" max="1540" width="27" style="10" customWidth="1"/>
    <col min="1541" max="1541" width="30.5703125" style="10" customWidth="1"/>
    <col min="1542" max="1542" width="1.7109375" style="10" customWidth="1"/>
    <col min="1543" max="1792" width="9.140625" style="10"/>
    <col min="1793" max="1793" width="24.140625" style="10" customWidth="1"/>
    <col min="1794" max="1794" width="29.85546875" style="10" customWidth="1"/>
    <col min="1795" max="1795" width="28.140625" style="10" customWidth="1"/>
    <col min="1796" max="1796" width="27" style="10" customWidth="1"/>
    <col min="1797" max="1797" width="30.5703125" style="10" customWidth="1"/>
    <col min="1798" max="1798" width="1.7109375" style="10" customWidth="1"/>
    <col min="1799" max="2048" width="9.140625" style="10"/>
    <col min="2049" max="2049" width="24.140625" style="10" customWidth="1"/>
    <col min="2050" max="2050" width="29.85546875" style="10" customWidth="1"/>
    <col min="2051" max="2051" width="28.140625" style="10" customWidth="1"/>
    <col min="2052" max="2052" width="27" style="10" customWidth="1"/>
    <col min="2053" max="2053" width="30.5703125" style="10" customWidth="1"/>
    <col min="2054" max="2054" width="1.7109375" style="10" customWidth="1"/>
    <col min="2055" max="2304" width="9.140625" style="10"/>
    <col min="2305" max="2305" width="24.140625" style="10" customWidth="1"/>
    <col min="2306" max="2306" width="29.85546875" style="10" customWidth="1"/>
    <col min="2307" max="2307" width="28.140625" style="10" customWidth="1"/>
    <col min="2308" max="2308" width="27" style="10" customWidth="1"/>
    <col min="2309" max="2309" width="30.5703125" style="10" customWidth="1"/>
    <col min="2310" max="2310" width="1.7109375" style="10" customWidth="1"/>
    <col min="2311" max="2560" width="9.140625" style="10"/>
    <col min="2561" max="2561" width="24.140625" style="10" customWidth="1"/>
    <col min="2562" max="2562" width="29.85546875" style="10" customWidth="1"/>
    <col min="2563" max="2563" width="28.140625" style="10" customWidth="1"/>
    <col min="2564" max="2564" width="27" style="10" customWidth="1"/>
    <col min="2565" max="2565" width="30.5703125" style="10" customWidth="1"/>
    <col min="2566" max="2566" width="1.7109375" style="10" customWidth="1"/>
    <col min="2567" max="2816" width="9.140625" style="10"/>
    <col min="2817" max="2817" width="24.140625" style="10" customWidth="1"/>
    <col min="2818" max="2818" width="29.85546875" style="10" customWidth="1"/>
    <col min="2819" max="2819" width="28.140625" style="10" customWidth="1"/>
    <col min="2820" max="2820" width="27" style="10" customWidth="1"/>
    <col min="2821" max="2821" width="30.5703125" style="10" customWidth="1"/>
    <col min="2822" max="2822" width="1.7109375" style="10" customWidth="1"/>
    <col min="2823" max="3072" width="9.140625" style="10"/>
    <col min="3073" max="3073" width="24.140625" style="10" customWidth="1"/>
    <col min="3074" max="3074" width="29.85546875" style="10" customWidth="1"/>
    <col min="3075" max="3075" width="28.140625" style="10" customWidth="1"/>
    <col min="3076" max="3076" width="27" style="10" customWidth="1"/>
    <col min="3077" max="3077" width="30.5703125" style="10" customWidth="1"/>
    <col min="3078" max="3078" width="1.7109375" style="10" customWidth="1"/>
    <col min="3079" max="3328" width="9.140625" style="10"/>
    <col min="3329" max="3329" width="24.140625" style="10" customWidth="1"/>
    <col min="3330" max="3330" width="29.85546875" style="10" customWidth="1"/>
    <col min="3331" max="3331" width="28.140625" style="10" customWidth="1"/>
    <col min="3332" max="3332" width="27" style="10" customWidth="1"/>
    <col min="3333" max="3333" width="30.5703125" style="10" customWidth="1"/>
    <col min="3334" max="3334" width="1.7109375" style="10" customWidth="1"/>
    <col min="3335" max="3584" width="9.140625" style="10"/>
    <col min="3585" max="3585" width="24.140625" style="10" customWidth="1"/>
    <col min="3586" max="3586" width="29.85546875" style="10" customWidth="1"/>
    <col min="3587" max="3587" width="28.140625" style="10" customWidth="1"/>
    <col min="3588" max="3588" width="27" style="10" customWidth="1"/>
    <col min="3589" max="3589" width="30.5703125" style="10" customWidth="1"/>
    <col min="3590" max="3590" width="1.7109375" style="10" customWidth="1"/>
    <col min="3591" max="3840" width="9.140625" style="10"/>
    <col min="3841" max="3841" width="24.140625" style="10" customWidth="1"/>
    <col min="3842" max="3842" width="29.85546875" style="10" customWidth="1"/>
    <col min="3843" max="3843" width="28.140625" style="10" customWidth="1"/>
    <col min="3844" max="3844" width="27" style="10" customWidth="1"/>
    <col min="3845" max="3845" width="30.5703125" style="10" customWidth="1"/>
    <col min="3846" max="3846" width="1.7109375" style="10" customWidth="1"/>
    <col min="3847" max="4096" width="9.140625" style="10"/>
    <col min="4097" max="4097" width="24.140625" style="10" customWidth="1"/>
    <col min="4098" max="4098" width="29.85546875" style="10" customWidth="1"/>
    <col min="4099" max="4099" width="28.140625" style="10" customWidth="1"/>
    <col min="4100" max="4100" width="27" style="10" customWidth="1"/>
    <col min="4101" max="4101" width="30.5703125" style="10" customWidth="1"/>
    <col min="4102" max="4102" width="1.7109375" style="10" customWidth="1"/>
    <col min="4103" max="4352" width="9.140625" style="10"/>
    <col min="4353" max="4353" width="24.140625" style="10" customWidth="1"/>
    <col min="4354" max="4354" width="29.85546875" style="10" customWidth="1"/>
    <col min="4355" max="4355" width="28.140625" style="10" customWidth="1"/>
    <col min="4356" max="4356" width="27" style="10" customWidth="1"/>
    <col min="4357" max="4357" width="30.5703125" style="10" customWidth="1"/>
    <col min="4358" max="4358" width="1.7109375" style="10" customWidth="1"/>
    <col min="4359" max="4608" width="9.140625" style="10"/>
    <col min="4609" max="4609" width="24.140625" style="10" customWidth="1"/>
    <col min="4610" max="4610" width="29.85546875" style="10" customWidth="1"/>
    <col min="4611" max="4611" width="28.140625" style="10" customWidth="1"/>
    <col min="4612" max="4612" width="27" style="10" customWidth="1"/>
    <col min="4613" max="4613" width="30.5703125" style="10" customWidth="1"/>
    <col min="4614" max="4614" width="1.7109375" style="10" customWidth="1"/>
    <col min="4615" max="4864" width="9.140625" style="10"/>
    <col min="4865" max="4865" width="24.140625" style="10" customWidth="1"/>
    <col min="4866" max="4866" width="29.85546875" style="10" customWidth="1"/>
    <col min="4867" max="4867" width="28.140625" style="10" customWidth="1"/>
    <col min="4868" max="4868" width="27" style="10" customWidth="1"/>
    <col min="4869" max="4869" width="30.5703125" style="10" customWidth="1"/>
    <col min="4870" max="4870" width="1.7109375" style="10" customWidth="1"/>
    <col min="4871" max="5120" width="9.140625" style="10"/>
    <col min="5121" max="5121" width="24.140625" style="10" customWidth="1"/>
    <col min="5122" max="5122" width="29.85546875" style="10" customWidth="1"/>
    <col min="5123" max="5123" width="28.140625" style="10" customWidth="1"/>
    <col min="5124" max="5124" width="27" style="10" customWidth="1"/>
    <col min="5125" max="5125" width="30.5703125" style="10" customWidth="1"/>
    <col min="5126" max="5126" width="1.7109375" style="10" customWidth="1"/>
    <col min="5127" max="5376" width="9.140625" style="10"/>
    <col min="5377" max="5377" width="24.140625" style="10" customWidth="1"/>
    <col min="5378" max="5378" width="29.85546875" style="10" customWidth="1"/>
    <col min="5379" max="5379" width="28.140625" style="10" customWidth="1"/>
    <col min="5380" max="5380" width="27" style="10" customWidth="1"/>
    <col min="5381" max="5381" width="30.5703125" style="10" customWidth="1"/>
    <col min="5382" max="5382" width="1.7109375" style="10" customWidth="1"/>
    <col min="5383" max="5632" width="9.140625" style="10"/>
    <col min="5633" max="5633" width="24.140625" style="10" customWidth="1"/>
    <col min="5634" max="5634" width="29.85546875" style="10" customWidth="1"/>
    <col min="5635" max="5635" width="28.140625" style="10" customWidth="1"/>
    <col min="5636" max="5636" width="27" style="10" customWidth="1"/>
    <col min="5637" max="5637" width="30.5703125" style="10" customWidth="1"/>
    <col min="5638" max="5638" width="1.7109375" style="10" customWidth="1"/>
    <col min="5639" max="5888" width="9.140625" style="10"/>
    <col min="5889" max="5889" width="24.140625" style="10" customWidth="1"/>
    <col min="5890" max="5890" width="29.85546875" style="10" customWidth="1"/>
    <col min="5891" max="5891" width="28.140625" style="10" customWidth="1"/>
    <col min="5892" max="5892" width="27" style="10" customWidth="1"/>
    <col min="5893" max="5893" width="30.5703125" style="10" customWidth="1"/>
    <col min="5894" max="5894" width="1.7109375" style="10" customWidth="1"/>
    <col min="5895" max="6144" width="9.140625" style="10"/>
    <col min="6145" max="6145" width="24.140625" style="10" customWidth="1"/>
    <col min="6146" max="6146" width="29.85546875" style="10" customWidth="1"/>
    <col min="6147" max="6147" width="28.140625" style="10" customWidth="1"/>
    <col min="6148" max="6148" width="27" style="10" customWidth="1"/>
    <col min="6149" max="6149" width="30.5703125" style="10" customWidth="1"/>
    <col min="6150" max="6150" width="1.7109375" style="10" customWidth="1"/>
    <col min="6151" max="6400" width="9.140625" style="10"/>
    <col min="6401" max="6401" width="24.140625" style="10" customWidth="1"/>
    <col min="6402" max="6402" width="29.85546875" style="10" customWidth="1"/>
    <col min="6403" max="6403" width="28.140625" style="10" customWidth="1"/>
    <col min="6404" max="6404" width="27" style="10" customWidth="1"/>
    <col min="6405" max="6405" width="30.5703125" style="10" customWidth="1"/>
    <col min="6406" max="6406" width="1.7109375" style="10" customWidth="1"/>
    <col min="6407" max="6656" width="9.140625" style="10"/>
    <col min="6657" max="6657" width="24.140625" style="10" customWidth="1"/>
    <col min="6658" max="6658" width="29.85546875" style="10" customWidth="1"/>
    <col min="6659" max="6659" width="28.140625" style="10" customWidth="1"/>
    <col min="6660" max="6660" width="27" style="10" customWidth="1"/>
    <col min="6661" max="6661" width="30.5703125" style="10" customWidth="1"/>
    <col min="6662" max="6662" width="1.7109375" style="10" customWidth="1"/>
    <col min="6663" max="6912" width="9.140625" style="10"/>
    <col min="6913" max="6913" width="24.140625" style="10" customWidth="1"/>
    <col min="6914" max="6914" width="29.85546875" style="10" customWidth="1"/>
    <col min="6915" max="6915" width="28.140625" style="10" customWidth="1"/>
    <col min="6916" max="6916" width="27" style="10" customWidth="1"/>
    <col min="6917" max="6917" width="30.5703125" style="10" customWidth="1"/>
    <col min="6918" max="6918" width="1.7109375" style="10" customWidth="1"/>
    <col min="6919" max="7168" width="9.140625" style="10"/>
    <col min="7169" max="7169" width="24.140625" style="10" customWidth="1"/>
    <col min="7170" max="7170" width="29.85546875" style="10" customWidth="1"/>
    <col min="7171" max="7171" width="28.140625" style="10" customWidth="1"/>
    <col min="7172" max="7172" width="27" style="10" customWidth="1"/>
    <col min="7173" max="7173" width="30.5703125" style="10" customWidth="1"/>
    <col min="7174" max="7174" width="1.7109375" style="10" customWidth="1"/>
    <col min="7175" max="7424" width="9.140625" style="10"/>
    <col min="7425" max="7425" width="24.140625" style="10" customWidth="1"/>
    <col min="7426" max="7426" width="29.85546875" style="10" customWidth="1"/>
    <col min="7427" max="7427" width="28.140625" style="10" customWidth="1"/>
    <col min="7428" max="7428" width="27" style="10" customWidth="1"/>
    <col min="7429" max="7429" width="30.5703125" style="10" customWidth="1"/>
    <col min="7430" max="7430" width="1.7109375" style="10" customWidth="1"/>
    <col min="7431" max="7680" width="9.140625" style="10"/>
    <col min="7681" max="7681" width="24.140625" style="10" customWidth="1"/>
    <col min="7682" max="7682" width="29.85546875" style="10" customWidth="1"/>
    <col min="7683" max="7683" width="28.140625" style="10" customWidth="1"/>
    <col min="7684" max="7684" width="27" style="10" customWidth="1"/>
    <col min="7685" max="7685" width="30.5703125" style="10" customWidth="1"/>
    <col min="7686" max="7686" width="1.7109375" style="10" customWidth="1"/>
    <col min="7687" max="7936" width="9.140625" style="10"/>
    <col min="7937" max="7937" width="24.140625" style="10" customWidth="1"/>
    <col min="7938" max="7938" width="29.85546875" style="10" customWidth="1"/>
    <col min="7939" max="7939" width="28.140625" style="10" customWidth="1"/>
    <col min="7940" max="7940" width="27" style="10" customWidth="1"/>
    <col min="7941" max="7941" width="30.5703125" style="10" customWidth="1"/>
    <col min="7942" max="7942" width="1.7109375" style="10" customWidth="1"/>
    <col min="7943" max="8192" width="9.140625" style="10"/>
    <col min="8193" max="8193" width="24.140625" style="10" customWidth="1"/>
    <col min="8194" max="8194" width="29.85546875" style="10" customWidth="1"/>
    <col min="8195" max="8195" width="28.140625" style="10" customWidth="1"/>
    <col min="8196" max="8196" width="27" style="10" customWidth="1"/>
    <col min="8197" max="8197" width="30.5703125" style="10" customWidth="1"/>
    <col min="8198" max="8198" width="1.7109375" style="10" customWidth="1"/>
    <col min="8199" max="8448" width="9.140625" style="10"/>
    <col min="8449" max="8449" width="24.140625" style="10" customWidth="1"/>
    <col min="8450" max="8450" width="29.85546875" style="10" customWidth="1"/>
    <col min="8451" max="8451" width="28.140625" style="10" customWidth="1"/>
    <col min="8452" max="8452" width="27" style="10" customWidth="1"/>
    <col min="8453" max="8453" width="30.5703125" style="10" customWidth="1"/>
    <col min="8454" max="8454" width="1.7109375" style="10" customWidth="1"/>
    <col min="8455" max="8704" width="9.140625" style="10"/>
    <col min="8705" max="8705" width="24.140625" style="10" customWidth="1"/>
    <col min="8706" max="8706" width="29.85546875" style="10" customWidth="1"/>
    <col min="8707" max="8707" width="28.140625" style="10" customWidth="1"/>
    <col min="8708" max="8708" width="27" style="10" customWidth="1"/>
    <col min="8709" max="8709" width="30.5703125" style="10" customWidth="1"/>
    <col min="8710" max="8710" width="1.7109375" style="10" customWidth="1"/>
    <col min="8711" max="8960" width="9.140625" style="10"/>
    <col min="8961" max="8961" width="24.140625" style="10" customWidth="1"/>
    <col min="8962" max="8962" width="29.85546875" style="10" customWidth="1"/>
    <col min="8963" max="8963" width="28.140625" style="10" customWidth="1"/>
    <col min="8964" max="8964" width="27" style="10" customWidth="1"/>
    <col min="8965" max="8965" width="30.5703125" style="10" customWidth="1"/>
    <col min="8966" max="8966" width="1.7109375" style="10" customWidth="1"/>
    <col min="8967" max="9216" width="9.140625" style="10"/>
    <col min="9217" max="9217" width="24.140625" style="10" customWidth="1"/>
    <col min="9218" max="9218" width="29.85546875" style="10" customWidth="1"/>
    <col min="9219" max="9219" width="28.140625" style="10" customWidth="1"/>
    <col min="9220" max="9220" width="27" style="10" customWidth="1"/>
    <col min="9221" max="9221" width="30.5703125" style="10" customWidth="1"/>
    <col min="9222" max="9222" width="1.7109375" style="10" customWidth="1"/>
    <col min="9223" max="9472" width="9.140625" style="10"/>
    <col min="9473" max="9473" width="24.140625" style="10" customWidth="1"/>
    <col min="9474" max="9474" width="29.85546875" style="10" customWidth="1"/>
    <col min="9475" max="9475" width="28.140625" style="10" customWidth="1"/>
    <col min="9476" max="9476" width="27" style="10" customWidth="1"/>
    <col min="9477" max="9477" width="30.5703125" style="10" customWidth="1"/>
    <col min="9478" max="9478" width="1.7109375" style="10" customWidth="1"/>
    <col min="9479" max="9728" width="9.140625" style="10"/>
    <col min="9729" max="9729" width="24.140625" style="10" customWidth="1"/>
    <col min="9730" max="9730" width="29.85546875" style="10" customWidth="1"/>
    <col min="9731" max="9731" width="28.140625" style="10" customWidth="1"/>
    <col min="9732" max="9732" width="27" style="10" customWidth="1"/>
    <col min="9733" max="9733" width="30.5703125" style="10" customWidth="1"/>
    <col min="9734" max="9734" width="1.7109375" style="10" customWidth="1"/>
    <col min="9735" max="9984" width="9.140625" style="10"/>
    <col min="9985" max="9985" width="24.140625" style="10" customWidth="1"/>
    <col min="9986" max="9986" width="29.85546875" style="10" customWidth="1"/>
    <col min="9987" max="9987" width="28.140625" style="10" customWidth="1"/>
    <col min="9988" max="9988" width="27" style="10" customWidth="1"/>
    <col min="9989" max="9989" width="30.5703125" style="10" customWidth="1"/>
    <col min="9990" max="9990" width="1.7109375" style="10" customWidth="1"/>
    <col min="9991" max="10240" width="9.140625" style="10"/>
    <col min="10241" max="10241" width="24.140625" style="10" customWidth="1"/>
    <col min="10242" max="10242" width="29.85546875" style="10" customWidth="1"/>
    <col min="10243" max="10243" width="28.140625" style="10" customWidth="1"/>
    <col min="10244" max="10244" width="27" style="10" customWidth="1"/>
    <col min="10245" max="10245" width="30.5703125" style="10" customWidth="1"/>
    <col min="10246" max="10246" width="1.7109375" style="10" customWidth="1"/>
    <col min="10247" max="10496" width="9.140625" style="10"/>
    <col min="10497" max="10497" width="24.140625" style="10" customWidth="1"/>
    <col min="10498" max="10498" width="29.85546875" style="10" customWidth="1"/>
    <col min="10499" max="10499" width="28.140625" style="10" customWidth="1"/>
    <col min="10500" max="10500" width="27" style="10" customWidth="1"/>
    <col min="10501" max="10501" width="30.5703125" style="10" customWidth="1"/>
    <col min="10502" max="10502" width="1.7109375" style="10" customWidth="1"/>
    <col min="10503" max="10752" width="9.140625" style="10"/>
    <col min="10753" max="10753" width="24.140625" style="10" customWidth="1"/>
    <col min="10754" max="10754" width="29.85546875" style="10" customWidth="1"/>
    <col min="10755" max="10755" width="28.140625" style="10" customWidth="1"/>
    <col min="10756" max="10756" width="27" style="10" customWidth="1"/>
    <col min="10757" max="10757" width="30.5703125" style="10" customWidth="1"/>
    <col min="10758" max="10758" width="1.7109375" style="10" customWidth="1"/>
    <col min="10759" max="11008" width="9.140625" style="10"/>
    <col min="11009" max="11009" width="24.140625" style="10" customWidth="1"/>
    <col min="11010" max="11010" width="29.85546875" style="10" customWidth="1"/>
    <col min="11011" max="11011" width="28.140625" style="10" customWidth="1"/>
    <col min="11012" max="11012" width="27" style="10" customWidth="1"/>
    <col min="11013" max="11013" width="30.5703125" style="10" customWidth="1"/>
    <col min="11014" max="11014" width="1.7109375" style="10" customWidth="1"/>
    <col min="11015" max="11264" width="9.140625" style="10"/>
    <col min="11265" max="11265" width="24.140625" style="10" customWidth="1"/>
    <col min="11266" max="11266" width="29.85546875" style="10" customWidth="1"/>
    <col min="11267" max="11267" width="28.140625" style="10" customWidth="1"/>
    <col min="11268" max="11268" width="27" style="10" customWidth="1"/>
    <col min="11269" max="11269" width="30.5703125" style="10" customWidth="1"/>
    <col min="11270" max="11270" width="1.7109375" style="10" customWidth="1"/>
    <col min="11271" max="11520" width="9.140625" style="10"/>
    <col min="11521" max="11521" width="24.140625" style="10" customWidth="1"/>
    <col min="11522" max="11522" width="29.85546875" style="10" customWidth="1"/>
    <col min="11523" max="11523" width="28.140625" style="10" customWidth="1"/>
    <col min="11524" max="11524" width="27" style="10" customWidth="1"/>
    <col min="11525" max="11525" width="30.5703125" style="10" customWidth="1"/>
    <col min="11526" max="11526" width="1.7109375" style="10" customWidth="1"/>
    <col min="11527" max="11776" width="9.140625" style="10"/>
    <col min="11777" max="11777" width="24.140625" style="10" customWidth="1"/>
    <col min="11778" max="11778" width="29.85546875" style="10" customWidth="1"/>
    <col min="11779" max="11779" width="28.140625" style="10" customWidth="1"/>
    <col min="11780" max="11780" width="27" style="10" customWidth="1"/>
    <col min="11781" max="11781" width="30.5703125" style="10" customWidth="1"/>
    <col min="11782" max="11782" width="1.7109375" style="10" customWidth="1"/>
    <col min="11783" max="12032" width="9.140625" style="10"/>
    <col min="12033" max="12033" width="24.140625" style="10" customWidth="1"/>
    <col min="12034" max="12034" width="29.85546875" style="10" customWidth="1"/>
    <col min="12035" max="12035" width="28.140625" style="10" customWidth="1"/>
    <col min="12036" max="12036" width="27" style="10" customWidth="1"/>
    <col min="12037" max="12037" width="30.5703125" style="10" customWidth="1"/>
    <col min="12038" max="12038" width="1.7109375" style="10" customWidth="1"/>
    <col min="12039" max="12288" width="9.140625" style="10"/>
    <col min="12289" max="12289" width="24.140625" style="10" customWidth="1"/>
    <col min="12290" max="12290" width="29.85546875" style="10" customWidth="1"/>
    <col min="12291" max="12291" width="28.140625" style="10" customWidth="1"/>
    <col min="12292" max="12292" width="27" style="10" customWidth="1"/>
    <col min="12293" max="12293" width="30.5703125" style="10" customWidth="1"/>
    <col min="12294" max="12294" width="1.7109375" style="10" customWidth="1"/>
    <col min="12295" max="12544" width="9.140625" style="10"/>
    <col min="12545" max="12545" width="24.140625" style="10" customWidth="1"/>
    <col min="12546" max="12546" width="29.85546875" style="10" customWidth="1"/>
    <col min="12547" max="12547" width="28.140625" style="10" customWidth="1"/>
    <col min="12548" max="12548" width="27" style="10" customWidth="1"/>
    <col min="12549" max="12549" width="30.5703125" style="10" customWidth="1"/>
    <col min="12550" max="12550" width="1.7109375" style="10" customWidth="1"/>
    <col min="12551" max="12800" width="9.140625" style="10"/>
    <col min="12801" max="12801" width="24.140625" style="10" customWidth="1"/>
    <col min="12802" max="12802" width="29.85546875" style="10" customWidth="1"/>
    <col min="12803" max="12803" width="28.140625" style="10" customWidth="1"/>
    <col min="12804" max="12804" width="27" style="10" customWidth="1"/>
    <col min="12805" max="12805" width="30.5703125" style="10" customWidth="1"/>
    <col min="12806" max="12806" width="1.7109375" style="10" customWidth="1"/>
    <col min="12807" max="13056" width="9.140625" style="10"/>
    <col min="13057" max="13057" width="24.140625" style="10" customWidth="1"/>
    <col min="13058" max="13058" width="29.85546875" style="10" customWidth="1"/>
    <col min="13059" max="13059" width="28.140625" style="10" customWidth="1"/>
    <col min="13060" max="13060" width="27" style="10" customWidth="1"/>
    <col min="13061" max="13061" width="30.5703125" style="10" customWidth="1"/>
    <col min="13062" max="13062" width="1.7109375" style="10" customWidth="1"/>
    <col min="13063" max="13312" width="9.140625" style="10"/>
    <col min="13313" max="13313" width="24.140625" style="10" customWidth="1"/>
    <col min="13314" max="13314" width="29.85546875" style="10" customWidth="1"/>
    <col min="13315" max="13315" width="28.140625" style="10" customWidth="1"/>
    <col min="13316" max="13316" width="27" style="10" customWidth="1"/>
    <col min="13317" max="13317" width="30.5703125" style="10" customWidth="1"/>
    <col min="13318" max="13318" width="1.7109375" style="10" customWidth="1"/>
    <col min="13319" max="13568" width="9.140625" style="10"/>
    <col min="13569" max="13569" width="24.140625" style="10" customWidth="1"/>
    <col min="13570" max="13570" width="29.85546875" style="10" customWidth="1"/>
    <col min="13571" max="13571" width="28.140625" style="10" customWidth="1"/>
    <col min="13572" max="13572" width="27" style="10" customWidth="1"/>
    <col min="13573" max="13573" width="30.5703125" style="10" customWidth="1"/>
    <col min="13574" max="13574" width="1.7109375" style="10" customWidth="1"/>
    <col min="13575" max="13824" width="9.140625" style="10"/>
    <col min="13825" max="13825" width="24.140625" style="10" customWidth="1"/>
    <col min="13826" max="13826" width="29.85546875" style="10" customWidth="1"/>
    <col min="13827" max="13827" width="28.140625" style="10" customWidth="1"/>
    <col min="13828" max="13828" width="27" style="10" customWidth="1"/>
    <col min="13829" max="13829" width="30.5703125" style="10" customWidth="1"/>
    <col min="13830" max="13830" width="1.7109375" style="10" customWidth="1"/>
    <col min="13831" max="14080" width="9.140625" style="10"/>
    <col min="14081" max="14081" width="24.140625" style="10" customWidth="1"/>
    <col min="14082" max="14082" width="29.85546875" style="10" customWidth="1"/>
    <col min="14083" max="14083" width="28.140625" style="10" customWidth="1"/>
    <col min="14084" max="14084" width="27" style="10" customWidth="1"/>
    <col min="14085" max="14085" width="30.5703125" style="10" customWidth="1"/>
    <col min="14086" max="14086" width="1.7109375" style="10" customWidth="1"/>
    <col min="14087" max="14336" width="9.140625" style="10"/>
    <col min="14337" max="14337" width="24.140625" style="10" customWidth="1"/>
    <col min="14338" max="14338" width="29.85546875" style="10" customWidth="1"/>
    <col min="14339" max="14339" width="28.140625" style="10" customWidth="1"/>
    <col min="14340" max="14340" width="27" style="10" customWidth="1"/>
    <col min="14341" max="14341" width="30.5703125" style="10" customWidth="1"/>
    <col min="14342" max="14342" width="1.7109375" style="10" customWidth="1"/>
    <col min="14343" max="14592" width="9.140625" style="10"/>
    <col min="14593" max="14593" width="24.140625" style="10" customWidth="1"/>
    <col min="14594" max="14594" width="29.85546875" style="10" customWidth="1"/>
    <col min="14595" max="14595" width="28.140625" style="10" customWidth="1"/>
    <col min="14596" max="14596" width="27" style="10" customWidth="1"/>
    <col min="14597" max="14597" width="30.5703125" style="10" customWidth="1"/>
    <col min="14598" max="14598" width="1.7109375" style="10" customWidth="1"/>
    <col min="14599" max="14848" width="9.140625" style="10"/>
    <col min="14849" max="14849" width="24.140625" style="10" customWidth="1"/>
    <col min="14850" max="14850" width="29.85546875" style="10" customWidth="1"/>
    <col min="14851" max="14851" width="28.140625" style="10" customWidth="1"/>
    <col min="14852" max="14852" width="27" style="10" customWidth="1"/>
    <col min="14853" max="14853" width="30.5703125" style="10" customWidth="1"/>
    <col min="14854" max="14854" width="1.7109375" style="10" customWidth="1"/>
    <col min="14855" max="15104" width="9.140625" style="10"/>
    <col min="15105" max="15105" width="24.140625" style="10" customWidth="1"/>
    <col min="15106" max="15106" width="29.85546875" style="10" customWidth="1"/>
    <col min="15107" max="15107" width="28.140625" style="10" customWidth="1"/>
    <col min="15108" max="15108" width="27" style="10" customWidth="1"/>
    <col min="15109" max="15109" width="30.5703125" style="10" customWidth="1"/>
    <col min="15110" max="15110" width="1.7109375" style="10" customWidth="1"/>
    <col min="15111" max="15360" width="9.140625" style="10"/>
    <col min="15361" max="15361" width="24.140625" style="10" customWidth="1"/>
    <col min="15362" max="15362" width="29.85546875" style="10" customWidth="1"/>
    <col min="15363" max="15363" width="28.140625" style="10" customWidth="1"/>
    <col min="15364" max="15364" width="27" style="10" customWidth="1"/>
    <col min="15365" max="15365" width="30.5703125" style="10" customWidth="1"/>
    <col min="15366" max="15366" width="1.7109375" style="10" customWidth="1"/>
    <col min="15367" max="15616" width="9.140625" style="10"/>
    <col min="15617" max="15617" width="24.140625" style="10" customWidth="1"/>
    <col min="15618" max="15618" width="29.85546875" style="10" customWidth="1"/>
    <col min="15619" max="15619" width="28.140625" style="10" customWidth="1"/>
    <col min="15620" max="15620" width="27" style="10" customWidth="1"/>
    <col min="15621" max="15621" width="30.5703125" style="10" customWidth="1"/>
    <col min="15622" max="15622" width="1.7109375" style="10" customWidth="1"/>
    <col min="15623" max="15872" width="9.140625" style="10"/>
    <col min="15873" max="15873" width="24.140625" style="10" customWidth="1"/>
    <col min="15874" max="15874" width="29.85546875" style="10" customWidth="1"/>
    <col min="15875" max="15875" width="28.140625" style="10" customWidth="1"/>
    <col min="15876" max="15876" width="27" style="10" customWidth="1"/>
    <col min="15877" max="15877" width="30.5703125" style="10" customWidth="1"/>
    <col min="15878" max="15878" width="1.7109375" style="10" customWidth="1"/>
    <col min="15879" max="16128" width="9.140625" style="10"/>
    <col min="16129" max="16129" width="24.140625" style="10" customWidth="1"/>
    <col min="16130" max="16130" width="29.85546875" style="10" customWidth="1"/>
    <col min="16131" max="16131" width="28.140625" style="10" customWidth="1"/>
    <col min="16132" max="16132" width="27" style="10" customWidth="1"/>
    <col min="16133" max="16133" width="30.5703125" style="10" customWidth="1"/>
    <col min="16134" max="16134" width="1.7109375" style="10" customWidth="1"/>
    <col min="16135" max="16384" width="9.140625" style="10"/>
  </cols>
  <sheetData>
    <row r="1" spans="1:9" s="2" customFormat="1" ht="21" customHeight="1" x14ac:dyDescent="0.3">
      <c r="A1" s="145" t="s">
        <v>4</v>
      </c>
      <c r="B1" s="145"/>
      <c r="C1" s="147" t="str">
        <f>Copertina!C7</f>
        <v>MEV 19_021 RegInde</v>
      </c>
      <c r="D1" s="147"/>
      <c r="E1" s="147"/>
      <c r="F1" s="5"/>
      <c r="G1" s="6"/>
      <c r="H1" s="1"/>
    </row>
    <row r="2" spans="1:9" s="2" customFormat="1" ht="20.25" customHeight="1" thickBot="1" x14ac:dyDescent="0.35">
      <c r="A2" s="146" t="s">
        <v>12</v>
      </c>
      <c r="B2" s="146"/>
      <c r="C2" s="148" t="str">
        <f>Copertina!C3</f>
        <v>SIUT-SIE-CT-1.4-20230110-Allegato_al_piano_test_021_RegInde_SIES.xlsx</v>
      </c>
      <c r="D2" s="148"/>
      <c r="E2" s="148"/>
      <c r="F2" s="7"/>
      <c r="G2" s="8"/>
      <c r="H2" s="3"/>
    </row>
    <row r="3" spans="1:9" s="9" customFormat="1" ht="27" customHeight="1" thickBot="1" x14ac:dyDescent="0.3">
      <c r="A3" s="157" t="s">
        <v>20</v>
      </c>
      <c r="B3" s="158"/>
      <c r="C3" s="158"/>
      <c r="D3" s="158"/>
      <c r="E3" s="159"/>
      <c r="G3" s="160" t="s">
        <v>21</v>
      </c>
      <c r="H3" s="161"/>
      <c r="I3" s="162"/>
    </row>
    <row r="4" spans="1:9" ht="23.25" customHeight="1" thickBot="1" x14ac:dyDescent="0.25">
      <c r="A4" s="169" t="s">
        <v>22</v>
      </c>
      <c r="B4" s="170" t="s">
        <v>23</v>
      </c>
      <c r="C4" s="171"/>
      <c r="D4" s="171"/>
      <c r="E4" s="172"/>
      <c r="G4" s="163"/>
      <c r="H4" s="164"/>
      <c r="I4" s="165"/>
    </row>
    <row r="5" spans="1:9" ht="26.25" customHeight="1" thickBot="1" x14ac:dyDescent="0.25">
      <c r="A5" s="153"/>
      <c r="B5" s="11">
        <v>1</v>
      </c>
      <c r="C5" s="11">
        <v>2</v>
      </c>
      <c r="D5" s="11">
        <v>3</v>
      </c>
      <c r="E5" s="12">
        <v>4</v>
      </c>
      <c r="G5" s="163"/>
      <c r="H5" s="164"/>
      <c r="I5" s="165"/>
    </row>
    <row r="6" spans="1:9" ht="15.75" thickBot="1" x14ac:dyDescent="0.25">
      <c r="A6" s="13" t="s">
        <v>24</v>
      </c>
      <c r="B6" s="14">
        <f>COUNTIFS(TabellaTest!$H$4:$H$357,1,TabellaTest!$I$4:$I$357,"A",TabellaTest!$J$4:$J$357,"KO")</f>
        <v>0</v>
      </c>
      <c r="C6" s="14">
        <f>COUNTIFS(TabellaTest!$H$4:$H$357,2,TabellaTest!$I$4:$I$357,"A",TabellaTest!$J$4:$J$357,"KO")</f>
        <v>0</v>
      </c>
      <c r="D6" s="14">
        <f>COUNTIFS(TabellaTest!$H$4:$H$357,3,TabellaTest!$I$4:$I$357,"A",TabellaTest!$J$4:$J$357,"KO")</f>
        <v>0</v>
      </c>
      <c r="E6" s="14">
        <f>COUNTIFS(TabellaTest!$H$4:$H$357,4,TabellaTest!$I$4:$I$357,"A",TabellaTest!$J$4:$J$357,"KO")</f>
        <v>0</v>
      </c>
      <c r="G6" s="163"/>
      <c r="H6" s="164"/>
      <c r="I6" s="165"/>
    </row>
    <row r="7" spans="1:9" ht="15.75" thickBot="1" x14ac:dyDescent="0.25">
      <c r="A7" s="15" t="s">
        <v>25</v>
      </c>
      <c r="B7" s="14">
        <f>COUNTIFS(TabellaTest!$H$4:$H$357,1,TabellaTest!$I$4:$I$357,"B",TabellaTest!$J$4:$J$357,"KO")</f>
        <v>0</v>
      </c>
      <c r="C7" s="14">
        <f>COUNTIFS(TabellaTest!$H$4:$H$357,2,TabellaTest!$I$4:$I$357,"B",TabellaTest!$J$4:$J$357,"KO")</f>
        <v>0</v>
      </c>
      <c r="D7" s="14">
        <f>COUNTIFS(TabellaTest!$H$4:$H$357,3,TabellaTest!$I$4:$I$357,"B",TabellaTest!$J$4:$J$357,"KO")</f>
        <v>0</v>
      </c>
      <c r="E7" s="14">
        <f>COUNTIFS(TabellaTest!$H$4:$H$357,4,TabellaTest!$I$4:$I$357,"B",TabellaTest!$J$4:$J$357,"KO")</f>
        <v>0</v>
      </c>
      <c r="G7" s="163"/>
      <c r="H7" s="164"/>
      <c r="I7" s="165"/>
    </row>
    <row r="8" spans="1:9" ht="15.75" thickBot="1" x14ac:dyDescent="0.25">
      <c r="A8" s="16" t="s">
        <v>26</v>
      </c>
      <c r="B8" s="14">
        <f>COUNTIFS(TabellaTest!$H$4:$H$357,1,TabellaTest!$I$4:$I$357,"C",TabellaTest!$J$4:$J$357,"KO")</f>
        <v>0</v>
      </c>
      <c r="C8" s="14">
        <f>COUNTIFS(TabellaTest!$H$4:$H$357,2,TabellaTest!$I$4:$I$357,"C",TabellaTest!$J$4:$J$357,"KO")</f>
        <v>0</v>
      </c>
      <c r="D8" s="14">
        <f>COUNTIFS(TabellaTest!$H$4:$H$357,3,TabellaTest!$I$4:$I$357,"C",TabellaTest!$J$4:$J$357,"KO")</f>
        <v>0</v>
      </c>
      <c r="E8" s="14">
        <f>COUNTIFS(TabellaTest!$H$4:$H$357,4,TabellaTest!$I$4:$I$357,"C",TabellaTest!$J$4:$J$357,"KO")</f>
        <v>0</v>
      </c>
      <c r="G8" s="166"/>
      <c r="H8" s="167"/>
      <c r="I8" s="168"/>
    </row>
    <row r="9" spans="1:9" ht="13.9" x14ac:dyDescent="0.3">
      <c r="G9" s="17"/>
      <c r="H9" s="18"/>
      <c r="I9" s="18"/>
    </row>
    <row r="12" spans="1:9" ht="10.5" customHeight="1" thickBot="1" x14ac:dyDescent="0.35"/>
    <row r="13" spans="1:9" ht="14.45" hidden="1" thickBot="1" x14ac:dyDescent="0.35"/>
    <row r="14" spans="1:9" s="9" customFormat="1" ht="28.5" customHeight="1" x14ac:dyDescent="0.25">
      <c r="A14" s="149" t="s">
        <v>27</v>
      </c>
      <c r="B14" s="150"/>
      <c r="C14" s="150"/>
      <c r="D14" s="150"/>
      <c r="E14" s="151"/>
      <c r="G14" s="20"/>
    </row>
    <row r="15" spans="1:9" ht="15.75" thickBot="1" x14ac:dyDescent="0.25">
      <c r="A15" s="152" t="s">
        <v>22</v>
      </c>
      <c r="B15" s="154" t="s">
        <v>23</v>
      </c>
      <c r="C15" s="155"/>
      <c r="D15" s="155"/>
      <c r="E15" s="156"/>
    </row>
    <row r="16" spans="1:9" ht="15.75" thickBot="1" x14ac:dyDescent="0.25">
      <c r="A16" s="153"/>
      <c r="B16" s="21">
        <v>1</v>
      </c>
      <c r="C16" s="21">
        <v>2</v>
      </c>
      <c r="D16" s="21">
        <v>3</v>
      </c>
      <c r="E16" s="22">
        <v>4</v>
      </c>
    </row>
    <row r="17" spans="1:5" ht="15" thickBot="1" x14ac:dyDescent="0.35">
      <c r="A17" s="23" t="s">
        <v>24</v>
      </c>
      <c r="B17" s="24">
        <f>COUNTIFS(TabellaTest!$H$4:$H$357,1,TabellaTest!$I$4:$I$357,"A")</f>
        <v>0</v>
      </c>
      <c r="C17" s="24">
        <f>COUNTIFS(TabellaTest!$H$4:$H$357,2,TabellaTest!$I$4:$I$357,"A")</f>
        <v>0</v>
      </c>
      <c r="D17" s="24">
        <f>COUNTIFS(TabellaTest!$H$4:$H$357,3,TabellaTest!$I$4:$I$357,"A")</f>
        <v>0</v>
      </c>
      <c r="E17" s="24">
        <f>COUNTIFS(TabellaTest!$H$4:$H$357,4,TabellaTest!$I$4:$I$357,"A")</f>
        <v>0</v>
      </c>
    </row>
    <row r="18" spans="1:5" ht="15" thickBot="1" x14ac:dyDescent="0.35">
      <c r="A18" s="25" t="s">
        <v>25</v>
      </c>
      <c r="B18" s="24">
        <f>COUNTIFS(TabellaTest!$H$4:$H$357,1,TabellaTest!$I$4:$I$357,"B")</f>
        <v>0</v>
      </c>
      <c r="C18" s="24">
        <f>COUNTIFS(TabellaTest!$H$4:$H$357,2,TabellaTest!$I$4:$I$357,"B")</f>
        <v>36</v>
      </c>
      <c r="D18" s="24">
        <f>COUNTIFS(TabellaTest!$H$4:$H$357,3,TabellaTest!$I$4:$I$357,"B")</f>
        <v>0</v>
      </c>
      <c r="E18" s="24">
        <f>COUNTIFS(TabellaTest!$H$4:$H$357,4,TabellaTest!$I$4:$I$357,"B")</f>
        <v>0</v>
      </c>
    </row>
    <row r="19" spans="1:5" ht="15" thickBot="1" x14ac:dyDescent="0.35">
      <c r="A19" s="26" t="s">
        <v>26</v>
      </c>
      <c r="B19" s="24">
        <f>COUNTIFS(TabellaTest!$H$4:$H$357,1,TabellaTest!$I$4:$I$357,"C")</f>
        <v>0</v>
      </c>
      <c r="C19" s="24">
        <f>COUNTIFS(TabellaTest!$H$4:$H$357,2,TabellaTest!$I$4:$I$357,"C")</f>
        <v>0</v>
      </c>
      <c r="D19" s="24">
        <f>COUNTIFS(TabellaTest!$H$4:$H$357,3,TabellaTest!$I$4:$I$357,"C")</f>
        <v>3</v>
      </c>
      <c r="E19" s="24">
        <f>COUNTIFS(TabellaTest!$H$4:$H$357,4,TabellaTest!$I$4:$I$357,"C")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A223A0-14F8-4CF7-B03D-5B8241C56AE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05f6d153-fdd9-4ea0-9d5e-dbae83f18a5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>Piano di Test</dc:subject>
  <dc:creator>Engineering</dc:creator>
  <cp:keywords>Test</cp:keywords>
  <cp:lastModifiedBy>Simone Gioggi</cp:lastModifiedBy>
  <cp:lastPrinted>2019-11-08T14:17:06Z</cp:lastPrinted>
  <dcterms:created xsi:type="dcterms:W3CDTF">2019-11-07T09:38:15Z</dcterms:created>
  <dcterms:modified xsi:type="dcterms:W3CDTF">2023-01-10T08:37:11Z</dcterms:modified>
  <cp:category>Piano di Test</cp:category>
</cp:coreProperties>
</file>