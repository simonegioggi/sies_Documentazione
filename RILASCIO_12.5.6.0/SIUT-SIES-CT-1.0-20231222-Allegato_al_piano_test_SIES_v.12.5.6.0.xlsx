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C44" i="182" l="1"/>
  <c r="B44" i="182"/>
  <c r="G44" i="182"/>
  <c r="E44" i="182"/>
  <c r="A44" i="182"/>
  <c r="K8" i="209"/>
  <c r="J8" i="209"/>
  <c r="F8" i="209"/>
  <c r="C37" i="182" l="1"/>
  <c r="B37" i="182"/>
  <c r="G37" i="182"/>
  <c r="E37" i="182"/>
  <c r="A37" i="182"/>
  <c r="C29" i="182"/>
  <c r="B29" i="182"/>
  <c r="G29" i="182"/>
  <c r="E29" i="182"/>
  <c r="A29" i="182"/>
  <c r="C21" i="182"/>
  <c r="B21" i="182"/>
  <c r="G21" i="182"/>
  <c r="E21" i="182"/>
  <c r="A21" i="182"/>
  <c r="K7" i="209"/>
  <c r="K5" i="209"/>
  <c r="J7" i="209"/>
  <c r="J6" i="209"/>
  <c r="J5" i="209"/>
  <c r="K6" i="209"/>
  <c r="F7" i="209"/>
  <c r="F6" i="209"/>
  <c r="F5" i="209"/>
  <c r="F4" i="209" l="1"/>
  <c r="K4" i="209" l="1"/>
  <c r="A4" i="182" s="1"/>
  <c r="C4" i="182"/>
  <c r="B4" i="182"/>
  <c r="G4" i="182"/>
  <c r="E4" i="182"/>
  <c r="J4" i="209"/>
  <c r="J1" i="209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<sst xmlns="http://schemas.openxmlformats.org/spreadsheetml/2006/main" count="1337" uniqueCount="685">
  <si>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</si>
  <si>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</si>
  <si>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</si>
  <si>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</si>
  <si>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</si>
  <si>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</si>
  <si>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</si>
  <si>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</si>
  <si>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</si>
  <si>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</si>
  <si>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</si>
  <si>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</si>
  <si>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</si>
  <si>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</si>
  <si>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</si>
  <si>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</si>
  <si>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</si>
  <si>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</si>
  <si>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</si>
  <si>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</si>
  <si>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</si>
  <si>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</si>
  <si>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</si>
  <si>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</si>
  <si>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</si>
  <si>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</si>
  <si>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</si>
  <si>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</si>
  <si>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</si>
  <si>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</si>
  <si>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</si>
  <si>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</si>
  <si>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</si>
  <si>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</si>
  <si>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</si>
  <si>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</si>
  <si>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</si>
  <si>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</si>
  <si>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</si>
  <si>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</si>
  <si>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</si>
  <si>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</si>
  <si>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</si>
  <si>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</si>
  <si>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</si>
  <si>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</si>
  <si>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</si>
  <si>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</si>
  <si>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</si>
  <si>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</si>
  <si>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</si>
  <si>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</si>
  <si>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</si>
  <si>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</si>
  <si>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</si>
  <si>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</si>
  <si>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</si>
  <si>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</si>
  <si>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</si>
  <si>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</si>
  <si>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</si>
  <si>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</si>
  <si>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</si>
  <si>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</si>
  <si>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</si>
  <si>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</si>
  <si>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</si>
  <si>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</si>
  <si>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</si>
  <si>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</si>
  <si>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</si>
  <si>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</si>
  <si>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</si>
  <si>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</si>
  <si>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</si>
  <si>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</si>
  <si>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</si>
  <si>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</si>
  <si>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</si>
  <si>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</si>
  <si>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</si>
  <si>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</si>
  <si>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</si>
  <si>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</si>
  <si>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</si>
  <si>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</si>
  <si>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</si>
  <si>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</si>
  <si>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</si>
  <si>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</si>
  <si>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</si>
  <si>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</si>
  <si>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</si>
  <si>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</si>
  <si>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</si>
  <si>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</si>
  <si>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</si>
  <si>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</si>
  <si>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</si>
  <si>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</si>
  <si>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</si>
  <si>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</si>
  <si>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</si>
  <si>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</si>
  <si>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</si>
  <si>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</si>
  <si>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</si>
  <si>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</si>
  <si>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</si>
  <si>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</si>
  <si>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</si>
  <si>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</si>
  <si>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</si>
  <si>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</si>
  <si>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</si>
  <si>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</si>
  <si>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</si>
  <si>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</si>
  <si>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</si>
  <si>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</si>
  <si>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</si>
  <si>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</si>
  <si>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</si>
  <si>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</si>
  <si>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</si>
  <si>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</si>
  <si>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</si>
  <si>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</si>
  <si>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</si>
  <si>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</si>
  <si>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</si>
  <si>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</si>
  <si>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</si>
  <si>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</si>
  <si>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</si>
  <si>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</si>
  <si>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</si>
  <si>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</si>
  <si>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</si>
  <si>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</si>
  <si>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</si>
  <si>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</si>
  <si>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</si>
  <si>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</si>
  <si>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</si>
  <si>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</si>
  <si>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</si>
  <si>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</si>
  <si>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</si>
  <si>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</si>
  <si>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</si>
  <si>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</si>
  <si>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</si>
  <si>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</si>
  <si>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</si>
  <si>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</si>
  <si>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</si>
  <si>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</si>
  <si>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</si>
  <si>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</si>
  <si>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</si>
  <si>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</si>
  <si>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</si>
  <si>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</si>
  <si>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</si>
  <si>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</si>
  <si>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</si>
  <si>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</si>
  <si>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</si>
  <si>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</si>
  <si>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</si>
  <si>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</si>
  <si>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</si>
  <si>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</si>
  <si>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</si>
  <si>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</si>
  <si>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</si>
  <si>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</si>
  <si>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</si>
  <si>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</si>
  <si>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</si>
  <si>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</si>
  <si>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</si>
  <si>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</si>
  <si>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</si>
  <si>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</si>
  <si>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</si>
  <si>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</si>
  <si>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</si>
  <si>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</si>
  <si>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</si>
  <si>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</si>
  <si>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</si>
  <si>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</si>
  <si>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</si>
  <si>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</si>
  <si>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</si>
  <si>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</si>
  <si>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</si>
  <si>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</si>
  <si>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</si>
  <si>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</si>
  <si>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</si>
  <si>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</si>
  <si>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</si>
  <si>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</si>
  <si>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</si>
  <si>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</si>
  <si>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</si>
  <si>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</si>
  <si>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</si>
  <si>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</si>
  <si>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</si>
  <si>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</si>
  <si>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</si>
  <si>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</si>
  <si>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</si>
  <si>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</si>
  <si>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</si>
  <si>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</si>
  <si>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</si>
  <si>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</si>
  <si>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</si>
  <si>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</si>
  <si>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</si>
  <si>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</si>
  <si>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</si>
  <si>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</si>
  <si>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</si>
  <si>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</si>
  <si>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</si>
  <si>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</si>
  <si>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</si>
  <si>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</si>
  <si>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</si>
  <si>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</si>
  <si>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</si>
  <si>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</si>
  <si>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</si>
  <si>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</si>
  <si>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</si>
  <si>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</si>
  <si>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</si>
  <si>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</si>
  <si>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</si>
  <si>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</si>
  <si>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</si>
  <si>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</si>
  <si>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</si>
  <si>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</si>
  <si>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</si>
  <si>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</si>
  <si>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</si>
  <si>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</si>
  <si>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</si>
  <si>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</si>
  <si>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</si>
  <si>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</si>
  <si>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</si>
  <si>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</si>
  <si>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</si>
  <si>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</si>
  <si>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</si>
  <si>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</si>
  <si>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</si>
  <si>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</si>
  <si>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</si>
  <si>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</si>
  <si>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</si>
  <si>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</si>
  <si>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</si>
  <si>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</si>
  <si>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</si>
  <si>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</si>
  <si>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</si>
  <si>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</si>
  <si>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</si>
  <si>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</si>
  <si>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</si>
  <si>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</si>
  <si>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</si>
  <si>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</si>
  <si>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</si>
  <si>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</si>
  <si>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</si>
  <si>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</si>
  <si>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</si>
  <si>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</si>
  <si>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</si>
  <si>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</si>
  <si>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</si>
  <si>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</si>
  <si>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</si>
  <si>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</si>
  <si>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</si>
  <si>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</si>
  <si>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</si>
  <si>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</si>
  <si>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</si>
  <si>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</si>
  <si>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</si>
  <si>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</si>
  <si>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</si>
  <si>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</si>
  <si>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</si>
  <si>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</si>
  <si>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</si>
  <si>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</si>
  <si>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</si>
  <si>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</si>
  <si>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</si>
  <si>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</si>
  <si>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</si>
  <si>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</si>
  <si>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</si>
  <si>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</si>
  <si>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</si>
  <si>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</si>
  <si>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</si>
  <si>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</si>
  <si>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</si>
  <si>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</si>
  <si>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</si>
  <si>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</si>
  <si>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</si>
  <si>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</si>
  <si>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</si>
  <si>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</si>
  <si>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</si>
  <si>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</si>
  <si>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</si>
  <si>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</si>
  <si>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</si>
  <si>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</si>
  <si>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</si>
  <si>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</si>
  <si>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</si>
  <si>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</si>
  <si>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</si>
  <si>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</si>
  <si>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</si>
  <si>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</si>
  <si>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</si>
  <si>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</si>
  <si>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</si>
  <si>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</si>
  <si>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</si>
  <si>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</si>
  <si>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</si>
  <si>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</si>
  <si>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</si>
  <si>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</si>
  <si>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</si>
  <si>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</si>
  <si>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</si>
  <si>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</si>
  <si>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</si>
  <si>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</si>
  <si>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</si>
  <si>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</si>
  <si>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</si>
  <si>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</si>
  <si>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</si>
  <si>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</si>
  <si>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</si>
  <si>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</si>
  <si>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</si>
  <si>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</si>
  <si>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</si>
  <si>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</si>
  <si>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</si>
  <si>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</si>
  <si>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</si>
  <si>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</si>
  <si>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</si>
  <si>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</si>
  <si>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</si>
  <si>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</si>
  <si>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</si>
  <si>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</si>
  <si>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</si>
  <si>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</si>
  <si>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</si>
  <si>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</si>
  <si>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</si>
  <si>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</si>
  <si>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</si>
  <si>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</si>
  <si>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</si>
  <si>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</si>
  <si>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</si>
  <si>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</si>
  <si>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</si>
  <si>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</si>
  <si>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</si>
  <si>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</si>
  <si>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</si>
  <si>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</si>
  <si>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</si>
  <si>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</si>
  <si>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</si>
  <si>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</si>
  <si>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</si>
  <si>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</si>
  <si>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</si>
  <si>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</si>
  <si>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</si>
  <si>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</si>
  <si>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</si>
  <si>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</si>
  <si>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</si>
  <si>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</si>
  <si>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</si>
  <si>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</si>
  <si>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</si>
  <si>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</si>
  <si>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</si>
  <si>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</si>
  <si>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</si>
  <si>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</si>
  <si>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</si>
  <si>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</si>
  <si>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</si>
  <si>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</si>
  <si>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</si>
  <si>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</si>
  <si>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</si>
  <si>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</si>
  <si>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</si>
  <si>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</si>
  <si>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</si>
  <si>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</si>
  <si>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</si>
  <si>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</si>
  <si>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</si>
  <si>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</si>
  <si>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</si>
  <si>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</si>
  <si>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</si>
  <si>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</si>
  <si>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</si>
  <si>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</si>
  <si>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</si>
  <si>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</si>
  <si>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</si>
  <si>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</si>
  <si>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</si>
  <si>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</si>
  <si>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</si>
  <si>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</si>
  <si>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</si>
  <si>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</si>
  <si>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</si>
  <si>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</si>
  <si>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</si>
  <si>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</si>
  <si>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</si>
  <si>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</si>
  <si>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</si>
  <si>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</si>
  <si>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</si>
  <si>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</si>
  <si>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</si>
  <si>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</si>
  <si>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</si>
  <si>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</si>
  <si>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</si>
  <si>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</si>
  <si>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</si>
  <si>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</si>
  <si>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</si>
  <si>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</si>
  <si>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</si>
  <si>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</si>
  <si>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</si>
  <si>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</si>
  <si>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</si>
  <si>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</si>
  <si>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</si>
  <si>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</si>
  <si>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</si>
  <si>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</si>
  <si>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</si>
  <si>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</si>
  <si>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</si>
  <si>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</si>
  <si>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</si>
  <si>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</si>
  <si>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</si>
  <si>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</si>
  <si>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</si>
  <si>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</si>
  <si>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</si>
  <si>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</si>
  <si>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</si>
  <si>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</si>
  <si>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</si>
  <si>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</si>
  <si>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</si>
  <si>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</si>
  <si>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</si>
  <si>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</si>
  <si>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</si>
  <si>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</si>
  <si>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</si>
  <si>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</si>
  <si>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</si>
  <si>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</si>
  <si>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</si>
  <si>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</si>
  <si>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</si>
  <si>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</si>
  <si>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</si>
  <si>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</si>
  <si>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</si>
  <si>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</si>
  <si>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</si>
  <si>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</si>
  <si>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</si>
  <si>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</si>
  <si>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</si>
  <si>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</si>
  <si>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</si>
  <si>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</si>
  <si>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</si>
  <si>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</si>
  <si>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</si>
  <si>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</si>
  <si>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</si>
  <si>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</si>
  <si>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</si>
  <si>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</si>
  <si>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</si>
  <si>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</si>
  <si>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</si>
  <si>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</si>
  <si>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</si>
  <si>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</si>
  <si>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</si>
  <si>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</si>
  <si>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</si>
  <si>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</si>
  <si>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</si>
  <si>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</si>
  <si>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</si>
  <si>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</si>
  <si>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</si>
  <si>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</si>
  <si>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</si>
  <si>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</si>
  <si>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</si>
  <si>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</si>
  <si>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</si>
  <si>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</si>
  <si>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</si>
  <si>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</si>
  <si>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</si>
  <si>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</si>
  <si>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</si>
  <si>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</si>
  <si>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</si>
  <si>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</si>
  <si>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</si>
  <si>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</si>
  <si>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</si>
  <si>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</si>
  <si>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</si>
  <si>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</si>
  <si>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</si>
  <si>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</si>
  <si>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</si>
  <si>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</si>
  <si>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</si>
  <si>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</si>
  <si>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</si>
  <si>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</si>
  <si>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</si>
  <si>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</si>
  <si>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</si>
  <si>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</si>
  <si>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</si>
  <si>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</si>
  <si>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</si>
  <si>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</si>
  <si>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</si>
  <si>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</si>
  <si>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</si>
  <si>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</si>
  <si>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</si>
  <si>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</si>
  <si>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</si>
  <si>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</si>
  <si>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</si>
  <si>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</si>
  <si>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</si>
  <si>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</si>
  <si>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</si>
  <si>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</si>
  <si>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</si>
  <si>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</si>
  <si>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</si>
  <si>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</si>
  <si>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</si>
  <si>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</si>
  <si>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</si>
  <si>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</si>
  <si>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</si>
  <si>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r>
      <t>L'utente effettua l'accesso al sistema SIEP come "</t>
    </r>
    <r>
      <rPr>
        <b/>
        <sz val="10"/>
        <rFont val="Arial"/>
        <family val="2"/>
      </rPr>
      <t xml:space="preserve">Procura della Repubblica Presso il Tribunale Ordinario di </t>
    </r>
    <r>
      <rPr>
        <b/>
        <u/>
        <sz val="10"/>
        <rFont val="Arial"/>
        <family val="2"/>
      </rPr>
      <t>Napoli Nord</t>
    </r>
    <r>
      <rPr>
        <sz val="10"/>
        <rFont val="Arial"/>
        <family val="2"/>
      </rPr>
      <t>"</t>
    </r>
  </si>
  <si>
    <r>
      <t>Axxxxx (</t>
    </r>
    <r>
      <rPr>
        <b/>
        <sz val="10"/>
        <rFont val="Arial"/>
        <family val="2"/>
      </rPr>
      <t xml:space="preserve">Procura della Repubblica Presso il Tribunale Ordinario di </t>
    </r>
    <r>
      <rPr>
        <b/>
        <u/>
        <sz val="10"/>
        <rFont val="Arial"/>
        <family val="2"/>
      </rPr>
      <t>Napoli Nord</t>
    </r>
    <r>
      <rPr>
        <sz val="10"/>
        <rFont val="Arial"/>
        <family val="2"/>
      </rPr>
      <t>)</t>
    </r>
  </si>
  <si>
    <t>Gestione Altre Sanzioni » Riscossione Pene Pecuniarie » Gestione Bollettini PagoPA » Richiesta Bollettini</t>
  </si>
  <si>
    <r>
      <t>Visualizzazione pagina "</t>
    </r>
    <r>
      <rPr>
        <b/>
        <sz val="10"/>
        <rFont val="Arial"/>
        <family val="2"/>
      </rPr>
      <t>Richiesta a PagoPA Generazione Bollettini Pagamento Pena Pecuniaria</t>
    </r>
    <r>
      <rPr>
        <sz val="10"/>
        <rFont val="Arial"/>
        <family val="2"/>
      </rPr>
      <t>"</t>
    </r>
  </si>
  <si>
    <r>
      <t>L'utente clicca sull'icona "</t>
    </r>
    <r>
      <rPr>
        <b/>
        <sz val="10"/>
        <rFont val="Arial"/>
        <family val="2"/>
      </rPr>
      <t>Genera Avviso PagoPA</t>
    </r>
    <r>
      <rPr>
        <sz val="10"/>
        <rFont val="Arial"/>
        <family val="2"/>
      </rPr>
      <t>" nella colonna "</t>
    </r>
    <r>
      <rPr>
        <b/>
        <sz val="10"/>
        <rFont val="Arial"/>
        <family val="2"/>
      </rPr>
      <t>Inoltra</t>
    </r>
    <r>
      <rPr>
        <sz val="10"/>
        <rFont val="Arial"/>
        <family val="2"/>
      </rPr>
      <t>"</t>
    </r>
  </si>
  <si>
    <r>
      <t>L'utente clicca sul tasto "</t>
    </r>
    <r>
      <rPr>
        <b/>
        <sz val="10"/>
        <rFont val="Arial"/>
        <family val="2"/>
      </rPr>
      <t>Salva</t>
    </r>
    <r>
      <rPr>
        <sz val="10"/>
        <rFont val="Arial"/>
        <family val="2"/>
      </rPr>
      <t>"</t>
    </r>
  </si>
  <si>
    <t>Ricercare o iscrivere un procedimento in cui sia presente un ordine esecuzione di ingiunzione al pagamento della pena pecuniaria validato</t>
  </si>
  <si>
    <r>
      <t>Visualizzazione pagina "</t>
    </r>
    <r>
      <rPr>
        <b/>
        <sz val="10"/>
        <rFont val="Arial"/>
        <family val="2"/>
      </rPr>
      <t>Stato Bolletini per Pagamento Pena Pecuniaria</t>
    </r>
    <r>
      <rPr>
        <sz val="10"/>
        <rFont val="Arial"/>
        <family val="2"/>
      </rPr>
      <t>"</t>
    </r>
  </si>
  <si>
    <r>
      <t>Verificare che l'operazione vada a buon fine ovvero che non si presenti più il messaggio di errore "</t>
    </r>
    <r>
      <rPr>
        <b/>
        <sz val="10"/>
        <rFont val="Arial"/>
        <family val="2"/>
      </rPr>
      <t>Valore codice ufficio obbligatorio</t>
    </r>
    <r>
      <rPr>
        <sz val="10"/>
        <rFont val="Arial"/>
        <family val="2"/>
      </rPr>
      <t>"</t>
    </r>
  </si>
  <si>
    <t>La risoluzione del ticket è stato testata ed approvata già nel distretto interessato in data 19/10/2023</t>
  </si>
  <si>
    <t>SIUT-SIES-PT-1.0-20231222-Piano_dei_Test_SIES_v.12.5.6.0.docx</t>
  </si>
  <si>
    <t>SIES v.12.5.6.0</t>
  </si>
  <si>
    <t>SIUT-SIES-CT-1.0-20231222-Allegato_al_piano_test_SIES_v.12.5.6.0.xlsx</t>
  </si>
  <si>
    <t>SIEP</t>
  </si>
  <si>
    <t>RITM0609865 - SIEP - False pendenze</t>
  </si>
  <si>
    <t>Verifica: Verificare che non ci siano false pendenze per alcuni fascicoli di Classe I</t>
  </si>
  <si>
    <t>Errore nelle statistiche SIEP - riepilogo ispettivo - causa false pendenze</t>
  </si>
  <si>
    <t>20023/2023 SIEP PROCURA NAPOLI NORD</t>
  </si>
  <si>
    <t>Errore nella elaborazione del bollettino</t>
  </si>
  <si>
    <t>Verifica: Verificare che quando si elabora l'ordine di esecuzione per le pene pecuniarie il bollettino venga prodotto correttamente</t>
  </si>
  <si>
    <r>
      <t>L'utente effettua l'accesso al sistema SIEP come "</t>
    </r>
    <r>
      <rPr>
        <b/>
        <sz val="10"/>
        <rFont val="Arial"/>
        <family val="2"/>
      </rPr>
      <t>Procura della Repubblica Presso il Tribunale Ordinario</t>
    </r>
    <r>
      <rPr>
        <sz val="10"/>
        <rFont val="Arial"/>
        <family val="2"/>
      </rPr>
      <t>"</t>
    </r>
  </si>
  <si>
    <r>
      <t>Axxxxx (</t>
    </r>
    <r>
      <rPr>
        <b/>
        <sz val="10"/>
        <rFont val="Arial"/>
        <family val="2"/>
      </rPr>
      <t>Procura della Repubblica Presso il Tribunale Ordinario</t>
    </r>
    <r>
      <rPr>
        <sz val="10"/>
        <rFont val="Arial"/>
        <family val="2"/>
      </rPr>
      <t>)</t>
    </r>
  </si>
  <si>
    <t>Ripristino parametri riepilogo lavoro magistrati ticket 20231017016</t>
  </si>
  <si>
    <t>SIUS - Residenze per l'esecuzione delle misure di sicurezza (REMS)</t>
  </si>
  <si>
    <t>SIUS</t>
  </si>
  <si>
    <t>Verifica: Verificare che quando si sceglie il Tipo Autorità sia presente la voce REMS</t>
  </si>
  <si>
    <t>Errore nella statistica SIEP - Classe I - Attività Magistrati</t>
  </si>
  <si>
    <t>Verifica: Verificare che nella statistica di Classe I per attività Magistrati siano presenti anche quelli colegati ai Classe I</t>
  </si>
  <si>
    <t>Errore nella lista dei tipi autorità presentata a video</t>
  </si>
  <si>
    <r>
      <t>L'utente effettua l'accesso al sistema SIUS come "</t>
    </r>
    <r>
      <rPr>
        <b/>
        <sz val="10"/>
        <rFont val="Arial"/>
        <family val="2"/>
      </rPr>
      <t>Ufficio di Sorveglianza</t>
    </r>
    <r>
      <rPr>
        <sz val="10"/>
        <rFont val="Arial"/>
        <family val="2"/>
      </rPr>
      <t>"</t>
    </r>
  </si>
  <si>
    <r>
      <t>Exxxxx (</t>
    </r>
    <r>
      <rPr>
        <b/>
        <sz val="10"/>
        <rFont val="Arial"/>
        <family val="2"/>
      </rPr>
      <t>Ufficio di Sorveglianza</t>
    </r>
    <r>
      <rPr>
        <sz val="10"/>
        <rFont val="Arial"/>
        <family val="2"/>
      </rPr>
      <t>)</t>
    </r>
  </si>
  <si>
    <t>Fase istruttoria » Richiesta Atti</t>
  </si>
  <si>
    <t>Anno e Numero fascicolo qualsiasi</t>
  </si>
  <si>
    <r>
      <t>L'utente clicca sul link "</t>
    </r>
    <r>
      <rPr>
        <b/>
        <sz val="10"/>
        <rFont val="Arial"/>
        <family val="2"/>
      </rPr>
      <t>Relazione comportamentale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</si>
  <si>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Richiesta stampa relazione comportamentale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</si>
  <si>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Richiesta Documenti Istruttori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</si>
  <si>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Richiesta Atti</t>
    </r>
    <r>
      <rPr>
        <sz val="10"/>
        <rFont val="Arial"/>
        <family val="2"/>
      </rPr>
      <t>"</t>
    </r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</si>
  <si>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</si>
  <si>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>Verificare che nella selezione "</t>
    </r>
    <r>
      <rPr>
        <b/>
        <sz val="10"/>
        <rFont val="Arial"/>
        <family val="2"/>
      </rPr>
      <t>Tipo</t>
    </r>
    <r>
      <rPr>
        <sz val="10"/>
        <rFont val="Arial"/>
        <family val="2"/>
      </rPr>
      <t>" sia presente la voce "</t>
    </r>
    <r>
      <rPr>
        <b/>
        <sz val="10"/>
        <rFont val="Arial"/>
        <family val="2"/>
      </rPr>
      <t>Residenza Esecuzione Misura Sicurezza</t>
    </r>
    <r>
      <rPr>
        <sz val="10"/>
        <rFont val="Arial"/>
        <family val="2"/>
      </rPr>
      <t>"</t>
    </r>
  </si>
  <si>
    <t>Statistiche/Monitoraggio » Statistiche - Estrazione Dati » Classe I » Tempi Iscrizione Fascicoli</t>
  </si>
  <si>
    <r>
      <t>Visualizzazione pagina "</t>
    </r>
    <r>
      <rPr>
        <b/>
        <sz val="10"/>
        <rFont val="Arial"/>
        <family val="2"/>
      </rPr>
      <t>STATISTICHE UFFICIO - TEMPI ISCRIZIONI PROCEDIMENTI</t>
    </r>
    <r>
      <rPr>
        <sz val="10"/>
        <rFont val="Arial"/>
        <family val="2"/>
      </rPr>
      <t>"</t>
    </r>
  </si>
  <si>
    <r>
      <t>Visualizzazione file "</t>
    </r>
    <r>
      <rPr>
        <b/>
        <sz val="10"/>
        <rFont val="Arial"/>
        <family val="2"/>
      </rPr>
      <t>Document.xls</t>
    </r>
    <r>
      <rPr>
        <sz val="10"/>
        <rFont val="Arial"/>
        <family val="2"/>
      </rPr>
      <t>"</t>
    </r>
  </si>
  <si>
    <r>
      <t>L'utente riempie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</si>
  <si>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>Premere il tasto "</t>
    </r>
    <r>
      <rPr>
        <b/>
        <sz val="10"/>
        <color indexed="10"/>
        <rFont val="Arial"/>
        <family val="2"/>
      </rPr>
      <t>Conferma</t>
    </r>
    <r>
      <rPr>
        <sz val="10"/>
        <color indexed="10"/>
        <rFont val="Arial"/>
        <family val="2"/>
      </rPr>
      <t>"</t>
    </r>
  </si>
  <si>
    <t>SIUS - MODELLO SIUS_OR_DEPOSITOORDINANZA.RTF CON PROBLEMI</t>
  </si>
  <si>
    <t>Errore nella produzione della stampa del deposito ordinanza</t>
  </si>
  <si>
    <t>Verifica: Verificare che nella stampa del deposito dell'ordinanza non sia più presente la dicitura ridondante "Notifica tramite SNT"</t>
  </si>
  <si>
    <t>Ordinanze » Emissione Ordinanza</t>
  </si>
  <si>
    <r>
      <t>Visualizzazione pagina "</t>
    </r>
    <r>
      <rPr>
        <b/>
        <sz val="10"/>
        <rFont val="Arial"/>
        <family val="2"/>
      </rPr>
      <t>Emissione Ordinanza</t>
    </r>
    <r>
      <rPr>
        <sz val="10"/>
        <rFont val="Arial"/>
        <family val="2"/>
      </rPr>
      <t>"</t>
    </r>
  </si>
  <si>
    <r>
      <t>Exxxxx (Ufficio</t>
    </r>
    <r>
      <rPr>
        <b/>
        <sz val="10"/>
        <rFont val="Arial"/>
        <family val="2"/>
      </rPr>
      <t xml:space="preserve"> di Sorveglianza</t>
    </r>
    <r>
      <rPr>
        <sz val="10"/>
        <rFont val="Arial"/>
        <family val="2"/>
      </rPr>
      <t>)</t>
    </r>
  </si>
  <si>
    <r>
      <t>Visualizzazione pagina "</t>
    </r>
    <r>
      <rPr>
        <b/>
        <sz val="10"/>
        <rFont val="Arial"/>
        <family val="2"/>
      </rPr>
      <t>Emissione Ordinanza di ...</t>
    </r>
    <r>
      <rPr>
        <sz val="10"/>
        <rFont val="Arial"/>
        <family val="2"/>
      </rPr>
      <t>"</t>
    </r>
  </si>
  <si>
    <t>Ricercare un fascicolo con qualsiasi contenuto in stato iscritto</t>
  </si>
  <si>
    <r>
      <t>Visualizzazione pagina "</t>
    </r>
    <r>
      <rPr>
        <b/>
        <sz val="10"/>
        <rFont val="Arial"/>
        <family val="2"/>
      </rPr>
      <t>Dettaglio Ordinanza</t>
    </r>
    <r>
      <rPr>
        <sz val="10"/>
        <rFont val="Arial"/>
        <family val="2"/>
      </rPr>
      <t>"</t>
    </r>
  </si>
  <si>
    <r>
      <t>L'utente clicca sull'icona di "</t>
    </r>
    <r>
      <rPr>
        <b/>
        <sz val="10"/>
        <rFont val="Arial"/>
        <family val="2"/>
      </rPr>
      <t>Upload Stampa</t>
    </r>
    <r>
      <rPr>
        <sz val="10"/>
        <rFont val="Arial"/>
        <family val="2"/>
      </rPr>
      <t>" mette la spunta su "</t>
    </r>
    <r>
      <rPr>
        <b/>
        <sz val="10"/>
        <rFont val="Arial"/>
        <family val="2"/>
      </rPr>
      <t>Valida Documento</t>
    </r>
    <r>
      <rPr>
        <sz val="10"/>
        <rFont val="Arial"/>
        <family val="2"/>
      </rPr>
      <t>"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</si>
  <si>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Ordinanze » Deposito Ordinanza</t>
  </si>
  <si>
    <r>
      <t>Visualizzazione pagina "</t>
    </r>
    <r>
      <rPr>
        <b/>
        <sz val="10"/>
        <rFont val="Arial"/>
        <family val="2"/>
      </rPr>
      <t>Deposito Ordinanza SIUS del ...</t>
    </r>
    <r>
      <rPr>
        <sz val="10"/>
        <rFont val="Arial"/>
        <family val="2"/>
      </rPr>
      <t>"</t>
    </r>
  </si>
  <si>
    <r>
      <t>L'utente seleziona il radioButton "</t>
    </r>
    <r>
      <rPr>
        <b/>
        <sz val="10"/>
        <rFont val="Arial"/>
        <family val="2"/>
      </rPr>
      <t>Deposito Ordinanza e Trasmissione</t>
    </r>
    <r>
      <rPr>
        <sz val="10"/>
        <rFont val="Arial"/>
        <family val="2"/>
      </rPr>
      <t>",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</si>
  <si>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Valorizzare tra i destinatari del provvedimento l'autorità delegata alla notifica al difensore</t>
  </si>
  <si>
    <r>
      <t>Visualizzazione pagina "</t>
    </r>
    <r>
      <rPr>
        <b/>
        <sz val="10"/>
        <rFont val="Arial"/>
        <family val="2"/>
      </rPr>
      <t>Dettaglio Deposito Ordinanza</t>
    </r>
    <r>
      <rPr>
        <sz val="10"/>
        <rFont val="Arial"/>
        <family val="2"/>
      </rPr>
      <t>"</t>
    </r>
  </si>
  <si>
    <r>
      <t>L'utente clicca sull'icona di "</t>
    </r>
    <r>
      <rPr>
        <b/>
        <sz val="10"/>
        <rFont val="Arial"/>
        <family val="2"/>
      </rPr>
      <t>Generazione Stampa</t>
    </r>
    <r>
      <rPr>
        <sz val="10"/>
        <rFont val="Arial"/>
        <family val="2"/>
      </rPr>
      <t>"</t>
    </r>
  </si>
  <si>
    <r>
      <t>Verificare che nel documento prodotto non sia presente la riga (es. "</t>
    </r>
    <r>
      <rPr>
        <b/>
        <sz val="10"/>
        <color rgb="FFFF0000"/>
        <rFont val="Arial"/>
        <family val="2"/>
      </rPr>
      <t>Notifica tramite SNT di TORINO - per quanto di competenza</t>
    </r>
    <r>
      <rPr>
        <sz val="10"/>
        <color rgb="FFFF0000"/>
        <rFont val="Arial"/>
        <family val="2"/>
      </rPr>
      <t>") senza riferimento ad alcun avvocato</t>
    </r>
  </si>
  <si>
    <r>
      <t>Verificare che nel foglio di lavoro "</t>
    </r>
    <r>
      <rPr>
        <b/>
        <sz val="10"/>
        <rFont val="Arial"/>
        <family val="2"/>
      </rPr>
      <t>Dettaglio</t>
    </r>
    <r>
      <rPr>
        <sz val="10"/>
        <rFont val="Arial"/>
        <family val="2"/>
      </rPr>
      <t xml:space="preserve">" </t>
    </r>
    <r>
      <rPr>
        <b/>
        <sz val="10"/>
        <rFont val="Arial"/>
        <family val="2"/>
      </rPr>
      <t>NON</t>
    </r>
    <r>
      <rPr>
        <sz val="10"/>
        <rFont val="Arial"/>
        <family val="2"/>
      </rPr>
      <t xml:space="preserve"> siano riportati solo i fascicoli iscritti in classe I, ma anche quelli collegati ad essi</t>
    </r>
  </si>
  <si>
    <t>Ricercare od iscrivere Iscrivere un procedimento contenente anche la pena pecuniaria</t>
  </si>
  <si>
    <t xml:space="preserve">Ordini di Esecuzione/Scarcerazione » Sospensione Esecuzione ex art. 656 c.p.p. » Ordine di Esecuzione </t>
  </si>
  <si>
    <r>
      <t>Visualizzazione pagina "</t>
    </r>
    <r>
      <rPr>
        <b/>
        <sz val="10"/>
        <rFont val="Arial"/>
        <family val="2"/>
      </rPr>
      <t>Ordine di Esecuzione con sospensione (LEGGE 165/98) - CONDANNATO ...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</si>
  <si>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Ordine esecuzione legge 165/98 - condannato ...</t>
    </r>
    <r>
      <rPr>
        <sz val="10"/>
        <rFont val="Arial"/>
        <family val="2"/>
      </rPr>
      <t>"</t>
    </r>
  </si>
  <si>
    <r>
      <t>L'utente clicca sull'icona di "</t>
    </r>
    <r>
      <rPr>
        <b/>
        <sz val="10"/>
        <rFont val="Arial"/>
        <family val="2"/>
      </rPr>
      <t>Generazione Stampa</t>
    </r>
    <r>
      <rPr>
        <sz val="10"/>
        <rFont val="Arial"/>
        <family val="2"/>
      </rPr>
      <t>" mette la spunta su "</t>
    </r>
    <r>
      <rPr>
        <b/>
        <sz val="10"/>
        <rFont val="Arial"/>
        <family val="2"/>
      </rPr>
      <t>Valida Documento</t>
    </r>
    <r>
      <rPr>
        <sz val="10"/>
        <rFont val="Arial"/>
        <family val="2"/>
      </rPr>
      <t>"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</si>
  <si>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Statistiche/Monitoraggio » Statistiche - Estrazione Dati » Classe I » Riepilogo Ispettivo</t>
  </si>
  <si>
    <r>
      <t>Visualizzazione pagina "</t>
    </r>
    <r>
      <rPr>
        <b/>
        <sz val="10"/>
        <rFont val="Arial"/>
        <family val="2"/>
      </rPr>
      <t>STATISTICHE UFFICIO - RIEPILOGO STATI PROCEDIMENTI -</t>
    </r>
    <r>
      <rPr>
        <sz val="10"/>
        <rFont val="Arial"/>
        <family val="2"/>
      </rPr>
      <t>"</t>
    </r>
  </si>
  <si>
    <r>
      <t>L'utente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</si>
  <si>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STATISTICHE UFFICIO - RIEPILOGO STATI PROCEDIMENTI</t>
    </r>
    <r>
      <rPr>
        <sz val="10"/>
        <rFont val="Arial"/>
        <family val="2"/>
      </rPr>
      <t>"</t>
    </r>
  </si>
  <si>
    <r>
      <t>L'utente preme il tasto "</t>
    </r>
    <r>
      <rPr>
        <b/>
        <sz val="10"/>
        <rFont val="Arial"/>
        <family val="2"/>
      </rPr>
      <t>Seleziona Tutti</t>
    </r>
    <r>
      <rPr>
        <sz val="10"/>
        <rFont val="Arial"/>
        <family val="2"/>
      </rPr>
      <t>" e poi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</si>
  <si>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Gestione Altre Sanzioni » Conversione Pene Pecuniarie » Iscrizione Procedimento (richiesta conversione)</t>
  </si>
  <si>
    <r>
      <t>Visualizzazione pagina "</t>
    </r>
    <r>
      <rPr>
        <b/>
        <sz val="10"/>
        <rFont val="Arial"/>
        <family val="2"/>
      </rPr>
      <t>Iscrizione Richiesta Conversione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</si>
  <si>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Richiesta Conversione</t>
    </r>
    <r>
      <rPr>
        <sz val="10"/>
        <rFont val="Arial"/>
        <family val="2"/>
      </rPr>
      <t>"</t>
    </r>
  </si>
  <si>
    <r>
      <t xml:space="preserve">Verificare che il procedimento figuri </t>
    </r>
    <r>
      <rPr>
        <sz val="10"/>
        <rFont val="Arial"/>
        <family val="2"/>
      </rPr>
      <t>tra i "</t>
    </r>
    <r>
      <rPr>
        <b/>
        <sz val="10"/>
        <rFont val="Arial"/>
        <family val="2"/>
      </rPr>
      <t>PROCEDIMENTI IN ATTESA DEFINIZIONE DECRETO DI SOSPENSIONE - Ordine di Esecuzione con Decreto di Sospensione in Corso di Notifica</t>
    </r>
    <r>
      <rPr>
        <sz val="10"/>
        <rFont val="Arial"/>
        <family val="2"/>
      </rPr>
      <t>"</t>
    </r>
  </si>
  <si>
    <r>
      <t>Verificare che il procedimento sia presente nella scheda "</t>
    </r>
    <r>
      <rPr>
        <b/>
        <sz val="10"/>
        <rFont val="Arial"/>
        <family val="2"/>
      </rPr>
      <t>Altre Posizioni</t>
    </r>
    <r>
      <rPr>
        <sz val="10"/>
        <rFont val="Arial"/>
        <family val="2"/>
      </rPr>
      <t>"</t>
    </r>
  </si>
  <si>
    <r>
      <t>Premere "</t>
    </r>
    <r>
      <rPr>
        <b/>
        <sz val="10"/>
        <color rgb="FFFF0000"/>
        <rFont val="Arial"/>
        <family val="2"/>
      </rPr>
      <t>OK</t>
    </r>
    <r>
      <rPr>
        <sz val="10"/>
        <color rgb="FFFF0000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</si>
</sst>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8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sz val="10"/>
      <color indexed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7" fillId="0" borderId="0"/>
  </cellStyleXfs>
  <cellXfs count="590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8" fillId="11" borderId="67" xfId="0" applyNumberFormat="1" applyFont="1" applyFill="1" applyBorder="1" applyAlignment="1">
      <alignment horizontal="center" vertical="center" wrapText="1"/>
    </xf>
    <xf numFmtId="49" fontId="58" fillId="11" borderId="47" xfId="0" applyNumberFormat="1" applyFont="1" applyFill="1" applyBorder="1" applyAlignment="1">
      <alignment horizontal="center" vertical="center" wrapText="1"/>
    </xf>
    <xf numFmtId="0" fontId="58" fillId="20" borderId="68" xfId="0" applyNumberFormat="1" applyFont="1" applyFill="1" applyBorder="1" applyAlignment="1">
      <alignment horizontal="center" vertical="center" wrapText="1"/>
    </xf>
    <xf numFmtId="49" fontId="59" fillId="0" borderId="0" xfId="0" applyNumberFormat="1" applyFont="1" applyAlignment="1">
      <alignment horizontal="center" vertical="center"/>
    </xf>
    <xf numFmtId="0" fontId="59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9" fillId="0" borderId="0" xfId="0" applyNumberFormat="1" applyFont="1" applyBorder="1" applyAlignment="1">
      <alignment horizontal="center" vertical="center"/>
    </xf>
    <xf numFmtId="49" fontId="59" fillId="0" borderId="0" xfId="0" applyNumberFormat="1" applyFont="1" applyBorder="1" applyAlignment="1">
      <alignment horizontal="center" vertical="center"/>
    </xf>
    <xf numFmtId="0" fontId="60" fillId="2" borderId="69" xfId="0" applyNumberFormat="1" applyFont="1" applyFill="1" applyBorder="1" applyAlignment="1">
      <alignment horizontal="center" vertical="center"/>
    </xf>
    <xf numFmtId="49" fontId="58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49" fontId="58" fillId="9" borderId="71" xfId="0" applyNumberFormat="1" applyFont="1" applyFill="1" applyBorder="1" applyAlignment="1">
      <alignment horizontal="center" vertical="center" wrapText="1"/>
    </xf>
    <xf numFmtId="49" fontId="58" fillId="9" borderId="72" xfId="0" applyNumberFormat="1" applyFont="1" applyFill="1" applyBorder="1" applyAlignment="1">
      <alignment horizontal="center" vertical="center" wrapText="1"/>
    </xf>
    <xf numFmtId="49" fontId="58" fillId="13" borderId="72" xfId="0" applyNumberFormat="1" applyFont="1" applyFill="1" applyBorder="1" applyAlignment="1">
      <alignment horizontal="center" vertical="center" wrapText="1"/>
    </xf>
    <xf numFmtId="49" fontId="58" fillId="20" borderId="72" xfId="0" applyNumberFormat="1" applyFont="1" applyFill="1" applyBorder="1" applyAlignment="1">
      <alignment horizontal="center" vertical="center" wrapText="1"/>
    </xf>
    <xf numFmtId="0" fontId="58" fillId="11" borderId="72" xfId="0" applyNumberFormat="1" applyFont="1" applyFill="1" applyBorder="1" applyAlignment="1">
      <alignment horizontal="center" vertical="center" wrapText="1"/>
    </xf>
    <xf numFmtId="49" fontId="58" fillId="11" borderId="72" xfId="0" applyNumberFormat="1" applyFont="1" applyFill="1" applyBorder="1" applyAlignment="1">
      <alignment horizontal="center" vertical="center" wrapText="1"/>
    </xf>
    <xf numFmtId="49" fontId="58" fillId="11" borderId="73" xfId="0" applyNumberFormat="1" applyFont="1" applyFill="1" applyBorder="1" applyAlignment="1">
      <alignment horizontal="center" vertical="center" wrapText="1"/>
    </xf>
    <xf numFmtId="0" fontId="61" fillId="0" borderId="69" xfId="0" applyNumberFormat="1" applyFont="1" applyFill="1" applyBorder="1" applyAlignment="1">
      <alignment horizontal="center" vertical="center" wrapText="1" shrinkToFit="1"/>
    </xf>
    <xf numFmtId="0" fontId="61" fillId="0" borderId="69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13" borderId="2" xfId="0" applyNumberFormat="1" applyFont="1" applyFill="1" applyBorder="1" applyAlignment="1">
      <alignment horizontal="center" vertical="center" wrapText="1"/>
    </xf>
    <xf numFmtId="0" fontId="64" fillId="0" borderId="17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6" borderId="93" xfId="0" applyNumberFormat="1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14" borderId="93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5" fillId="0" borderId="0" xfId="0" applyFont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0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8" fillId="2" borderId="69" xfId="0" applyNumberFormat="1" applyFont="1" applyFill="1" applyBorder="1" applyAlignment="1">
      <alignment horizontal="center" vertical="center"/>
    </xf>
    <xf numFmtId="0" fontId="61" fillId="0" borderId="69" xfId="0" applyNumberFormat="1" applyFont="1" applyFill="1" applyBorder="1" applyAlignment="1" applyProtection="1">
      <alignment horizontal="center" vertical="center"/>
      <protection locked="0"/>
    </xf>
    <xf numFmtId="49" fontId="60" fillId="0" borderId="69" xfId="0" applyNumberFormat="1" applyFont="1" applyBorder="1" applyAlignment="1">
      <alignment horizontal="center" vertical="center" wrapText="1"/>
    </xf>
    <xf numFmtId="49" fontId="60" fillId="2" borderId="69" xfId="0" applyNumberFormat="1" applyFont="1" applyFill="1" applyBorder="1" applyAlignment="1">
      <alignment horizontal="center" vertical="center"/>
    </xf>
    <xf numFmtId="49" fontId="59" fillId="0" borderId="69" xfId="0" applyNumberFormat="1" applyFont="1" applyBorder="1" applyAlignment="1">
      <alignment horizontal="center" vertical="center"/>
    </xf>
    <xf numFmtId="49" fontId="59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5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0" fontId="0" fillId="0" borderId="80" xfId="0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6" fillId="9" borderId="4" xfId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49" fontId="59" fillId="0" borderId="94" xfId="0" applyNumberFormat="1" applyFont="1" applyBorder="1" applyAlignment="1">
      <alignment horizontal="center" vertical="center"/>
    </xf>
    <xf numFmtId="49" fontId="59" fillId="0" borderId="95" xfId="0" applyNumberFormat="1" applyFont="1" applyBorder="1" applyAlignment="1">
      <alignment horizontal="center" vertical="center"/>
    </xf>
    <xf numFmtId="1" fontId="59" fillId="0" borderId="95" xfId="0" applyNumberFormat="1" applyFont="1" applyBorder="1" applyAlignment="1">
      <alignment horizontal="center" vertical="center"/>
    </xf>
    <xf numFmtId="0" fontId="59" fillId="0" borderId="95" xfId="0" applyFont="1" applyBorder="1" applyAlignment="1">
      <alignment horizontal="center" vertical="center" wrapText="1"/>
    </xf>
    <xf numFmtId="49" fontId="59" fillId="22" borderId="95" xfId="0" applyNumberFormat="1" applyFont="1" applyFill="1" applyBorder="1" applyAlignment="1">
      <alignment horizontal="center" vertical="center" wrapText="1"/>
    </xf>
    <xf numFmtId="0" fontId="63" fillId="0" borderId="95" xfId="3" applyFont="1" applyBorder="1" applyAlignment="1">
      <alignment horizontal="center" vertical="center" wrapText="1"/>
    </xf>
    <xf numFmtId="0" fontId="59" fillId="0" borderId="95" xfId="0" applyNumberFormat="1" applyFont="1" applyBorder="1" applyAlignment="1">
      <alignment horizontal="center" vertical="center" wrapText="1"/>
    </xf>
    <xf numFmtId="49" fontId="59" fillId="0" borderId="95" xfId="0" applyNumberFormat="1" applyFont="1" applyBorder="1" applyAlignment="1">
      <alignment horizontal="center" vertical="center" wrapText="1"/>
    </xf>
    <xf numFmtId="0" fontId="59" fillId="0" borderId="96" xfId="0" applyNumberFormat="1" applyFont="1" applyFill="1" applyBorder="1" applyAlignment="1">
      <alignment horizontal="center" vertical="center" wrapText="1"/>
    </xf>
    <xf numFmtId="49" fontId="59" fillId="0" borderId="97" xfId="0" applyNumberFormat="1" applyFont="1" applyBorder="1" applyAlignment="1">
      <alignment horizontal="center" vertical="center"/>
    </xf>
    <xf numFmtId="49" fontId="59" fillId="0" borderId="1" xfId="0" applyNumberFormat="1" applyFont="1" applyBorder="1" applyAlignment="1">
      <alignment horizontal="center" vertical="center"/>
    </xf>
    <xf numFmtId="1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49" fontId="59" fillId="22" borderId="1" xfId="0" applyNumberFormat="1" applyFont="1" applyFill="1" applyBorder="1" applyAlignment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59" fillId="0" borderId="1" xfId="0" applyNumberFormat="1" applyFont="1" applyBorder="1" applyAlignment="1">
      <alignment horizontal="center" vertical="center" wrapText="1"/>
    </xf>
    <xf numFmtId="49" fontId="59" fillId="0" borderId="1" xfId="0" applyNumberFormat="1" applyFont="1" applyBorder="1" applyAlignment="1">
      <alignment horizontal="center" vertical="center" wrapText="1"/>
    </xf>
    <xf numFmtId="0" fontId="59" fillId="0" borderId="98" xfId="0" applyNumberFormat="1" applyFont="1" applyFill="1" applyBorder="1" applyAlignment="1">
      <alignment horizontal="center" vertical="center" wrapText="1"/>
    </xf>
    <xf numFmtId="49" fontId="59" fillId="0" borderId="99" xfId="0" applyNumberFormat="1" applyFont="1" applyBorder="1" applyAlignment="1">
      <alignment horizontal="center" vertical="center"/>
    </xf>
    <xf numFmtId="49" fontId="59" fillId="0" borderId="100" xfId="0" applyNumberFormat="1" applyFont="1" applyBorder="1" applyAlignment="1">
      <alignment horizontal="center" vertical="center"/>
    </xf>
    <xf numFmtId="1" fontId="59" fillId="0" borderId="100" xfId="0" applyNumberFormat="1" applyFont="1" applyBorder="1" applyAlignment="1">
      <alignment horizontal="center" vertical="center"/>
    </xf>
    <xf numFmtId="0" fontId="59" fillId="0" borderId="100" xfId="0" applyFont="1" applyBorder="1" applyAlignment="1">
      <alignment horizontal="center" vertical="center" wrapText="1"/>
    </xf>
    <xf numFmtId="49" fontId="59" fillId="22" borderId="100" xfId="0" applyNumberFormat="1" applyFont="1" applyFill="1" applyBorder="1" applyAlignment="1">
      <alignment horizontal="center" vertical="center" wrapText="1"/>
    </xf>
    <xf numFmtId="0" fontId="63" fillId="0" borderId="100" xfId="3" applyFont="1" applyBorder="1" applyAlignment="1">
      <alignment horizontal="center" vertical="center" wrapText="1"/>
    </xf>
    <xf numFmtId="0" fontId="59" fillId="0" borderId="100" xfId="0" applyNumberFormat="1" applyFont="1" applyBorder="1" applyAlignment="1">
      <alignment horizontal="center" vertical="center" wrapText="1"/>
    </xf>
    <xf numFmtId="49" fontId="59" fillId="0" borderId="100" xfId="0" applyNumberFormat="1" applyFont="1" applyBorder="1" applyAlignment="1">
      <alignment horizontal="center" vertical="center" wrapText="1"/>
    </xf>
    <xf numFmtId="0" fontId="59" fillId="0" borderId="101" xfId="0" applyNumberFormat="1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2.emf"/><Relationship Id="rId1" Type="http://schemas.openxmlformats.org/officeDocument/2006/relationships/image" Target="../media/image26.emf"/><Relationship Id="rId6" Type="http://schemas.openxmlformats.org/officeDocument/2006/relationships/image" Target="../media/image23.emf"/><Relationship Id="rId5" Type="http://schemas.openxmlformats.org/officeDocument/2006/relationships/image" Target="../media/image24.emf"/><Relationship Id="rId4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17351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105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0</xdr:row>
      <xdr:rowOff>495300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59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5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4.emf"/><Relationship Id="rId4" Type="http://schemas.openxmlformats.org/officeDocument/2006/relationships/control" Target="../activeX/activeX7.xml"/><Relationship Id="rId9" Type="http://schemas.openxmlformats.org/officeDocument/2006/relationships/image" Target="../media/image16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1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8.emf"/><Relationship Id="rId4" Type="http://schemas.openxmlformats.org/officeDocument/2006/relationships/control" Target="../activeX/activeX10.xml"/><Relationship Id="rId9" Type="http://schemas.openxmlformats.org/officeDocument/2006/relationships/image" Target="../media/image20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2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5" Type="http://schemas.openxmlformats.org/officeDocument/2006/relationships/image" Target="../media/image26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3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64" t="s">
        <v>560</v>
      </c>
      <c r="B3" s="364"/>
    </row>
    <row r="4" spans="1:2" ht="16.899999999999999" customHeight="1">
      <c r="A4" s="364" t="s">
        <v>460</v>
      </c>
      <c r="B4" s="365"/>
    </row>
    <row r="5" spans="1:2" ht="18.600000000000001" customHeight="1">
      <c r="A5" s="364" t="s">
        <v>461</v>
      </c>
      <c r="B5" s="365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63" t="s">
        <v>67</v>
      </c>
      <c r="B15" s="363"/>
    </row>
    <row r="16" spans="1:2" ht="19.899999999999999" customHeight="1">
      <c r="A16" s="363" t="s">
        <v>564</v>
      </c>
      <c r="B16" s="363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66" t="s">
        <v>50</v>
      </c>
      <c r="B4" s="367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66" t="s">
        <v>56</v>
      </c>
      <c r="B9" s="367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</row>
    <row r="2" spans="1:52" ht="75" customHeight="1">
      <c r="A2" s="306"/>
      <c r="B2" s="368" t="s">
        <v>594</v>
      </c>
      <c r="C2" s="368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</row>
    <row r="3" spans="1:52" ht="17.45" customHeight="1">
      <c r="A3" s="306"/>
      <c r="B3" s="308" t="s">
        <v>601</v>
      </c>
      <c r="C3" s="307" t="s">
        <v>619</v>
      </c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</row>
    <row r="4" spans="1:52" ht="16.149999999999999" customHeight="1">
      <c r="A4" s="306"/>
      <c r="B4" s="308" t="s">
        <v>574</v>
      </c>
      <c r="C4" s="307" t="s">
        <v>617</v>
      </c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0"/>
      <c r="AS4" s="370"/>
      <c r="AT4" s="370"/>
      <c r="AU4" s="370"/>
      <c r="AV4" s="370"/>
      <c r="AW4" s="370"/>
      <c r="AX4" s="370"/>
      <c r="AY4" s="370"/>
      <c r="AZ4" s="370"/>
    </row>
    <row r="5" spans="1:52" ht="16.149999999999999" customHeight="1">
      <c r="A5" s="306"/>
      <c r="B5" s="308" t="s">
        <v>174</v>
      </c>
      <c r="C5" s="307" t="s">
        <v>337</v>
      </c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  <c r="AN5" s="370"/>
      <c r="AO5" s="370"/>
      <c r="AP5" s="370"/>
      <c r="AQ5" s="370"/>
      <c r="AR5" s="370"/>
      <c r="AS5" s="370"/>
      <c r="AT5" s="370"/>
      <c r="AU5" s="370"/>
      <c r="AV5" s="370"/>
      <c r="AW5" s="370"/>
      <c r="AX5" s="370"/>
      <c r="AY5" s="370"/>
      <c r="AZ5" s="370"/>
    </row>
    <row r="6" spans="1:52" ht="16.149999999999999" customHeight="1">
      <c r="A6" s="306"/>
      <c r="B6" s="308" t="s">
        <v>602</v>
      </c>
      <c r="C6" s="309">
        <v>45282</v>
      </c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  <c r="AC6" s="370"/>
      <c r="AD6" s="370"/>
      <c r="AE6" s="370"/>
      <c r="AF6" s="370"/>
      <c r="AG6" s="370"/>
      <c r="AH6" s="370"/>
      <c r="AI6" s="370"/>
      <c r="AJ6" s="370"/>
      <c r="AK6" s="370"/>
      <c r="AL6" s="370"/>
      <c r="AM6" s="370"/>
      <c r="AN6" s="370"/>
      <c r="AO6" s="370"/>
      <c r="AP6" s="370"/>
      <c r="AQ6" s="370"/>
      <c r="AR6" s="370"/>
      <c r="AS6" s="370"/>
      <c r="AT6" s="370"/>
      <c r="AU6" s="370"/>
      <c r="AV6" s="370"/>
      <c r="AW6" s="370"/>
      <c r="AX6" s="370"/>
      <c r="AY6" s="370"/>
      <c r="AZ6" s="370"/>
    </row>
    <row r="7" spans="1:52" ht="16.149999999999999" customHeight="1">
      <c r="A7" s="306"/>
      <c r="B7" s="308" t="s">
        <v>603</v>
      </c>
      <c r="C7" s="307" t="s">
        <v>618</v>
      </c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0"/>
      <c r="AE7" s="370"/>
      <c r="AF7" s="370"/>
      <c r="AG7" s="370"/>
      <c r="AH7" s="370"/>
      <c r="AI7" s="370"/>
      <c r="AJ7" s="370"/>
      <c r="AK7" s="370"/>
      <c r="AL7" s="370"/>
      <c r="AM7" s="370"/>
      <c r="AN7" s="370"/>
      <c r="AO7" s="370"/>
      <c r="AP7" s="370"/>
      <c r="AQ7" s="370"/>
      <c r="AR7" s="370"/>
      <c r="AS7" s="370"/>
      <c r="AT7" s="370"/>
      <c r="AU7" s="370"/>
      <c r="AV7" s="370"/>
      <c r="AW7" s="370"/>
      <c r="AX7" s="370"/>
      <c r="AY7" s="370"/>
      <c r="AZ7" s="370"/>
    </row>
    <row r="8" spans="1:52" ht="16.149999999999999" customHeight="1">
      <c r="A8" s="306"/>
      <c r="B8" s="308" t="s">
        <v>604</v>
      </c>
      <c r="C8" s="307" t="s">
        <v>605</v>
      </c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370"/>
      <c r="AE8" s="370"/>
      <c r="AF8" s="370"/>
      <c r="AG8" s="370"/>
      <c r="AH8" s="370"/>
      <c r="AI8" s="370"/>
      <c r="AJ8" s="370"/>
      <c r="AK8" s="370"/>
      <c r="AL8" s="370"/>
      <c r="AM8" s="370"/>
      <c r="AN8" s="370"/>
      <c r="AO8" s="370"/>
      <c r="AP8" s="370"/>
      <c r="AQ8" s="370"/>
      <c r="AR8" s="370"/>
      <c r="AS8" s="370"/>
      <c r="AT8" s="370"/>
      <c r="AU8" s="370"/>
      <c r="AV8" s="370"/>
      <c r="AW8" s="370"/>
      <c r="AX8" s="370"/>
      <c r="AY8" s="370"/>
      <c r="AZ8" s="370"/>
    </row>
    <row r="9" spans="1:52" ht="111.75" customHeight="1">
      <c r="A9" s="306"/>
      <c r="B9" s="369" t="s">
        <v>575</v>
      </c>
      <c r="C9" s="369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70"/>
      <c r="AI9" s="370"/>
      <c r="AJ9" s="370"/>
      <c r="AK9" s="370"/>
      <c r="AL9" s="370"/>
      <c r="AM9" s="370"/>
      <c r="AN9" s="370"/>
      <c r="AO9" s="370"/>
      <c r="AP9" s="370"/>
      <c r="AQ9" s="370"/>
      <c r="AR9" s="370"/>
      <c r="AS9" s="370"/>
      <c r="AT9" s="370"/>
      <c r="AU9" s="370"/>
      <c r="AV9" s="370"/>
      <c r="AW9" s="370"/>
      <c r="AX9" s="370"/>
      <c r="AY9" s="370"/>
      <c r="AZ9" s="370"/>
    </row>
    <row r="10" spans="1:52" ht="16.149999999999999" customHeight="1"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  <c r="AB10" s="370"/>
      <c r="AC10" s="370"/>
      <c r="AD10" s="370"/>
      <c r="AE10" s="370"/>
      <c r="AF10" s="370"/>
      <c r="AG10" s="370"/>
      <c r="AH10" s="370"/>
      <c r="AI10" s="370"/>
      <c r="AJ10" s="370"/>
      <c r="AK10" s="370"/>
      <c r="AL10" s="370"/>
      <c r="AM10" s="370"/>
      <c r="AN10" s="370"/>
      <c r="AO10" s="370"/>
      <c r="AP10" s="370"/>
      <c r="AQ10" s="370"/>
      <c r="AR10" s="370"/>
      <c r="AS10" s="370"/>
      <c r="AT10" s="370"/>
      <c r="AU10" s="370"/>
      <c r="AV10" s="370"/>
      <c r="AW10" s="370"/>
      <c r="AX10" s="370"/>
      <c r="AY10" s="370"/>
      <c r="AZ10" s="370"/>
    </row>
    <row r="11" spans="1:52">
      <c r="B11" s="370"/>
      <c r="C11" s="370"/>
      <c r="D11" s="370"/>
      <c r="E11" s="370"/>
      <c r="F11" s="370"/>
      <c r="G11" s="370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  <c r="AA11" s="370"/>
      <c r="AB11" s="370"/>
      <c r="AC11" s="370"/>
      <c r="AD11" s="370"/>
      <c r="AE11" s="370"/>
      <c r="AF11" s="370"/>
      <c r="AG11" s="370"/>
      <c r="AH11" s="370"/>
      <c r="AI11" s="370"/>
      <c r="AJ11" s="370"/>
      <c r="AK11" s="370"/>
      <c r="AL11" s="370"/>
      <c r="AM11" s="370"/>
      <c r="AN11" s="370"/>
      <c r="AO11" s="370"/>
      <c r="AP11" s="370"/>
      <c r="AQ11" s="370"/>
      <c r="AR11" s="370"/>
      <c r="AS11" s="370"/>
      <c r="AT11" s="370"/>
      <c r="AU11" s="370"/>
      <c r="AV11" s="370"/>
      <c r="AW11" s="370"/>
      <c r="AX11" s="370"/>
      <c r="AY11" s="370"/>
      <c r="AZ11" s="370"/>
    </row>
    <row r="12" spans="1:52"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  <c r="AI12" s="370"/>
      <c r="AJ12" s="370"/>
      <c r="AK12" s="370"/>
      <c r="AL12" s="370"/>
      <c r="AM12" s="370"/>
      <c r="AN12" s="370"/>
      <c r="AO12" s="370"/>
      <c r="AP12" s="370"/>
      <c r="AQ12" s="370"/>
      <c r="AR12" s="370"/>
      <c r="AS12" s="370"/>
      <c r="AT12" s="370"/>
      <c r="AU12" s="370"/>
      <c r="AV12" s="370"/>
      <c r="AW12" s="370"/>
      <c r="AX12" s="370"/>
      <c r="AY12" s="370"/>
      <c r="AZ12" s="370"/>
    </row>
    <row r="13" spans="1:52"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  <c r="AG13" s="370"/>
      <c r="AH13" s="370"/>
      <c r="AI13" s="370"/>
      <c r="AJ13" s="370"/>
      <c r="AK13" s="370"/>
      <c r="AL13" s="370"/>
      <c r="AM13" s="370"/>
      <c r="AN13" s="370"/>
      <c r="AO13" s="370"/>
      <c r="AP13" s="370"/>
      <c r="AQ13" s="370"/>
      <c r="AR13" s="370"/>
      <c r="AS13" s="370"/>
      <c r="AT13" s="370"/>
      <c r="AU13" s="370"/>
      <c r="AV13" s="370"/>
      <c r="AW13" s="370"/>
      <c r="AX13" s="370"/>
      <c r="AY13" s="370"/>
      <c r="AZ13" s="370"/>
    </row>
    <row r="14" spans="1:52"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  <c r="AF14" s="370"/>
      <c r="AG14" s="370"/>
      <c r="AH14" s="370"/>
      <c r="AI14" s="370"/>
      <c r="AJ14" s="370"/>
      <c r="AK14" s="370"/>
      <c r="AL14" s="370"/>
      <c r="AM14" s="370"/>
      <c r="AN14" s="370"/>
      <c r="AO14" s="370"/>
      <c r="AP14" s="370"/>
      <c r="AQ14" s="370"/>
      <c r="AR14" s="370"/>
      <c r="AS14" s="370"/>
      <c r="AT14" s="370"/>
      <c r="AU14" s="370"/>
      <c r="AV14" s="370"/>
      <c r="AW14" s="370"/>
      <c r="AX14" s="370"/>
      <c r="AY14" s="370"/>
      <c r="AZ14" s="370"/>
    </row>
    <row r="15" spans="1:52">
      <c r="B15" s="370"/>
      <c r="C15" s="370"/>
      <c r="D15" s="370"/>
      <c r="E15" s="370"/>
      <c r="F15" s="370"/>
      <c r="G15" s="370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  <c r="AA15" s="370"/>
      <c r="AB15" s="370"/>
      <c r="AC15" s="370"/>
      <c r="AD15" s="370"/>
      <c r="AE15" s="370"/>
      <c r="AF15" s="370"/>
      <c r="AG15" s="370"/>
      <c r="AH15" s="370"/>
      <c r="AI15" s="370"/>
      <c r="AJ15" s="370"/>
      <c r="AK15" s="370"/>
      <c r="AL15" s="370"/>
      <c r="AM15" s="370"/>
      <c r="AN15" s="370"/>
      <c r="AO15" s="370"/>
      <c r="AP15" s="370"/>
      <c r="AQ15" s="370"/>
      <c r="AR15" s="370"/>
      <c r="AS15" s="370"/>
      <c r="AT15" s="370"/>
      <c r="AU15" s="370"/>
      <c r="AV15" s="370"/>
      <c r="AW15" s="370"/>
      <c r="AX15" s="370"/>
      <c r="AY15" s="370"/>
      <c r="AZ15" s="370"/>
    </row>
    <row r="16" spans="1:52"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0"/>
      <c r="AD16" s="370"/>
      <c r="AE16" s="370"/>
      <c r="AF16" s="370"/>
      <c r="AG16" s="370"/>
      <c r="AH16" s="370"/>
      <c r="AI16" s="370"/>
      <c r="AJ16" s="370"/>
      <c r="AK16" s="370"/>
      <c r="AL16" s="370"/>
      <c r="AM16" s="370"/>
      <c r="AN16" s="370"/>
      <c r="AO16" s="370"/>
      <c r="AP16" s="370"/>
      <c r="AQ16" s="370"/>
      <c r="AR16" s="370"/>
      <c r="AS16" s="370"/>
      <c r="AT16" s="370"/>
      <c r="AU16" s="370"/>
      <c r="AV16" s="370"/>
      <c r="AW16" s="370"/>
      <c r="AX16" s="370"/>
      <c r="AY16" s="370"/>
      <c r="AZ16" s="370"/>
    </row>
    <row r="17" spans="2:52"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  <c r="AA17" s="370"/>
      <c r="AB17" s="370"/>
      <c r="AC17" s="370"/>
      <c r="AD17" s="370"/>
      <c r="AE17" s="370"/>
      <c r="AF17" s="370"/>
      <c r="AG17" s="370"/>
      <c r="AH17" s="370"/>
      <c r="AI17" s="370"/>
      <c r="AJ17" s="370"/>
      <c r="AK17" s="370"/>
      <c r="AL17" s="370"/>
      <c r="AM17" s="370"/>
      <c r="AN17" s="370"/>
      <c r="AO17" s="370"/>
      <c r="AP17" s="370"/>
      <c r="AQ17" s="370"/>
      <c r="AR17" s="370"/>
      <c r="AS17" s="370"/>
      <c r="AT17" s="370"/>
      <c r="AU17" s="370"/>
      <c r="AV17" s="370"/>
      <c r="AW17" s="370"/>
      <c r="AX17" s="370"/>
      <c r="AY17" s="370"/>
      <c r="AZ17" s="370"/>
    </row>
    <row r="18" spans="2:52"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70"/>
      <c r="AE18" s="370"/>
      <c r="AF18" s="370"/>
      <c r="AG18" s="370"/>
      <c r="AH18" s="370"/>
      <c r="AI18" s="370"/>
      <c r="AJ18" s="370"/>
      <c r="AK18" s="370"/>
      <c r="AL18" s="370"/>
      <c r="AM18" s="370"/>
      <c r="AN18" s="370"/>
      <c r="AO18" s="370"/>
      <c r="AP18" s="370"/>
      <c r="AQ18" s="370"/>
      <c r="AR18" s="370"/>
      <c r="AS18" s="370"/>
      <c r="AT18" s="370"/>
      <c r="AU18" s="370"/>
      <c r="AV18" s="370"/>
      <c r="AW18" s="370"/>
      <c r="AX18" s="370"/>
      <c r="AY18" s="370"/>
      <c r="AZ18" s="370"/>
    </row>
    <row r="19" spans="2:52"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</row>
    <row r="20" spans="2:52"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/>
      <c r="AE20" s="370"/>
      <c r="AF20" s="370"/>
      <c r="AG20" s="370"/>
      <c r="AH20" s="370"/>
      <c r="AI20" s="370"/>
      <c r="AJ20" s="370"/>
      <c r="AK20" s="370"/>
      <c r="AL20" s="370"/>
      <c r="AM20" s="370"/>
      <c r="AN20" s="370"/>
      <c r="AO20" s="370"/>
      <c r="AP20" s="370"/>
      <c r="AQ20" s="370"/>
      <c r="AR20" s="370"/>
      <c r="AS20" s="370"/>
      <c r="AT20" s="370"/>
      <c r="AU20" s="370"/>
      <c r="AV20" s="370"/>
      <c r="AW20" s="370"/>
      <c r="AX20" s="370"/>
      <c r="AY20" s="370"/>
      <c r="AZ20" s="370"/>
    </row>
    <row r="21" spans="2:52"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0"/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</row>
    <row r="22" spans="2:52">
      <c r="B22" s="370"/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  <c r="AO22" s="370"/>
      <c r="AP22" s="370"/>
      <c r="AQ22" s="370"/>
      <c r="AR22" s="370"/>
      <c r="AS22" s="370"/>
      <c r="AT22" s="370"/>
      <c r="AU22" s="370"/>
      <c r="AV22" s="370"/>
      <c r="AW22" s="370"/>
      <c r="AX22" s="370"/>
      <c r="AY22" s="370"/>
      <c r="AZ22" s="370"/>
    </row>
    <row r="23" spans="2:52">
      <c r="B23" s="370"/>
      <c r="C23" s="370"/>
      <c r="D23" s="370"/>
      <c r="E23" s="370"/>
      <c r="F23" s="370"/>
      <c r="G23" s="370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  <c r="AB23" s="370"/>
      <c r="AC23" s="370"/>
      <c r="AD23" s="370"/>
      <c r="AE23" s="370"/>
      <c r="AF23" s="370"/>
      <c r="AG23" s="370"/>
      <c r="AH23" s="370"/>
      <c r="AI23" s="370"/>
      <c r="AJ23" s="370"/>
      <c r="AK23" s="370"/>
      <c r="AL23" s="370"/>
      <c r="AM23" s="370"/>
      <c r="AN23" s="370"/>
      <c r="AO23" s="370"/>
      <c r="AP23" s="370"/>
      <c r="AQ23" s="370"/>
      <c r="AR23" s="370"/>
      <c r="AS23" s="370"/>
      <c r="AT23" s="370"/>
      <c r="AU23" s="370"/>
      <c r="AV23" s="370"/>
      <c r="AW23" s="370"/>
      <c r="AX23" s="370"/>
      <c r="AY23" s="370"/>
      <c r="AZ23" s="370"/>
    </row>
    <row r="24" spans="2:52">
      <c r="B24" s="370"/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0"/>
      <c r="AI24" s="370"/>
      <c r="AJ24" s="370"/>
      <c r="AK24" s="370"/>
      <c r="AL24" s="370"/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0"/>
      <c r="AZ24" s="370"/>
    </row>
    <row r="25" spans="2:52">
      <c r="B25" s="370"/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  <c r="AB25" s="370"/>
      <c r="AC25" s="370"/>
      <c r="AD25" s="370"/>
      <c r="AE25" s="370"/>
      <c r="AF25" s="370"/>
      <c r="AG25" s="370"/>
      <c r="AH25" s="370"/>
      <c r="AI25" s="370"/>
      <c r="AJ25" s="370"/>
      <c r="AK25" s="370"/>
      <c r="AL25" s="370"/>
      <c r="AM25" s="370"/>
      <c r="AN25" s="370"/>
      <c r="AO25" s="370"/>
      <c r="AP25" s="370"/>
      <c r="AQ25" s="370"/>
      <c r="AR25" s="370"/>
      <c r="AS25" s="370"/>
      <c r="AT25" s="370"/>
      <c r="AU25" s="370"/>
      <c r="AV25" s="370"/>
      <c r="AW25" s="370"/>
      <c r="AX25" s="370"/>
      <c r="AY25" s="370"/>
      <c r="AZ25" s="370"/>
    </row>
    <row r="26" spans="2:52">
      <c r="B26" s="370"/>
      <c r="C26" s="370"/>
      <c r="D26" s="370"/>
      <c r="E26" s="370"/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0"/>
      <c r="AD26" s="370"/>
      <c r="AE26" s="370"/>
      <c r="AF26" s="370"/>
      <c r="AG26" s="370"/>
      <c r="AH26" s="370"/>
      <c r="AI26" s="370"/>
      <c r="AJ26" s="370"/>
      <c r="AK26" s="370"/>
      <c r="AL26" s="370"/>
      <c r="AM26" s="370"/>
      <c r="AN26" s="370"/>
      <c r="AO26" s="370"/>
      <c r="AP26" s="370"/>
      <c r="AQ26" s="370"/>
      <c r="AR26" s="370"/>
      <c r="AS26" s="370"/>
      <c r="AT26" s="370"/>
      <c r="AU26" s="370"/>
      <c r="AV26" s="370"/>
      <c r="AW26" s="370"/>
      <c r="AX26" s="370"/>
      <c r="AY26" s="370"/>
      <c r="AZ26" s="370"/>
    </row>
    <row r="27" spans="2:52"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70"/>
      <c r="AH27" s="370"/>
      <c r="AI27" s="370"/>
      <c r="AJ27" s="370"/>
      <c r="AK27" s="370"/>
      <c r="AL27" s="370"/>
      <c r="AM27" s="370"/>
      <c r="AN27" s="370"/>
      <c r="AO27" s="370"/>
      <c r="AP27" s="370"/>
      <c r="AQ27" s="370"/>
      <c r="AR27" s="370"/>
      <c r="AS27" s="370"/>
      <c r="AT27" s="370"/>
      <c r="AU27" s="370"/>
      <c r="AV27" s="370"/>
      <c r="AW27" s="370"/>
      <c r="AX27" s="370"/>
      <c r="AY27" s="370"/>
      <c r="AZ27" s="370"/>
    </row>
    <row r="28" spans="2:52">
      <c r="B28" s="370"/>
      <c r="C28" s="370"/>
      <c r="D28" s="370"/>
      <c r="E28" s="370"/>
      <c r="F28" s="370"/>
      <c r="G28" s="370"/>
      <c r="H28" s="370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  <c r="AA28" s="370"/>
      <c r="AB28" s="370"/>
      <c r="AC28" s="370"/>
      <c r="AD28" s="370"/>
      <c r="AE28" s="370"/>
      <c r="AF28" s="370"/>
      <c r="AG28" s="370"/>
      <c r="AH28" s="370"/>
      <c r="AI28" s="370"/>
      <c r="AJ28" s="370"/>
      <c r="AK28" s="370"/>
      <c r="AL28" s="370"/>
      <c r="AM28" s="370"/>
      <c r="AN28" s="370"/>
      <c r="AO28" s="370"/>
      <c r="AP28" s="370"/>
      <c r="AQ28" s="370"/>
      <c r="AR28" s="370"/>
      <c r="AS28" s="370"/>
      <c r="AT28" s="370"/>
      <c r="AU28" s="370"/>
      <c r="AV28" s="370"/>
      <c r="AW28" s="370"/>
      <c r="AX28" s="370"/>
      <c r="AY28" s="370"/>
      <c r="AZ28" s="370"/>
    </row>
    <row r="29" spans="2:52"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  <c r="AA29" s="370"/>
      <c r="AB29" s="370"/>
      <c r="AC29" s="370"/>
      <c r="AD29" s="370"/>
      <c r="AE29" s="370"/>
      <c r="AF29" s="370"/>
      <c r="AG29" s="370"/>
      <c r="AH29" s="370"/>
      <c r="AI29" s="370"/>
      <c r="AJ29" s="370"/>
      <c r="AK29" s="370"/>
      <c r="AL29" s="370"/>
      <c r="AM29" s="370"/>
      <c r="AN29" s="370"/>
      <c r="AO29" s="370"/>
      <c r="AP29" s="370"/>
      <c r="AQ29" s="370"/>
      <c r="AR29" s="370"/>
      <c r="AS29" s="370"/>
      <c r="AT29" s="370"/>
      <c r="AU29" s="370"/>
      <c r="AV29" s="370"/>
      <c r="AW29" s="370"/>
      <c r="AX29" s="370"/>
      <c r="AY29" s="370"/>
      <c r="AZ29" s="370"/>
    </row>
    <row r="30" spans="2:52"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  <c r="AC30" s="370"/>
      <c r="AD30" s="370"/>
      <c r="AE30" s="370"/>
      <c r="AF30" s="370"/>
      <c r="AG30" s="370"/>
      <c r="AH30" s="370"/>
      <c r="AI30" s="370"/>
      <c r="AJ30" s="370"/>
      <c r="AK30" s="370"/>
      <c r="AL30" s="370"/>
      <c r="AM30" s="370"/>
      <c r="AN30" s="370"/>
      <c r="AO30" s="370"/>
      <c r="AP30" s="370"/>
      <c r="AQ30" s="370"/>
      <c r="AR30" s="370"/>
      <c r="AS30" s="370"/>
      <c r="AT30" s="370"/>
      <c r="AU30" s="370"/>
      <c r="AV30" s="370"/>
      <c r="AW30" s="370"/>
      <c r="AX30" s="370"/>
      <c r="AY30" s="370"/>
      <c r="AZ30" s="370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872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54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9.95" customHeight="1" thickTop="1" thickBot="1">
      <c r="A1" s="371" t="s">
        <v>515</v>
      </c>
      <c r="B1" s="371"/>
      <c r="C1" s="371"/>
      <c r="D1" s="373" t="str">
        <f xml:space="preserve"> Copertina!C7</f>
        <v>SIES v.12.5.6.0</v>
      </c>
      <c r="E1" s="373"/>
      <c r="F1" s="373"/>
      <c r="G1" s="373"/>
      <c r="H1" s="371" t="s">
        <v>424</v>
      </c>
      <c r="I1" s="374"/>
      <c r="J1" s="317" t="str">
        <f>Copertina!C3</f>
        <v>SIUT-SIES-CT-1.0-20231222-Allegato_al_piano_test_SIES_v.12.5.6.0.xlsx</v>
      </c>
      <c r="K1" s="300" t="s">
        <v>174</v>
      </c>
      <c r="L1" s="318" t="str">
        <f>Copertina!C5</f>
        <v>1.0</v>
      </c>
      <c r="M1" s="301"/>
      <c r="N1" s="301"/>
      <c r="O1" s="372"/>
      <c r="P1" s="372"/>
      <c r="Q1" s="372"/>
      <c r="R1" s="372"/>
      <c r="S1" s="372"/>
      <c r="T1" s="372"/>
      <c r="U1" s="372"/>
    </row>
    <row r="2" spans="1:21" s="293" customFormat="1" ht="30" customHeight="1" thickTop="1" thickBot="1">
      <c r="A2" s="375" t="s">
        <v>175</v>
      </c>
      <c r="B2" s="376"/>
      <c r="C2" s="376"/>
      <c r="D2" s="371" t="s">
        <v>338</v>
      </c>
      <c r="E2" s="377"/>
      <c r="F2" s="377"/>
      <c r="G2" s="377"/>
      <c r="H2" s="377"/>
      <c r="I2" s="377"/>
      <c r="J2" s="377"/>
      <c r="K2" s="371" t="s">
        <v>8</v>
      </c>
      <c r="L2" s="371"/>
      <c r="M2" s="371"/>
      <c r="N2" s="371"/>
      <c r="O2" s="371"/>
      <c r="P2" s="371"/>
      <c r="Q2" s="371"/>
      <c r="R2" s="371"/>
      <c r="S2" s="371"/>
      <c r="T2" s="371"/>
      <c r="U2" s="371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45" customHeight="1" thickTop="1">
      <c r="A4" s="563" t="s">
        <v>593</v>
      </c>
      <c r="B4" s="564" t="s">
        <v>595</v>
      </c>
      <c r="C4" s="565">
        <v>20230914017</v>
      </c>
      <c r="D4" s="565"/>
      <c r="E4" s="565"/>
      <c r="F4" s="565">
        <f>C4</f>
        <v>20230914017</v>
      </c>
      <c r="G4" s="566" t="s">
        <v>621</v>
      </c>
      <c r="H4" s="564"/>
      <c r="I4" s="567" t="s">
        <v>620</v>
      </c>
      <c r="J4" s="568" t="str">
        <f>CONCATENATE(I4," - ",G4)</f>
        <v>SIEP - RITM0609865 - SIEP - False pendenze</v>
      </c>
      <c r="K4" s="569" t="str">
        <f>CONCATENATE("TF001.",I4)</f>
        <v>TF001.SIEP</v>
      </c>
      <c r="L4" s="570" t="s">
        <v>623</v>
      </c>
      <c r="M4" s="570"/>
      <c r="N4" s="570"/>
      <c r="O4" s="570"/>
      <c r="P4" s="569" t="s">
        <v>622</v>
      </c>
      <c r="Q4" s="571" t="s">
        <v>337</v>
      </c>
      <c r="T4" s="294"/>
    </row>
    <row r="5" spans="1:21" s="299" customFormat="1" ht="45" customHeight="1">
      <c r="A5" s="572" t="s">
        <v>593</v>
      </c>
      <c r="B5" s="573" t="s">
        <v>595</v>
      </c>
      <c r="C5" s="574">
        <v>20231018015</v>
      </c>
      <c r="D5" s="574"/>
      <c r="E5" s="574"/>
      <c r="F5" s="574">
        <f t="shared" ref="F5:F7" si="0">C5</f>
        <v>20231018015</v>
      </c>
      <c r="G5" s="575" t="s">
        <v>624</v>
      </c>
      <c r="H5" s="573"/>
      <c r="I5" s="576" t="s">
        <v>620</v>
      </c>
      <c r="J5" s="577" t="str">
        <f t="shared" ref="J5:J7" si="1">CONCATENATE(I5," - ",G5)</f>
        <v>SIEP - 20023/2023 SIEP PROCURA NAPOLI NORD</v>
      </c>
      <c r="K5" s="578" t="str">
        <f>CONCATENATE("TF002.",I5)</f>
        <v>TF002.SIEP</v>
      </c>
      <c r="L5" s="579" t="s">
        <v>625</v>
      </c>
      <c r="M5" s="579"/>
      <c r="N5" s="579"/>
      <c r="O5" s="579"/>
      <c r="P5" s="578" t="s">
        <v>626</v>
      </c>
      <c r="Q5" s="580" t="s">
        <v>337</v>
      </c>
      <c r="T5" s="294"/>
    </row>
    <row r="6" spans="1:21" s="299" customFormat="1" ht="30" customHeight="1">
      <c r="A6" s="572" t="s">
        <v>593</v>
      </c>
      <c r="B6" s="573" t="s">
        <v>595</v>
      </c>
      <c r="C6" s="574">
        <v>20231213016</v>
      </c>
      <c r="D6" s="574"/>
      <c r="E6" s="574"/>
      <c r="F6" s="574">
        <f t="shared" si="0"/>
        <v>20231213016</v>
      </c>
      <c r="G6" s="575" t="s">
        <v>630</v>
      </c>
      <c r="H6" s="573"/>
      <c r="I6" s="576" t="s">
        <v>631</v>
      </c>
      <c r="J6" s="577" t="str">
        <f t="shared" si="1"/>
        <v>SIUS - SIUS - Residenze per l'esecuzione delle misure di sicurezza (REMS)</v>
      </c>
      <c r="K6" s="578" t="str">
        <f t="shared" ref="K6" si="2">CONCATENATE("TF001.",I6)</f>
        <v>TF001.SIUS</v>
      </c>
      <c r="L6" s="579" t="s">
        <v>635</v>
      </c>
      <c r="M6" s="579"/>
      <c r="N6" s="579"/>
      <c r="O6" s="579"/>
      <c r="P6" s="578" t="s">
        <v>632</v>
      </c>
      <c r="Q6" s="580" t="s">
        <v>337</v>
      </c>
      <c r="T6" s="294"/>
    </row>
    <row r="7" spans="1:21" s="299" customFormat="1" ht="45" customHeight="1">
      <c r="A7" s="572" t="s">
        <v>593</v>
      </c>
      <c r="B7" s="573" t="s">
        <v>595</v>
      </c>
      <c r="C7" s="574">
        <v>202312140112</v>
      </c>
      <c r="D7" s="574"/>
      <c r="E7" s="574"/>
      <c r="F7" s="574">
        <f t="shared" si="0"/>
        <v>202312140112</v>
      </c>
      <c r="G7" s="575" t="s">
        <v>629</v>
      </c>
      <c r="H7" s="573"/>
      <c r="I7" s="576" t="s">
        <v>620</v>
      </c>
      <c r="J7" s="577" t="str">
        <f t="shared" si="1"/>
        <v>SIEP - Ripristino parametri riepilogo lavoro magistrati ticket 20231017016</v>
      </c>
      <c r="K7" s="578" t="str">
        <f>CONCATENATE("TF003.",I7)</f>
        <v>TF003.SIEP</v>
      </c>
      <c r="L7" s="579" t="s">
        <v>633</v>
      </c>
      <c r="M7" s="579"/>
      <c r="N7" s="579"/>
      <c r="O7" s="579"/>
      <c r="P7" s="578" t="s">
        <v>634</v>
      </c>
      <c r="Q7" s="580" t="s">
        <v>337</v>
      </c>
      <c r="T7" s="294"/>
    </row>
    <row r="8" spans="1:21" s="299" customFormat="1" ht="45" customHeight="1" thickBot="1">
      <c r="A8" s="581" t="s">
        <v>593</v>
      </c>
      <c r="B8" s="582" t="s">
        <v>595</v>
      </c>
      <c r="C8" s="583">
        <v>202312150118</v>
      </c>
      <c r="D8" s="583"/>
      <c r="E8" s="583"/>
      <c r="F8" s="583">
        <f t="shared" ref="F8" si="3">C8</f>
        <v>202312150118</v>
      </c>
      <c r="G8" s="584" t="s">
        <v>651</v>
      </c>
      <c r="H8" s="582"/>
      <c r="I8" s="585" t="s">
        <v>631</v>
      </c>
      <c r="J8" s="586" t="str">
        <f t="shared" ref="J8" si="4">CONCATENATE(I8," - ",G8)</f>
        <v>SIUS - SIUS - MODELLO SIUS_OR_DEPOSITOORDINANZA.RTF CON PROBLEMI</v>
      </c>
      <c r="K8" s="587" t="str">
        <f>CONCATENATE("TF002.",I8)</f>
        <v>TF002.SIUS</v>
      </c>
      <c r="L8" s="588" t="s">
        <v>652</v>
      </c>
      <c r="M8" s="588"/>
      <c r="N8" s="588"/>
      <c r="O8" s="588"/>
      <c r="P8" s="587" t="s">
        <v>653</v>
      </c>
      <c r="Q8" s="589" t="s">
        <v>337</v>
      </c>
      <c r="T8" s="294"/>
    </row>
    <row r="9" spans="1:21" ht="15" customHeight="1" thickTop="1"/>
    <row r="10" spans="1:21" ht="15" customHeight="1"/>
    <row r="11" spans="1:21" ht="15" customHeight="1"/>
    <row r="12" spans="1:21" ht="15" customHeight="1"/>
    <row r="13" spans="1:21" ht="15" customHeight="1"/>
    <row r="14" spans="1:21" ht="15" customHeight="1"/>
    <row r="15" spans="1:21" ht="15" customHeight="1"/>
    <row r="16" spans="1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ignoredErrors>
    <ignoredError sqref="K5" formula="1"/>
  </ignoredErrors>
  <drawing r:id="rId2"/>
  <legacyDrawing r:id="rId3"/>
  <controls>
    <mc:AlternateContent xmlns:mc="http://schemas.openxmlformats.org/markup-compatibility/2006">
      <mc:Choice Requires="x14">
        <control shapeId="219442" r:id="rId4" name="Btn_Duplicate">
          <controlPr defaultSize="0" print="0" autoLine="0" r:id="rId5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4" name="Btn_Duplicate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0" r:id="rId8" name="Btn_Insert">
          <controlPr defaultSize="0" print="0" autoLine="0" r:id="rId9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8" name="Btn_Insert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83" t="s">
        <v>212</v>
      </c>
      <c r="B1" s="384"/>
      <c r="C1" s="384"/>
      <c r="D1" s="385" t="s">
        <v>554</v>
      </c>
      <c r="E1" s="386"/>
      <c r="F1" s="386"/>
      <c r="G1" s="387"/>
      <c r="H1" s="383" t="s">
        <v>335</v>
      </c>
      <c r="I1" s="388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81"/>
      <c r="S1" s="381"/>
      <c r="T1" s="382"/>
    </row>
    <row r="2" spans="1:20" ht="21" customHeight="1" thickBot="1">
      <c r="A2" s="389" t="s">
        <v>175</v>
      </c>
      <c r="B2" s="390"/>
      <c r="C2" s="391"/>
      <c r="D2" s="392" t="s">
        <v>338</v>
      </c>
      <c r="E2" s="393"/>
      <c r="F2" s="393"/>
      <c r="G2" s="393"/>
      <c r="H2" s="393"/>
      <c r="I2" s="393"/>
      <c r="J2" s="394"/>
      <c r="K2" s="378" t="s">
        <v>8</v>
      </c>
      <c r="L2" s="379"/>
      <c r="M2" s="379"/>
      <c r="N2" s="379"/>
      <c r="O2" s="379"/>
      <c r="P2" s="379"/>
      <c r="Q2" s="379"/>
      <c r="R2" s="379"/>
      <c r="S2" s="379"/>
      <c r="T2" s="380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7" r:id="rId4" name="Btn_Duplicate">
          <controlPr defaultSize="0" autoLine="0" r:id="rId5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4" name="Btn_Duplicate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5" r:id="rId8" name="Btn_Insert">
          <controlPr defaultSize="0" autoLine="0" r:id="rId9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8" name="Btn_Insert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95" t="s">
        <v>565</v>
      </c>
      <c r="C2" s="395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96" t="s">
        <v>572</v>
      </c>
      <c r="C9" s="397"/>
      <c r="D9" s="398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54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414" t="s">
        <v>212</v>
      </c>
      <c r="B1" s="415"/>
      <c r="C1" s="416"/>
      <c r="D1" s="408" t="str">
        <f>Copertina!C7</f>
        <v>SIES v.12.5.6.0</v>
      </c>
      <c r="E1" s="409"/>
      <c r="F1" s="409"/>
      <c r="G1" s="409"/>
      <c r="H1" s="409"/>
      <c r="I1" s="409"/>
      <c r="J1" s="410"/>
    </row>
    <row r="2" spans="1:10" ht="30" customHeight="1" thickBot="1">
      <c r="A2" s="414" t="s">
        <v>74</v>
      </c>
      <c r="B2" s="415"/>
      <c r="C2" s="417"/>
      <c r="D2" s="411" t="str">
        <f>Copertina!C3</f>
        <v>SIUT-SIES-CT-1.0-20231222-Allegato_al_piano_test_SIES_v.12.5.6.0.xlsx</v>
      </c>
      <c r="E2" s="412"/>
      <c r="F2" s="412"/>
      <c r="G2" s="412"/>
      <c r="H2" s="412"/>
      <c r="I2" s="412"/>
      <c r="J2" s="413"/>
    </row>
    <row r="3" spans="1:10" ht="30" customHeight="1" thickBot="1">
      <c r="A3" s="302" t="s">
        <v>184</v>
      </c>
      <c r="B3" s="303" t="s">
        <v>588</v>
      </c>
      <c r="C3" s="418" t="s">
        <v>589</v>
      </c>
      <c r="D3" s="418"/>
      <c r="E3" s="418" t="s">
        <v>185</v>
      </c>
      <c r="F3" s="418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ht="30" customHeight="1" thickBot="1">
      <c r="A4" s="320" t="str">
        <f>TabellaTest!K4</f>
        <v>TF001.SIEP</v>
      </c>
      <c r="B4" s="321" t="str">
        <f>TabellaTest!I4</f>
        <v>SIEP</v>
      </c>
      <c r="C4" s="399" t="str">
        <f>TabellaTest!L4</f>
        <v>Errore nelle statistiche SIEP - riepilogo ispettivo - causa false pendenze</v>
      </c>
      <c r="D4" s="400"/>
      <c r="E4" s="401" t="str">
        <f>TabellaTest!P4</f>
        <v>Verifica: Verificare che non ci siano false pendenze per alcuni fascicoli di Classe I</v>
      </c>
      <c r="F4" s="400"/>
      <c r="G4" s="320" t="str">
        <f>TabellaTest!Q4</f>
        <v>1.0</v>
      </c>
      <c r="H4" s="305"/>
      <c r="I4" s="305"/>
      <c r="J4" s="320" t="s">
        <v>600</v>
      </c>
    </row>
    <row r="5" spans="1:10" ht="30" customHeight="1">
      <c r="A5" s="402"/>
      <c r="B5" s="322" t="s">
        <v>188</v>
      </c>
      <c r="C5" s="323" t="s">
        <v>189</v>
      </c>
      <c r="D5" s="323" t="s">
        <v>596</v>
      </c>
      <c r="E5" s="323" t="s">
        <v>597</v>
      </c>
      <c r="F5" s="324" t="s">
        <v>598</v>
      </c>
      <c r="G5" s="402"/>
      <c r="H5" s="327"/>
      <c r="I5" s="327"/>
      <c r="J5" s="405"/>
    </row>
    <row r="6" spans="1:10" ht="45" customHeight="1">
      <c r="A6" s="403"/>
      <c r="B6" s="325" t="s">
        <v>164</v>
      </c>
      <c r="C6" s="328" t="s">
        <v>193</v>
      </c>
      <c r="D6" s="329" t="s">
        <v>627</v>
      </c>
      <c r="E6" s="329" t="s">
        <v>628</v>
      </c>
      <c r="F6" s="330"/>
      <c r="G6" s="403"/>
      <c r="H6" s="319"/>
      <c r="I6" s="319"/>
      <c r="J6" s="406"/>
    </row>
    <row r="7" spans="1:10" ht="45" customHeight="1">
      <c r="A7" s="403"/>
      <c r="B7" s="325" t="s">
        <v>164</v>
      </c>
      <c r="C7" s="328" t="s">
        <v>194</v>
      </c>
      <c r="D7" s="329" t="s">
        <v>606</v>
      </c>
      <c r="E7" s="342" t="s">
        <v>669</v>
      </c>
      <c r="F7" s="353"/>
      <c r="G7" s="403"/>
      <c r="H7" s="319"/>
      <c r="I7" s="319"/>
      <c r="J7" s="406"/>
    </row>
    <row r="8" spans="1:10" ht="45" customHeight="1">
      <c r="A8" s="403"/>
      <c r="B8" s="340">
        <v>1</v>
      </c>
      <c r="C8" s="332" t="s">
        <v>195</v>
      </c>
      <c r="D8" s="333" t="s">
        <v>670</v>
      </c>
      <c r="E8" s="341"/>
      <c r="F8" s="335" t="s">
        <v>671</v>
      </c>
      <c r="G8" s="403"/>
      <c r="H8" s="319"/>
      <c r="I8" s="319"/>
      <c r="J8" s="406"/>
    </row>
    <row r="9" spans="1:10" ht="30" customHeight="1">
      <c r="A9" s="403"/>
      <c r="B9" s="339">
        <v>2</v>
      </c>
      <c r="C9" s="331" t="s">
        <v>196</v>
      </c>
      <c r="D9" s="333" t="s">
        <v>644</v>
      </c>
      <c r="E9" s="334"/>
      <c r="F9" s="335" t="s">
        <v>672</v>
      </c>
      <c r="G9" s="403"/>
      <c r="H9" s="319"/>
      <c r="I9" s="319"/>
      <c r="J9" s="406"/>
    </row>
    <row r="10" spans="1:10" ht="45" customHeight="1">
      <c r="A10" s="403"/>
      <c r="B10" s="339">
        <v>3</v>
      </c>
      <c r="C10" s="331" t="s">
        <v>196</v>
      </c>
      <c r="D10" s="333" t="s">
        <v>673</v>
      </c>
      <c r="E10" s="334"/>
      <c r="F10" s="335" t="s">
        <v>672</v>
      </c>
      <c r="G10" s="403"/>
      <c r="H10" s="319"/>
      <c r="I10" s="319"/>
      <c r="J10" s="406"/>
    </row>
    <row r="11" spans="1:10" s="351" customFormat="1" ht="45" customHeight="1">
      <c r="A11" s="403"/>
      <c r="B11" s="340">
        <v>4</v>
      </c>
      <c r="C11" s="332" t="s">
        <v>195</v>
      </c>
      <c r="D11" s="333" t="s">
        <v>674</v>
      </c>
      <c r="E11" s="341" t="s">
        <v>650</v>
      </c>
      <c r="F11" s="335" t="s">
        <v>675</v>
      </c>
      <c r="G11" s="403"/>
      <c r="H11" s="352"/>
      <c r="I11" s="352"/>
      <c r="J11" s="406"/>
    </row>
    <row r="12" spans="1:10" s="351" customFormat="1" ht="30" customHeight="1">
      <c r="A12" s="403"/>
      <c r="B12" s="339">
        <v>5</v>
      </c>
      <c r="C12" s="331" t="s">
        <v>196</v>
      </c>
      <c r="D12" s="333" t="s">
        <v>676</v>
      </c>
      <c r="E12" s="341"/>
      <c r="F12" s="335" t="s">
        <v>677</v>
      </c>
      <c r="G12" s="403"/>
      <c r="H12" s="352"/>
      <c r="I12" s="352"/>
      <c r="J12" s="406"/>
    </row>
    <row r="13" spans="1:10" s="351" customFormat="1" ht="30" customHeight="1">
      <c r="A13" s="403"/>
      <c r="B13" s="357">
        <v>6</v>
      </c>
      <c r="C13" s="358" t="s">
        <v>196</v>
      </c>
      <c r="D13" s="333" t="s">
        <v>678</v>
      </c>
      <c r="E13" s="341"/>
      <c r="F13" s="335" t="s">
        <v>648</v>
      </c>
      <c r="G13" s="403"/>
      <c r="H13" s="352"/>
      <c r="I13" s="352"/>
      <c r="J13" s="406"/>
    </row>
    <row r="14" spans="1:10" s="355" customFormat="1" ht="75" customHeight="1" thickBot="1">
      <c r="A14" s="403"/>
      <c r="B14" s="359" t="s">
        <v>199</v>
      </c>
      <c r="C14" s="360" t="s">
        <v>599</v>
      </c>
      <c r="D14" s="333" t="s">
        <v>682</v>
      </c>
      <c r="E14" s="333"/>
      <c r="F14" s="361"/>
      <c r="G14" s="403"/>
      <c r="H14" s="338"/>
      <c r="I14" s="338"/>
      <c r="J14" s="406"/>
    </row>
    <row r="15" spans="1:10" s="355" customFormat="1" ht="45" customHeight="1">
      <c r="A15" s="403"/>
      <c r="B15" s="340">
        <v>7</v>
      </c>
      <c r="C15" s="332" t="s">
        <v>195</v>
      </c>
      <c r="D15" s="333" t="s">
        <v>679</v>
      </c>
      <c r="E15" s="333"/>
      <c r="F15" s="335" t="s">
        <v>680</v>
      </c>
      <c r="G15" s="403"/>
      <c r="H15" s="356"/>
      <c r="I15" s="356"/>
      <c r="J15" s="406"/>
    </row>
    <row r="16" spans="1:10" s="355" customFormat="1" ht="30" customHeight="1">
      <c r="A16" s="403"/>
      <c r="B16" s="339">
        <v>8</v>
      </c>
      <c r="C16" s="331" t="s">
        <v>196</v>
      </c>
      <c r="D16" s="333" t="s">
        <v>644</v>
      </c>
      <c r="E16" s="342"/>
      <c r="F16" s="362" t="s">
        <v>681</v>
      </c>
      <c r="G16" s="403"/>
      <c r="H16" s="356"/>
      <c r="I16" s="356"/>
      <c r="J16" s="406"/>
    </row>
    <row r="17" spans="1:10" s="355" customFormat="1" ht="45" customHeight="1">
      <c r="A17" s="403"/>
      <c r="B17" s="340">
        <v>9</v>
      </c>
      <c r="C17" s="332" t="s">
        <v>195</v>
      </c>
      <c r="D17" s="333" t="s">
        <v>674</v>
      </c>
      <c r="E17" s="341" t="s">
        <v>650</v>
      </c>
      <c r="F17" s="335" t="s">
        <v>675</v>
      </c>
      <c r="G17" s="403"/>
      <c r="H17" s="356"/>
      <c r="I17" s="356"/>
      <c r="J17" s="406"/>
    </row>
    <row r="18" spans="1:10" s="355" customFormat="1" ht="30" customHeight="1">
      <c r="A18" s="403"/>
      <c r="B18" s="339">
        <v>10</v>
      </c>
      <c r="C18" s="331" t="s">
        <v>196</v>
      </c>
      <c r="D18" s="333" t="s">
        <v>676</v>
      </c>
      <c r="E18" s="341"/>
      <c r="F18" s="335" t="s">
        <v>677</v>
      </c>
      <c r="G18" s="403"/>
      <c r="H18" s="356"/>
      <c r="I18" s="356"/>
      <c r="J18" s="406"/>
    </row>
    <row r="19" spans="1:10" s="355" customFormat="1" ht="30" customHeight="1">
      <c r="A19" s="403"/>
      <c r="B19" s="357">
        <v>11</v>
      </c>
      <c r="C19" s="358" t="s">
        <v>196</v>
      </c>
      <c r="D19" s="333" t="s">
        <v>678</v>
      </c>
      <c r="E19" s="341"/>
      <c r="F19" s="335" t="s">
        <v>648</v>
      </c>
      <c r="G19" s="403"/>
      <c r="H19" s="356"/>
      <c r="I19" s="356"/>
      <c r="J19" s="406"/>
    </row>
    <row r="20" spans="1:10" ht="30" customHeight="1" thickBot="1">
      <c r="A20" s="404"/>
      <c r="B20" s="326" t="s">
        <v>199</v>
      </c>
      <c r="C20" s="336" t="s">
        <v>599</v>
      </c>
      <c r="D20" s="333" t="s">
        <v>683</v>
      </c>
      <c r="E20" s="337"/>
      <c r="F20" s="343"/>
      <c r="G20" s="404"/>
      <c r="H20" s="338"/>
      <c r="I20" s="338"/>
      <c r="J20" s="407"/>
    </row>
    <row r="21" spans="1:10" s="344" customFormat="1" ht="30" customHeight="1" thickBot="1">
      <c r="A21" s="320" t="str">
        <f>TabellaTest!K5</f>
        <v>TF002.SIEP</v>
      </c>
      <c r="B21" s="321" t="str">
        <f>TabellaTest!I5</f>
        <v>SIEP</v>
      </c>
      <c r="C21" s="399" t="str">
        <f>TabellaTest!L5</f>
        <v>Errore nella elaborazione del bollettino</v>
      </c>
      <c r="D21" s="400"/>
      <c r="E21" s="401" t="str">
        <f>TabellaTest!P5</f>
        <v>Verifica: Verificare che quando si elabora l'ordine di esecuzione per le pene pecuniarie il bollettino venga prodotto correttamente</v>
      </c>
      <c r="F21" s="400"/>
      <c r="G21" s="320" t="str">
        <f>TabellaTest!Q5</f>
        <v>1.0</v>
      </c>
      <c r="H21" s="305"/>
      <c r="I21" s="305"/>
      <c r="J21" s="320" t="s">
        <v>600</v>
      </c>
    </row>
    <row r="22" spans="1:10" s="344" customFormat="1" ht="30" customHeight="1">
      <c r="A22" s="402"/>
      <c r="B22" s="322" t="s">
        <v>188</v>
      </c>
      <c r="C22" s="323" t="s">
        <v>189</v>
      </c>
      <c r="D22" s="323" t="s">
        <v>596</v>
      </c>
      <c r="E22" s="323" t="s">
        <v>597</v>
      </c>
      <c r="F22" s="324" t="s">
        <v>598</v>
      </c>
      <c r="G22" s="402"/>
      <c r="H22" s="327"/>
      <c r="I22" s="327"/>
      <c r="J22" s="405"/>
    </row>
    <row r="23" spans="1:10" s="344" customFormat="1" ht="45" customHeight="1">
      <c r="A23" s="403"/>
      <c r="B23" s="325" t="s">
        <v>164</v>
      </c>
      <c r="C23" s="328" t="s">
        <v>193</v>
      </c>
      <c r="D23" s="329" t="s">
        <v>607</v>
      </c>
      <c r="E23" s="329" t="s">
        <v>608</v>
      </c>
      <c r="F23" s="330"/>
      <c r="G23" s="403"/>
      <c r="H23" s="345"/>
      <c r="I23" s="345"/>
      <c r="J23" s="406"/>
    </row>
    <row r="24" spans="1:10" s="344" customFormat="1" ht="60" customHeight="1">
      <c r="A24" s="403"/>
      <c r="B24" s="325" t="s">
        <v>164</v>
      </c>
      <c r="C24" s="328" t="s">
        <v>194</v>
      </c>
      <c r="D24" s="329" t="s">
        <v>606</v>
      </c>
      <c r="E24" s="342" t="s">
        <v>613</v>
      </c>
      <c r="F24" s="330"/>
      <c r="G24" s="403"/>
      <c r="H24" s="345"/>
      <c r="I24" s="345"/>
      <c r="J24" s="406"/>
    </row>
    <row r="25" spans="1:10" s="344" customFormat="1" ht="45" customHeight="1">
      <c r="A25" s="403"/>
      <c r="B25" s="340">
        <v>1</v>
      </c>
      <c r="C25" s="332" t="s">
        <v>195</v>
      </c>
      <c r="D25" s="333" t="s">
        <v>609</v>
      </c>
      <c r="E25" s="341"/>
      <c r="F25" s="335" t="s">
        <v>610</v>
      </c>
      <c r="G25" s="403"/>
      <c r="H25" s="345"/>
      <c r="I25" s="345"/>
      <c r="J25" s="406"/>
    </row>
    <row r="26" spans="1:10" s="344" customFormat="1" ht="30" customHeight="1">
      <c r="A26" s="403"/>
      <c r="B26" s="339">
        <v>2</v>
      </c>
      <c r="C26" s="331" t="s">
        <v>196</v>
      </c>
      <c r="D26" s="333" t="s">
        <v>611</v>
      </c>
      <c r="E26" s="334"/>
      <c r="F26" s="335" t="s">
        <v>614</v>
      </c>
      <c r="G26" s="403"/>
      <c r="H26" s="345"/>
      <c r="I26" s="345"/>
      <c r="J26" s="406"/>
    </row>
    <row r="27" spans="1:10" s="344" customFormat="1" ht="30" customHeight="1">
      <c r="A27" s="403"/>
      <c r="B27" s="339">
        <v>3</v>
      </c>
      <c r="C27" s="331" t="s">
        <v>196</v>
      </c>
      <c r="D27" s="333" t="s">
        <v>612</v>
      </c>
      <c r="E27" s="334"/>
      <c r="F27" s="335" t="s">
        <v>610</v>
      </c>
      <c r="G27" s="403"/>
      <c r="H27" s="345"/>
      <c r="I27" s="345"/>
      <c r="J27" s="406"/>
    </row>
    <row r="28" spans="1:10" s="344" customFormat="1" ht="45" customHeight="1" thickBot="1">
      <c r="A28" s="404"/>
      <c r="B28" s="326" t="s">
        <v>199</v>
      </c>
      <c r="C28" s="336" t="s">
        <v>599</v>
      </c>
      <c r="D28" s="337" t="s">
        <v>615</v>
      </c>
      <c r="E28" s="337"/>
      <c r="F28" s="343" t="s">
        <v>616</v>
      </c>
      <c r="G28" s="404"/>
      <c r="H28" s="338"/>
      <c r="I28" s="338"/>
      <c r="J28" s="407"/>
    </row>
    <row r="29" spans="1:10" s="346" customFormat="1" ht="30" customHeight="1" thickBot="1">
      <c r="A29" s="320" t="str">
        <f>TabellaTest!K6</f>
        <v>TF001.SIUS</v>
      </c>
      <c r="B29" s="321" t="str">
        <f>TabellaTest!I6</f>
        <v>SIUS</v>
      </c>
      <c r="C29" s="399" t="str">
        <f>TabellaTest!L6</f>
        <v>Errore nella lista dei tipi autorità presentata a video</v>
      </c>
      <c r="D29" s="400"/>
      <c r="E29" s="401" t="str">
        <f>TabellaTest!P6</f>
        <v>Verifica: Verificare che quando si sceglie il Tipo Autorità sia presente la voce REMS</v>
      </c>
      <c r="F29" s="400"/>
      <c r="G29" s="320" t="str">
        <f>TabellaTest!Q6</f>
        <v>1.0</v>
      </c>
      <c r="H29" s="305"/>
      <c r="I29" s="305"/>
      <c r="J29" s="320" t="s">
        <v>600</v>
      </c>
    </row>
    <row r="30" spans="1:10" s="346" customFormat="1" ht="30" customHeight="1">
      <c r="A30" s="402"/>
      <c r="B30" s="322" t="s">
        <v>188</v>
      </c>
      <c r="C30" s="323" t="s">
        <v>189</v>
      </c>
      <c r="D30" s="323" t="s">
        <v>596</v>
      </c>
      <c r="E30" s="323" t="s">
        <v>597</v>
      </c>
      <c r="F30" s="324" t="s">
        <v>598</v>
      </c>
      <c r="G30" s="402"/>
      <c r="H30" s="327"/>
      <c r="I30" s="327"/>
      <c r="J30" s="405"/>
    </row>
    <row r="31" spans="1:10" s="346" customFormat="1" ht="45" customHeight="1">
      <c r="A31" s="403"/>
      <c r="B31" s="325" t="s">
        <v>164</v>
      </c>
      <c r="C31" s="328" t="s">
        <v>193</v>
      </c>
      <c r="D31" s="329" t="s">
        <v>636</v>
      </c>
      <c r="E31" s="329" t="s">
        <v>637</v>
      </c>
      <c r="F31" s="330"/>
      <c r="G31" s="403"/>
      <c r="H31" s="350"/>
      <c r="I31" s="350"/>
      <c r="J31" s="406"/>
    </row>
    <row r="32" spans="1:10" s="346" customFormat="1" ht="30" customHeight="1">
      <c r="A32" s="403"/>
      <c r="B32" s="325" t="s">
        <v>164</v>
      </c>
      <c r="C32" s="328" t="s">
        <v>194</v>
      </c>
      <c r="D32" s="329" t="s">
        <v>606</v>
      </c>
      <c r="E32" s="342"/>
      <c r="F32" s="353"/>
      <c r="G32" s="403"/>
      <c r="H32" s="350"/>
      <c r="I32" s="350"/>
      <c r="J32" s="406"/>
    </row>
    <row r="33" spans="1:10" s="346" customFormat="1" ht="15" customHeight="1">
      <c r="A33" s="403"/>
      <c r="B33" s="340">
        <v>1</v>
      </c>
      <c r="C33" s="332" t="s">
        <v>195</v>
      </c>
      <c r="D33" s="333" t="s">
        <v>638</v>
      </c>
      <c r="E33" s="341"/>
      <c r="F33" s="335" t="s">
        <v>643</v>
      </c>
      <c r="G33" s="403"/>
      <c r="H33" s="350"/>
      <c r="I33" s="350"/>
      <c r="J33" s="406"/>
    </row>
    <row r="34" spans="1:10" s="346" customFormat="1" ht="30" customHeight="1">
      <c r="A34" s="403"/>
      <c r="B34" s="339">
        <v>2</v>
      </c>
      <c r="C34" s="331" t="s">
        <v>196</v>
      </c>
      <c r="D34" s="333" t="s">
        <v>644</v>
      </c>
      <c r="E34" s="341" t="s">
        <v>639</v>
      </c>
      <c r="F34" s="335" t="s">
        <v>642</v>
      </c>
      <c r="G34" s="403"/>
      <c r="H34" s="350"/>
      <c r="I34" s="350"/>
      <c r="J34" s="406"/>
    </row>
    <row r="35" spans="1:10" s="346" customFormat="1" ht="30" customHeight="1">
      <c r="A35" s="403"/>
      <c r="B35" s="339">
        <v>3</v>
      </c>
      <c r="C35" s="331" t="s">
        <v>196</v>
      </c>
      <c r="D35" s="333" t="s">
        <v>640</v>
      </c>
      <c r="E35" s="334"/>
      <c r="F35" s="335" t="s">
        <v>641</v>
      </c>
      <c r="G35" s="403"/>
      <c r="H35" s="350"/>
      <c r="I35" s="350"/>
      <c r="J35" s="406"/>
    </row>
    <row r="36" spans="1:10" s="346" customFormat="1" ht="45" customHeight="1" thickBot="1">
      <c r="A36" s="404"/>
      <c r="B36" s="326" t="s">
        <v>199</v>
      </c>
      <c r="C36" s="336" t="s">
        <v>599</v>
      </c>
      <c r="D36" s="337" t="s">
        <v>645</v>
      </c>
      <c r="E36" s="337"/>
      <c r="F36" s="343"/>
      <c r="G36" s="404"/>
      <c r="H36" s="338"/>
      <c r="I36" s="338"/>
      <c r="J36" s="407"/>
    </row>
    <row r="37" spans="1:10" s="346" customFormat="1" ht="30" customHeight="1" thickBot="1">
      <c r="A37" s="320" t="str">
        <f>TabellaTest!K7</f>
        <v>TF003.SIEP</v>
      </c>
      <c r="B37" s="321" t="str">
        <f>TabellaTest!I7</f>
        <v>SIEP</v>
      </c>
      <c r="C37" s="399" t="str">
        <f>TabellaTest!L7</f>
        <v>Errore nella statistica SIEP - Classe I - Attività Magistrati</v>
      </c>
      <c r="D37" s="400"/>
      <c r="E37" s="401" t="str">
        <f>TabellaTest!P7</f>
        <v>Verifica: Verificare che nella statistica di Classe I per attività Magistrati siano presenti anche quelli colegati ai Classe I</v>
      </c>
      <c r="F37" s="400"/>
      <c r="G37" s="320" t="str">
        <f>TabellaTest!Q7</f>
        <v>1.0</v>
      </c>
      <c r="H37" s="305"/>
      <c r="I37" s="305"/>
      <c r="J37" s="320" t="s">
        <v>600</v>
      </c>
    </row>
    <row r="38" spans="1:10" s="346" customFormat="1" ht="30" customHeight="1">
      <c r="A38" s="402"/>
      <c r="B38" s="322" t="s">
        <v>188</v>
      </c>
      <c r="C38" s="323" t="s">
        <v>189</v>
      </c>
      <c r="D38" s="323" t="s">
        <v>596</v>
      </c>
      <c r="E38" s="323" t="s">
        <v>597</v>
      </c>
      <c r="F38" s="324" t="s">
        <v>598</v>
      </c>
      <c r="G38" s="402"/>
      <c r="H38" s="347"/>
      <c r="I38" s="347"/>
      <c r="J38" s="405"/>
    </row>
    <row r="39" spans="1:10" s="346" customFormat="1" ht="45" customHeight="1">
      <c r="A39" s="403"/>
      <c r="B39" s="325" t="s">
        <v>164</v>
      </c>
      <c r="C39" s="328" t="s">
        <v>193</v>
      </c>
      <c r="D39" s="329" t="s">
        <v>627</v>
      </c>
      <c r="E39" s="329" t="s">
        <v>628</v>
      </c>
      <c r="F39" s="330"/>
      <c r="G39" s="403"/>
      <c r="H39" s="348"/>
      <c r="I39" s="348"/>
      <c r="J39" s="406"/>
    </row>
    <row r="40" spans="1:10" s="346" customFormat="1" ht="30" customHeight="1">
      <c r="A40" s="403"/>
      <c r="B40" s="325" t="s">
        <v>164</v>
      </c>
      <c r="C40" s="328" t="s">
        <v>194</v>
      </c>
      <c r="D40" s="329" t="s">
        <v>606</v>
      </c>
      <c r="E40" s="329"/>
      <c r="F40" s="330"/>
      <c r="G40" s="403"/>
      <c r="H40" s="348"/>
      <c r="I40" s="348"/>
      <c r="J40" s="406"/>
    </row>
    <row r="41" spans="1:10" s="346" customFormat="1" ht="45" customHeight="1">
      <c r="A41" s="403"/>
      <c r="B41" s="340">
        <v>1</v>
      </c>
      <c r="C41" s="332" t="s">
        <v>195</v>
      </c>
      <c r="D41" s="333" t="s">
        <v>646</v>
      </c>
      <c r="E41" s="341" t="s">
        <v>650</v>
      </c>
      <c r="F41" s="335" t="s">
        <v>647</v>
      </c>
      <c r="G41" s="403"/>
      <c r="H41" s="348"/>
      <c r="I41" s="348"/>
      <c r="J41" s="406"/>
    </row>
    <row r="42" spans="1:10" s="346" customFormat="1" ht="30" customHeight="1">
      <c r="A42" s="403"/>
      <c r="B42" s="339">
        <v>2</v>
      </c>
      <c r="C42" s="331" t="s">
        <v>196</v>
      </c>
      <c r="D42" s="333" t="s">
        <v>649</v>
      </c>
      <c r="E42" s="334"/>
      <c r="F42" s="335" t="s">
        <v>648</v>
      </c>
      <c r="G42" s="403"/>
      <c r="H42" s="348"/>
      <c r="I42" s="348"/>
      <c r="J42" s="406"/>
    </row>
    <row r="43" spans="1:10" s="346" customFormat="1" ht="45" customHeight="1" thickBot="1">
      <c r="A43" s="404"/>
      <c r="B43" s="326" t="s">
        <v>199</v>
      </c>
      <c r="C43" s="336" t="s">
        <v>599</v>
      </c>
      <c r="D43" s="337" t="s">
        <v>668</v>
      </c>
      <c r="E43" s="337"/>
      <c r="F43" s="354"/>
      <c r="G43" s="404"/>
      <c r="H43" s="349"/>
      <c r="I43" s="349"/>
      <c r="J43" s="407"/>
    </row>
    <row r="44" spans="1:10" s="351" customFormat="1" ht="30" customHeight="1" thickBot="1">
      <c r="A44" s="320" t="str">
        <f>TabellaTest!K8</f>
        <v>TF002.SIUS</v>
      </c>
      <c r="B44" s="321" t="str">
        <f>TabellaTest!I8</f>
        <v>SIUS</v>
      </c>
      <c r="C44" s="399" t="str">
        <f>TabellaTest!L8</f>
        <v>Errore nella produzione della stampa del deposito ordinanza</v>
      </c>
      <c r="D44" s="400"/>
      <c r="E44" s="401" t="str">
        <f>TabellaTest!P8</f>
        <v>Verifica: Verificare che nella stampa del deposito dell'ordinanza non sia più presente la dicitura ridondante "Notifica tramite SNT"</v>
      </c>
      <c r="F44" s="400"/>
      <c r="G44" s="320" t="str">
        <f>TabellaTest!Q8</f>
        <v>1.0</v>
      </c>
      <c r="H44" s="305"/>
      <c r="I44" s="305"/>
      <c r="J44" s="320" t="s">
        <v>600</v>
      </c>
    </row>
    <row r="45" spans="1:10" s="351" customFormat="1" ht="30" customHeight="1">
      <c r="A45" s="402"/>
      <c r="B45" s="322" t="s">
        <v>188</v>
      </c>
      <c r="C45" s="323" t="s">
        <v>189</v>
      </c>
      <c r="D45" s="323" t="s">
        <v>596</v>
      </c>
      <c r="E45" s="323" t="s">
        <v>597</v>
      </c>
      <c r="F45" s="324" t="s">
        <v>598</v>
      </c>
      <c r="G45" s="402"/>
      <c r="H45" s="327"/>
      <c r="I45" s="327"/>
      <c r="J45" s="405"/>
    </row>
    <row r="46" spans="1:10" s="351" customFormat="1" ht="45" customHeight="1">
      <c r="A46" s="403"/>
      <c r="B46" s="325" t="s">
        <v>164</v>
      </c>
      <c r="C46" s="328" t="s">
        <v>193</v>
      </c>
      <c r="D46" s="329" t="s">
        <v>636</v>
      </c>
      <c r="E46" s="329" t="s">
        <v>656</v>
      </c>
      <c r="F46" s="353"/>
      <c r="G46" s="403"/>
      <c r="H46" s="352"/>
      <c r="I46" s="352"/>
      <c r="J46" s="406"/>
    </row>
    <row r="47" spans="1:10" s="351" customFormat="1" ht="30" customHeight="1">
      <c r="A47" s="403"/>
      <c r="B47" s="325" t="s">
        <v>164</v>
      </c>
      <c r="C47" s="328" t="s">
        <v>194</v>
      </c>
      <c r="D47" s="329" t="s">
        <v>606</v>
      </c>
      <c r="E47" s="341" t="s">
        <v>658</v>
      </c>
      <c r="F47" s="353"/>
      <c r="G47" s="403"/>
      <c r="H47" s="352"/>
      <c r="I47" s="352"/>
      <c r="J47" s="406"/>
    </row>
    <row r="48" spans="1:10" s="351" customFormat="1" ht="15" customHeight="1">
      <c r="A48" s="403"/>
      <c r="B48" s="340">
        <v>1</v>
      </c>
      <c r="C48" s="332" t="s">
        <v>195</v>
      </c>
      <c r="D48" s="333" t="s">
        <v>654</v>
      </c>
      <c r="E48" s="341"/>
      <c r="F48" s="335" t="s">
        <v>655</v>
      </c>
      <c r="G48" s="403"/>
      <c r="H48" s="352"/>
      <c r="I48" s="352"/>
      <c r="J48" s="406"/>
    </row>
    <row r="49" spans="1:10" s="351" customFormat="1" ht="30" customHeight="1">
      <c r="A49" s="403"/>
      <c r="B49" s="339">
        <v>2</v>
      </c>
      <c r="C49" s="331" t="s">
        <v>196</v>
      </c>
      <c r="D49" s="333" t="s">
        <v>644</v>
      </c>
      <c r="E49" s="341"/>
      <c r="F49" s="335" t="s">
        <v>657</v>
      </c>
      <c r="G49" s="403"/>
      <c r="H49" s="352"/>
      <c r="I49" s="352"/>
      <c r="J49" s="406"/>
    </row>
    <row r="50" spans="1:10" s="351" customFormat="1" ht="30" customHeight="1">
      <c r="A50" s="403"/>
      <c r="B50" s="339">
        <v>3</v>
      </c>
      <c r="C50" s="331" t="s">
        <v>196</v>
      </c>
      <c r="D50" s="333" t="s">
        <v>644</v>
      </c>
      <c r="E50" s="334"/>
      <c r="F50" s="335" t="s">
        <v>659</v>
      </c>
      <c r="G50" s="403"/>
      <c r="H50" s="352"/>
      <c r="I50" s="352"/>
      <c r="J50" s="406"/>
    </row>
    <row r="51" spans="1:10" s="351" customFormat="1" ht="45" customHeight="1">
      <c r="A51" s="403"/>
      <c r="B51" s="357">
        <v>4</v>
      </c>
      <c r="C51" s="358" t="s">
        <v>196</v>
      </c>
      <c r="D51" s="333" t="s">
        <v>660</v>
      </c>
      <c r="E51" s="341" t="s">
        <v>684</v>
      </c>
      <c r="F51" s="335" t="s">
        <v>659</v>
      </c>
      <c r="G51" s="403"/>
      <c r="H51" s="352"/>
      <c r="I51" s="352"/>
      <c r="J51" s="406"/>
    </row>
    <row r="52" spans="1:10" s="351" customFormat="1" ht="15" customHeight="1">
      <c r="A52" s="403"/>
      <c r="B52" s="340">
        <v>5</v>
      </c>
      <c r="C52" s="332" t="s">
        <v>195</v>
      </c>
      <c r="D52" s="333" t="s">
        <v>661</v>
      </c>
      <c r="E52" s="341"/>
      <c r="F52" s="335" t="s">
        <v>662</v>
      </c>
      <c r="G52" s="403"/>
      <c r="H52" s="352"/>
      <c r="I52" s="352"/>
      <c r="J52" s="406"/>
    </row>
    <row r="53" spans="1:10" s="351" customFormat="1" ht="45" customHeight="1">
      <c r="A53" s="403"/>
      <c r="B53" s="357">
        <v>6</v>
      </c>
      <c r="C53" s="358" t="s">
        <v>196</v>
      </c>
      <c r="D53" s="333" t="s">
        <v>663</v>
      </c>
      <c r="E53" s="341" t="s">
        <v>664</v>
      </c>
      <c r="F53" s="335" t="s">
        <v>665</v>
      </c>
      <c r="G53" s="403"/>
      <c r="H53" s="352"/>
      <c r="I53" s="352"/>
      <c r="J53" s="406"/>
    </row>
    <row r="54" spans="1:10" s="351" customFormat="1" ht="45" customHeight="1" thickBot="1">
      <c r="A54" s="404"/>
      <c r="B54" s="326" t="s">
        <v>199</v>
      </c>
      <c r="C54" s="336" t="s">
        <v>599</v>
      </c>
      <c r="D54" s="337" t="s">
        <v>666</v>
      </c>
      <c r="E54" s="337"/>
      <c r="F54" s="343" t="s">
        <v>667</v>
      </c>
      <c r="G54" s="404"/>
      <c r="H54" s="338"/>
      <c r="I54" s="338"/>
      <c r="J54" s="407"/>
    </row>
  </sheetData>
  <mergeCells count="31">
    <mergeCell ref="C37:D37"/>
    <mergeCell ref="E37:F37"/>
    <mergeCell ref="A38:A43"/>
    <mergeCell ref="G38:G43"/>
    <mergeCell ref="J38:J43"/>
    <mergeCell ref="C29:D29"/>
    <mergeCell ref="E29:F29"/>
    <mergeCell ref="A30:A36"/>
    <mergeCell ref="G30:G36"/>
    <mergeCell ref="J30:J36"/>
    <mergeCell ref="C21:D21"/>
    <mergeCell ref="E21:F21"/>
    <mergeCell ref="A22:A28"/>
    <mergeCell ref="G22:G28"/>
    <mergeCell ref="J22:J28"/>
    <mergeCell ref="D1:J1"/>
    <mergeCell ref="D2:J2"/>
    <mergeCell ref="A1:C1"/>
    <mergeCell ref="A2:C2"/>
    <mergeCell ref="E3:F3"/>
    <mergeCell ref="C3:D3"/>
    <mergeCell ref="A5:A20"/>
    <mergeCell ref="G5:G20"/>
    <mergeCell ref="J5:J20"/>
    <mergeCell ref="C4:D4"/>
    <mergeCell ref="E4:F4"/>
    <mergeCell ref="C44:D44"/>
    <mergeCell ref="E44:F44"/>
    <mergeCell ref="A45:A54"/>
    <mergeCell ref="G45:G54"/>
    <mergeCell ref="J45:J54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3" r:id="rId4" name="Btn_Duplicate">
          <controlPr defaultSize="0" print="0" autoLine="0" r:id="rId5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4" name="Btn_Duplicate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0" r:id="rId8" name="Btn_InsLayout">
          <controlPr defaultSize="0" print="0" autoLine="0" r:id="rId9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8" name="Btn_InsLayout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14" t="s">
        <v>212</v>
      </c>
      <c r="B1" s="419"/>
      <c r="C1" s="419"/>
      <c r="D1" s="420"/>
      <c r="E1" s="421" t="str">
        <f xml:space="preserve"> Copertina!B7</f>
        <v>Intervento</v>
      </c>
      <c r="F1" s="422"/>
      <c r="G1" s="423"/>
      <c r="H1" s="264"/>
      <c r="I1" s="265"/>
      <c r="J1" s="284"/>
      <c r="K1" s="285"/>
    </row>
    <row r="2" spans="1:11" s="88" customFormat="1" ht="20.25">
      <c r="A2" s="424" t="s">
        <v>74</v>
      </c>
      <c r="B2" s="425"/>
      <c r="C2" s="425"/>
      <c r="D2" s="426"/>
      <c r="E2" s="427" t="e">
        <f xml:space="preserve"> Copertina!#REF!</f>
        <v>#REF!</v>
      </c>
      <c r="F2" s="428"/>
      <c r="G2" s="429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14" t="s">
        <v>212</v>
      </c>
      <c r="B1" s="419"/>
      <c r="C1" s="419"/>
      <c r="D1" s="430" t="str">
        <f>VerificheConformità!E1</f>
        <v>Intervento</v>
      </c>
      <c r="E1" s="431"/>
    </row>
    <row r="2" spans="1:9" ht="21" customHeight="1" thickBot="1">
      <c r="A2" s="414" t="s">
        <v>74</v>
      </c>
      <c r="B2" s="419"/>
      <c r="C2" s="419"/>
      <c r="D2" s="430" t="e">
        <f>VerificheConformità!E2</f>
        <v>#REF!</v>
      </c>
      <c r="E2" s="431"/>
    </row>
    <row r="3" spans="1:9" s="88" customFormat="1" ht="27" customHeight="1" thickBot="1">
      <c r="A3" s="440" t="s">
        <v>583</v>
      </c>
      <c r="B3" s="441"/>
      <c r="C3" s="441"/>
      <c r="D3" s="442"/>
      <c r="E3" s="443"/>
      <c r="G3" s="444" t="s">
        <v>584</v>
      </c>
      <c r="H3" s="445"/>
      <c r="I3" s="446"/>
    </row>
    <row r="4" spans="1:9" ht="23.25" customHeight="1" thickBot="1">
      <c r="A4" s="453" t="s">
        <v>585</v>
      </c>
      <c r="B4" s="454" t="s">
        <v>586</v>
      </c>
      <c r="C4" s="455"/>
      <c r="D4" s="455"/>
      <c r="E4" s="456"/>
      <c r="G4" s="447"/>
      <c r="H4" s="448"/>
      <c r="I4" s="449"/>
    </row>
    <row r="5" spans="1:9" ht="26.25" customHeight="1" thickBot="1">
      <c r="A5" s="436"/>
      <c r="B5" s="269">
        <v>1</v>
      </c>
      <c r="C5" s="269">
        <v>2</v>
      </c>
      <c r="D5" s="269">
        <v>3</v>
      </c>
      <c r="E5" s="270">
        <v>4</v>
      </c>
      <c r="G5" s="447"/>
      <c r="H5" s="448"/>
      <c r="I5" s="449"/>
    </row>
    <row r="6" spans="1:9" ht="15.75" thickBot="1">
      <c r="A6" s="271" t="s">
        <v>152</v>
      </c>
      <c r="B6" s="272">
        <f>COUNTIFS(TabellaTest!M8:M281,1,TabellaTest!T8:T281,"A",TabellaTest!U8:U281,"KO")</f>
        <v>0</v>
      </c>
      <c r="C6" s="272">
        <f>COUNTIFS(TabellaTest!M8:M281,2,TabellaTest!T8:T281,"A",TabellaTest!U8:U281,"KO")</f>
        <v>0</v>
      </c>
      <c r="D6" s="272">
        <f>COUNTIFS(TabellaTest!M8:M281,3,TabellaTest!T8:T281,"A",TabellaTest!U8:U281,"KO")</f>
        <v>0</v>
      </c>
      <c r="E6" s="272">
        <f>COUNTIFS(TabellaTest!M8:M281,4,TabellaTest!T8:T281,"A",TabellaTest!U8:U281,"KO")</f>
        <v>0</v>
      </c>
      <c r="G6" s="447"/>
      <c r="H6" s="448"/>
      <c r="I6" s="449"/>
    </row>
    <row r="7" spans="1:9" ht="15.75" thickBot="1">
      <c r="A7" s="273" t="s">
        <v>153</v>
      </c>
      <c r="B7" s="272">
        <f>COUNTIFS(TabellaTest!M8:M281,1,TabellaTest!T8:T281,"B",TabellaTest!U8:U281,"KO")</f>
        <v>0</v>
      </c>
      <c r="C7" s="272">
        <f>COUNTIFS(TabellaTest!M8:M281,2,TabellaTest!T8:T281,"B",TabellaTest!U8:U281,"KO")</f>
        <v>0</v>
      </c>
      <c r="D7" s="272">
        <f>COUNTIFS(TabellaTest!M8:M281,3,TabellaTest!T8:T281,"B",TabellaTest!U8:U281,"KO")</f>
        <v>0</v>
      </c>
      <c r="E7" s="272">
        <f>COUNTIFS(TabellaTest!M8:M281,4,TabellaTest!T8:T281,"B",TabellaTest!U8:U281,"KO")</f>
        <v>0</v>
      </c>
      <c r="G7" s="447"/>
      <c r="H7" s="448"/>
      <c r="I7" s="449"/>
    </row>
    <row r="8" spans="1:9" ht="15.75" thickBot="1">
      <c r="A8" s="274" t="s">
        <v>154</v>
      </c>
      <c r="B8" s="272">
        <f>COUNTIFS(TabellaTest!M8:M281,1,TabellaTest!T8:T281,"C",TabellaTest!U8:U281,"KO")</f>
        <v>0</v>
      </c>
      <c r="C8" s="272">
        <f>COUNTIFS(TabellaTest!M8:M281,2,TabellaTest!T8:T281,"C",TabellaTest!U8:U281,"KO")</f>
        <v>0</v>
      </c>
      <c r="D8" s="272">
        <f>COUNTIFS(TabellaTest!M8:M281,3,TabellaTest!T8:T281,"C",TabellaTest!U8:U281,"KO")</f>
        <v>0</v>
      </c>
      <c r="E8" s="272">
        <f>COUNTIFS(TabellaTest!M8:M281,4,TabellaTest!T8:T281,"C",TabellaTest!U8:U281,"KO")</f>
        <v>0</v>
      </c>
      <c r="G8" s="450"/>
      <c r="H8" s="451"/>
      <c r="I8" s="452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32" t="s">
        <v>587</v>
      </c>
      <c r="B14" s="433"/>
      <c r="C14" s="433"/>
      <c r="D14" s="433"/>
      <c r="E14" s="434"/>
    </row>
    <row r="15" spans="1:9" ht="15.75" thickBot="1">
      <c r="A15" s="435" t="s">
        <v>585</v>
      </c>
      <c r="B15" s="437" t="s">
        <v>586</v>
      </c>
      <c r="C15" s="438"/>
      <c r="D15" s="438"/>
      <c r="E15" s="439"/>
    </row>
    <row r="16" spans="1:9" ht="15" thickBot="1">
      <c r="A16" s="436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COUNTIFS(TabellaTest!M8:M281,1,TabellaTest!T8:T281,"A")</f>
        <v>0</v>
      </c>
      <c r="C17" s="280">
        <f>COUNTIFS(TabellaTest!M8:M281,2,TabellaTest!T8:T281,"A")</f>
        <v>0</v>
      </c>
      <c r="D17" s="280">
        <f>COUNTIFS(TabellaTest!M8:M281,3,TabellaTest!T8:T281,"A")</f>
        <v>0</v>
      </c>
      <c r="E17" s="280">
        <f>COUNTIFS(TabellaTest!M8:M281,4,TabellaTest!T8:T281,"A")</f>
        <v>0</v>
      </c>
    </row>
    <row r="18" spans="1:5" ht="15" thickBot="1">
      <c r="A18" s="278" t="s">
        <v>153</v>
      </c>
      <c r="B18" s="280">
        <f>COUNTIFS(TabellaTest!M8:M281,1,TabellaTest!T8:T281,"B")</f>
        <v>0</v>
      </c>
      <c r="C18" s="280">
        <f>COUNTIFS(TabellaTest!M8:M281,2,TabellaTest!T8:T281,"B")</f>
        <v>0</v>
      </c>
      <c r="D18" s="280">
        <f>COUNTIFS(TabellaTest!M8:M281,3,TabellaTest!T8:T281,"B")</f>
        <v>0</v>
      </c>
      <c r="E18" s="280">
        <f>COUNTIFS(TabellaTest!M8:M281,4,TabellaTest!T8:T281,"B")</f>
        <v>0</v>
      </c>
    </row>
    <row r="19" spans="1:5" ht="15" thickBot="1">
      <c r="A19" s="279" t="s">
        <v>154</v>
      </c>
      <c r="B19" s="280">
        <f>COUNTIFS(TabellaTest!M8:M281,1,TabellaTest!T8:T281,"C")</f>
        <v>0</v>
      </c>
      <c r="C19" s="280">
        <f>COUNTIFS(TabellaTest!M8:M281,2,TabellaTest!T8:T281,"C")</f>
        <v>0</v>
      </c>
      <c r="D19" s="280">
        <f>COUNTIFS(TabellaTest!M8:M281,3,TabellaTest!T8:T281,"C")</f>
        <v>0</v>
      </c>
      <c r="E19" s="280">
        <f>COUNTIFS(TabellaTest!M8:M281,4,TabellaTest!T8:T281,"C")</f>
        <v>0</v>
      </c>
    </row>
  </sheetData>
  <sheetProtection password="A7EC" sheet="1" objects="1" scenarios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C1"/>
    <mergeCell ref="D1:E1"/>
    <mergeCell ref="A2:C2"/>
    <mergeCell ref="D2:E2"/>
    <mergeCell ref="A14:E1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57" t="s">
        <v>212</v>
      </c>
      <c r="B2" s="458"/>
      <c r="C2" s="459"/>
      <c r="D2" s="459"/>
      <c r="E2" s="459"/>
      <c r="F2" s="459"/>
      <c r="G2" s="459"/>
      <c r="H2" s="460"/>
    </row>
    <row r="3" spans="1:8" ht="13.5" thickBot="1">
      <c r="A3" s="461" t="s">
        <v>74</v>
      </c>
      <c r="B3" s="462"/>
      <c r="C3" s="463"/>
      <c r="D3" s="463"/>
      <c r="E3" s="463"/>
      <c r="F3" s="463"/>
      <c r="G3" s="464"/>
      <c r="H3" s="464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75" t="s">
        <v>212</v>
      </c>
      <c r="B1" s="476"/>
      <c r="C1" s="477"/>
      <c r="D1" s="471" t="s">
        <v>334</v>
      </c>
      <c r="E1" s="472"/>
      <c r="F1" s="472"/>
      <c r="G1" s="472"/>
      <c r="H1" s="473"/>
      <c r="I1" s="474"/>
    </row>
    <row r="2" spans="1:9" ht="22.5" customHeight="1" thickBot="1">
      <c r="A2" s="478" t="s">
        <v>74</v>
      </c>
      <c r="B2" s="479"/>
      <c r="C2" s="480"/>
      <c r="D2" s="484" t="s">
        <v>336</v>
      </c>
      <c r="E2" s="485"/>
      <c r="F2" s="486"/>
      <c r="G2" s="486"/>
      <c r="H2" s="486"/>
      <c r="I2" s="487"/>
    </row>
    <row r="3" spans="1:9" ht="52.5" customHeight="1">
      <c r="A3" s="72" t="s">
        <v>184</v>
      </c>
      <c r="B3" s="36" t="s">
        <v>62</v>
      </c>
      <c r="C3" s="481" t="s">
        <v>61</v>
      </c>
      <c r="D3" s="482"/>
      <c r="E3" s="481" t="s">
        <v>185</v>
      </c>
      <c r="F3" s="483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88" t="s">
        <v>497</v>
      </c>
      <c r="D4" s="489"/>
      <c r="E4" s="470" t="s">
        <v>498</v>
      </c>
      <c r="F4" s="469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65" t="s">
        <v>344</v>
      </c>
      <c r="D13" s="466"/>
      <c r="E13" s="465" t="s">
        <v>345</v>
      </c>
      <c r="F13" s="466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68" t="str">
        <f>Es.1!L6</f>
        <v>Inserimento dati duplicati</v>
      </c>
      <c r="D28" s="469"/>
      <c r="E28" s="470" t="s">
        <v>498</v>
      </c>
      <c r="F28" s="469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68" t="str">
        <f>Es.1!L7</f>
        <v>Inserimento dati non validi</v>
      </c>
      <c r="D29" s="469"/>
      <c r="E29" s="470" t="s">
        <v>498</v>
      </c>
      <c r="F29" s="469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68" t="str">
        <f>Es.1!L8</f>
        <v>Verifica Accessibilità</v>
      </c>
      <c r="D30" s="469"/>
      <c r="E30" s="470" t="s">
        <v>498</v>
      </c>
      <c r="F30" s="469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68" t="str">
        <f>Es.1!L9</f>
        <v>Verifica Usabilità</v>
      </c>
      <c r="D31" s="469"/>
      <c r="E31" s="470" t="s">
        <v>498</v>
      </c>
      <c r="F31" s="469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68" t="str">
        <f>Es.1!L10</f>
        <v>Ricerca - visualizzazione - modifica e cancellazione anagrafica</v>
      </c>
      <c r="D32" s="469"/>
      <c r="E32" s="470" t="s">
        <v>498</v>
      </c>
      <c r="F32" s="469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68" t="str">
        <f>Es.1!L11</f>
        <v>Creazione progetto, inserimento e modifica anagrafica, stampa resoconto.</v>
      </c>
      <c r="D33" s="469"/>
      <c r="E33" s="470" t="s">
        <v>498</v>
      </c>
      <c r="F33" s="469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68" t="str">
        <f>Es.1!L12</f>
        <v>Ricerca - visualizzazione elenco progetti</v>
      </c>
      <c r="D34" s="469"/>
      <c r="E34" s="470" t="s">
        <v>498</v>
      </c>
      <c r="F34" s="469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68" t="str">
        <f>Es.1!L13</f>
        <v xml:space="preserve">Ricerca - lista vuota - annulla </v>
      </c>
      <c r="D35" s="469"/>
      <c r="E35" s="470" t="s">
        <v>498</v>
      </c>
      <c r="F35" s="469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68" t="str">
        <f>Es.1!L14</f>
        <v>Checklist Accessibilità</v>
      </c>
      <c r="D36" s="469"/>
      <c r="E36" s="470" t="s">
        <v>498</v>
      </c>
      <c r="F36" s="469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68" t="str">
        <f>Es.1!L15</f>
        <v>Performance Test su ricerca dati progetto</v>
      </c>
      <c r="D37" s="469"/>
      <c r="E37" s="470" t="s">
        <v>498</v>
      </c>
      <c r="F37" s="469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65" t="s">
        <v>82</v>
      </c>
      <c r="D38" s="466"/>
      <c r="E38" s="467" t="s">
        <v>83</v>
      </c>
      <c r="F38" s="466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  <mergeCell ref="D1:I1"/>
    <mergeCell ref="A1:C1"/>
    <mergeCell ref="A2:C2"/>
    <mergeCell ref="C3:D3"/>
    <mergeCell ref="E3:F3"/>
    <mergeCell ref="D2:I2"/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6" r:id="rId4" name="Btn_Duplicate">
          <controlPr defaultSize="0" autoLine="0" autoPict="0" r:id="rId5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4" name="Btn_Duplicate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4" r:id="rId8" name="Btn_InsLayout">
          <controlPr defaultSize="0" autoLine="0" autoPict="0" r:id="rId9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8" name="Btn_InsLayout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09"/>
      <c r="C1" s="509"/>
      <c r="D1" s="509"/>
      <c r="E1" s="510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11" t="s">
        <v>43</v>
      </c>
      <c r="B2" s="512"/>
      <c r="C2" s="512"/>
      <c r="D2" s="512"/>
      <c r="E2" s="512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13" t="s">
        <v>286</v>
      </c>
      <c r="C3" s="514"/>
      <c r="D3" s="514"/>
      <c r="E3" s="514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06" t="s">
        <v>12</v>
      </c>
      <c r="C4" s="507"/>
      <c r="D4" s="507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06"/>
      <c r="C5" s="507"/>
      <c r="D5" s="507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06"/>
      <c r="C6" s="507"/>
      <c r="D6" s="507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06" t="s">
        <v>12</v>
      </c>
      <c r="C7" s="507"/>
      <c r="D7" s="507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06">
        <v>1</v>
      </c>
      <c r="C8" s="507"/>
      <c r="D8" s="507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06" t="s">
        <v>362</v>
      </c>
      <c r="C9" s="507"/>
      <c r="D9" s="507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06" t="s">
        <v>289</v>
      </c>
      <c r="C10" s="507"/>
      <c r="D10" s="507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06">
        <v>10</v>
      </c>
      <c r="C11" s="507"/>
      <c r="D11" s="507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06"/>
      <c r="C12" s="507"/>
      <c r="D12" s="507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06">
        <v>4</v>
      </c>
      <c r="C13" s="507"/>
      <c r="D13" s="507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06">
        <v>4</v>
      </c>
      <c r="C14" s="507"/>
      <c r="D14" s="507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08"/>
      <c r="C15" s="507"/>
      <c r="D15" s="507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05"/>
      <c r="B16" s="505"/>
      <c r="C16" s="505"/>
      <c r="D16" s="505"/>
      <c r="E16" s="505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500"/>
      <c r="B17" s="500"/>
      <c r="C17" s="500"/>
      <c r="D17" s="500"/>
      <c r="E17" s="500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99" t="s">
        <v>293</v>
      </c>
      <c r="B18" s="499"/>
      <c r="C18" s="499"/>
      <c r="D18" s="500"/>
      <c r="E18" s="500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18" t="s">
        <v>294</v>
      </c>
      <c r="B19" s="519"/>
      <c r="C19" s="519"/>
      <c r="D19" s="500"/>
      <c r="E19" s="500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15">
        <v>4</v>
      </c>
      <c r="C20" s="516"/>
      <c r="D20" s="516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17">
        <v>0</v>
      </c>
      <c r="C21" s="516"/>
      <c r="D21" s="516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20">
        <v>1</v>
      </c>
      <c r="C22" s="521"/>
      <c r="D22" s="521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22" t="s">
        <v>540</v>
      </c>
      <c r="C23" s="523"/>
      <c r="D23" s="523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493"/>
      <c r="B24" s="493"/>
      <c r="C24" s="493"/>
      <c r="D24" s="494"/>
      <c r="E24" s="495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90" t="s">
        <v>405</v>
      </c>
      <c r="B25" s="491"/>
      <c r="C25" s="491"/>
      <c r="D25" s="492"/>
      <c r="E25" s="492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04"/>
      <c r="B32" s="504"/>
      <c r="C32" s="504"/>
      <c r="D32" s="505"/>
      <c r="E32" s="505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90" t="s">
        <v>406</v>
      </c>
      <c r="B33" s="491"/>
      <c r="C33" s="491"/>
      <c r="D33" s="492"/>
      <c r="E33" s="492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493"/>
      <c r="B40" s="493"/>
      <c r="C40" s="493"/>
      <c r="D40" s="494"/>
      <c r="E40" s="495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90" t="s">
        <v>407</v>
      </c>
      <c r="B41" s="491"/>
      <c r="C41" s="491"/>
      <c r="D41" s="492"/>
      <c r="E41" s="492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493"/>
      <c r="B48" s="493"/>
      <c r="C48" s="493"/>
      <c r="D48" s="494"/>
      <c r="E48" s="495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90" t="s">
        <v>285</v>
      </c>
      <c r="B49" s="491"/>
      <c r="C49" s="491"/>
      <c r="D49" s="492"/>
      <c r="E49" s="492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05"/>
      <c r="B56" s="505"/>
      <c r="C56" s="505"/>
      <c r="D56" s="505"/>
      <c r="E56" s="505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500"/>
      <c r="B57" s="500"/>
      <c r="C57" s="500"/>
      <c r="D57" s="500"/>
      <c r="E57" s="500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500"/>
      <c r="B58" s="500"/>
      <c r="C58" s="500"/>
      <c r="D58" s="500"/>
      <c r="E58" s="500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99" t="s">
        <v>149</v>
      </c>
      <c r="B59" s="499"/>
      <c r="C59" s="499"/>
      <c r="D59" s="500"/>
      <c r="E59" s="500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01" t="s">
        <v>301</v>
      </c>
      <c r="D60" s="502"/>
      <c r="E60" s="503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96" t="s">
        <v>258</v>
      </c>
      <c r="D61" s="497"/>
      <c r="E61" s="498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96" t="s">
        <v>258</v>
      </c>
      <c r="D62" s="497"/>
      <c r="E62" s="498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96" t="s">
        <v>258</v>
      </c>
      <c r="D63" s="497"/>
      <c r="E63" s="498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96" t="s">
        <v>258</v>
      </c>
      <c r="D64" s="497"/>
      <c r="E64" s="498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96" t="s">
        <v>258</v>
      </c>
      <c r="D65" s="497"/>
      <c r="E65" s="498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96" t="s">
        <v>258</v>
      </c>
      <c r="D66" s="497"/>
      <c r="E66" s="498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96" t="s">
        <v>258</v>
      </c>
      <c r="D67" s="497"/>
      <c r="E67" s="498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96" t="s">
        <v>258</v>
      </c>
      <c r="D68" s="497"/>
      <c r="E68" s="498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96" t="s">
        <v>258</v>
      </c>
      <c r="D69" s="497"/>
      <c r="E69" s="498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96" t="s">
        <v>258</v>
      </c>
      <c r="D70" s="497"/>
      <c r="E70" s="498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96" t="s">
        <v>258</v>
      </c>
      <c r="D71" s="497"/>
      <c r="E71" s="498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96" t="s">
        <v>258</v>
      </c>
      <c r="D72" s="497"/>
      <c r="E72" s="498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96" t="s">
        <v>258</v>
      </c>
      <c r="D73" s="497"/>
      <c r="E73" s="498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96" t="s">
        <v>258</v>
      </c>
      <c r="D74" s="497" t="s">
        <v>258</v>
      </c>
      <c r="E74" s="498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96" t="s">
        <v>258</v>
      </c>
      <c r="D75" s="497"/>
      <c r="E75" s="498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96" t="s">
        <v>258</v>
      </c>
      <c r="D76" s="497"/>
      <c r="E76" s="498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96" t="s">
        <v>258</v>
      </c>
      <c r="D77" s="497"/>
      <c r="E77" s="498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96" t="s">
        <v>258</v>
      </c>
      <c r="D78" s="497"/>
      <c r="E78" s="498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96" t="s">
        <v>258</v>
      </c>
      <c r="D79" s="497"/>
      <c r="E79" s="498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96" t="s">
        <v>258</v>
      </c>
      <c r="D80" s="497"/>
      <c r="E80" s="498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96" t="s">
        <v>365</v>
      </c>
      <c r="D81" s="497"/>
      <c r="E81" s="498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96"/>
      <c r="D82" s="497"/>
      <c r="E82" s="498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96"/>
      <c r="D83" s="497"/>
      <c r="E83" s="498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96"/>
      <c r="D84" s="497"/>
      <c r="E84" s="498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96" t="s">
        <v>169</v>
      </c>
      <c r="D85" s="497"/>
      <c r="E85" s="498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96" t="s">
        <v>169</v>
      </c>
      <c r="D86" s="497"/>
      <c r="E86" s="498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96" t="s">
        <v>169</v>
      </c>
      <c r="D87" s="497"/>
      <c r="E87" s="498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96" t="s">
        <v>169</v>
      </c>
      <c r="D88" s="497"/>
      <c r="E88" s="498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96" t="s">
        <v>169</v>
      </c>
      <c r="D89" s="497"/>
      <c r="E89" s="498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99" t="s">
        <v>181</v>
      </c>
      <c r="B94" s="499"/>
      <c r="C94" s="499"/>
      <c r="D94" s="500"/>
      <c r="E94" s="500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96" t="s">
        <v>183</v>
      </c>
      <c r="D95" s="497"/>
      <c r="E95" s="497"/>
      <c r="G95" s="22"/>
      <c r="H95" s="22" t="s">
        <v>65</v>
      </c>
      <c r="I95" s="526" t="s">
        <v>455</v>
      </c>
      <c r="J95" s="527"/>
      <c r="K95" s="527"/>
      <c r="L95" s="527"/>
      <c r="M95" s="528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96" t="s">
        <v>210</v>
      </c>
      <c r="D96" s="497"/>
      <c r="E96" s="497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96" t="s">
        <v>211</v>
      </c>
      <c r="D97" s="497"/>
      <c r="E97" s="497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96" t="s">
        <v>402</v>
      </c>
      <c r="D98" s="497"/>
      <c r="E98" s="497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96"/>
      <c r="D99" s="497"/>
      <c r="E99" s="497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529" t="s">
        <v>431</v>
      </c>
      <c r="B100" s="530"/>
      <c r="C100" s="530"/>
      <c r="D100" s="530"/>
      <c r="E100" s="530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96" t="s">
        <v>401</v>
      </c>
      <c r="D101" s="497"/>
      <c r="E101" s="497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96" t="s">
        <v>401</v>
      </c>
      <c r="D102" s="497"/>
      <c r="E102" s="497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96" t="s">
        <v>401</v>
      </c>
      <c r="D103" s="497"/>
      <c r="E103" s="497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96" t="s">
        <v>401</v>
      </c>
      <c r="D104" s="497"/>
      <c r="E104" s="497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96" t="s">
        <v>401</v>
      </c>
      <c r="D105" s="497"/>
      <c r="E105" s="497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96" t="s">
        <v>401</v>
      </c>
      <c r="D106" s="497"/>
      <c r="E106" s="497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96" t="s">
        <v>401</v>
      </c>
      <c r="D107" s="497"/>
      <c r="E107" s="497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96" t="s">
        <v>47</v>
      </c>
      <c r="D108" s="497"/>
      <c r="E108" s="497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529" t="s">
        <v>432</v>
      </c>
      <c r="B109" s="530"/>
      <c r="C109" s="530"/>
      <c r="D109" s="530"/>
      <c r="E109" s="530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96" t="s">
        <v>401</v>
      </c>
      <c r="D110" s="497"/>
      <c r="E110" s="497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96" t="s">
        <v>401</v>
      </c>
      <c r="D111" s="497"/>
      <c r="E111" s="497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96" t="s">
        <v>401</v>
      </c>
      <c r="D112" s="497"/>
      <c r="E112" s="497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96" t="s">
        <v>401</v>
      </c>
      <c r="D113" s="497"/>
      <c r="E113" s="497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96" t="s">
        <v>401</v>
      </c>
      <c r="D114" s="497"/>
      <c r="E114" s="497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529" t="s">
        <v>397</v>
      </c>
      <c r="B115" s="530"/>
      <c r="C115" s="530"/>
      <c r="D115" s="530"/>
      <c r="E115" s="530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96" t="s">
        <v>399</v>
      </c>
      <c r="D116" s="497"/>
      <c r="E116" s="497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96" t="s">
        <v>399</v>
      </c>
      <c r="D117" s="497"/>
      <c r="E117" s="497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96" t="s">
        <v>403</v>
      </c>
      <c r="D118" s="497"/>
      <c r="E118" s="497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96" t="s">
        <v>402</v>
      </c>
      <c r="D119" s="497"/>
      <c r="E119" s="497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96"/>
      <c r="D121" s="497"/>
      <c r="E121" s="497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96" t="s">
        <v>382</v>
      </c>
      <c r="D122" s="497"/>
      <c r="E122" s="497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99" t="s">
        <v>459</v>
      </c>
      <c r="B124" s="499"/>
      <c r="C124" s="499"/>
      <c r="D124" s="500"/>
      <c r="E124" s="50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524"/>
      <c r="D125" s="525"/>
      <c r="E125" s="525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524"/>
      <c r="D126" s="525"/>
      <c r="E126" s="525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524"/>
      <c r="D127" s="525"/>
      <c r="E127" s="525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524"/>
      <c r="D128" s="525"/>
      <c r="E128" s="525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  <mergeCell ref="C128:E128"/>
    <mergeCell ref="A124:E124"/>
    <mergeCell ref="C125:E125"/>
    <mergeCell ref="C126:E126"/>
    <mergeCell ref="C127:E127"/>
    <mergeCell ref="C121:E121"/>
    <mergeCell ref="C122:E122"/>
    <mergeCell ref="C110:E110"/>
    <mergeCell ref="C111:E111"/>
    <mergeCell ref="C106:E106"/>
    <mergeCell ref="C107:E107"/>
    <mergeCell ref="C108:E108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B20:D20"/>
    <mergeCell ref="A25:E25"/>
    <mergeCell ref="B11:D11"/>
    <mergeCell ref="B21:D21"/>
    <mergeCell ref="A18:E18"/>
    <mergeCell ref="A19:E19"/>
    <mergeCell ref="B22:D22"/>
    <mergeCell ref="B23:D23"/>
    <mergeCell ref="B1:E1"/>
    <mergeCell ref="A2:E2"/>
    <mergeCell ref="B4:D4"/>
    <mergeCell ref="B3:E3"/>
    <mergeCell ref="B7:D7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C65:E65"/>
    <mergeCell ref="A56:E58"/>
    <mergeCell ref="C78:E78"/>
    <mergeCell ref="C73:E73"/>
    <mergeCell ref="C75:E75"/>
    <mergeCell ref="C76:E76"/>
    <mergeCell ref="C69:E69"/>
    <mergeCell ref="C68:E68"/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62" r:id="rId4" name="RiskModelManual">
          <controlPr defaultSize="0" autoLine="0" autoPict="0" r:id="rId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4" name="RiskModelManual"/>
      </mc:Fallback>
    </mc:AlternateContent>
    <mc:AlternateContent xmlns:mc="http://schemas.openxmlformats.org/markup-compatibility/2006">
      <mc:Choice Requires="x14">
        <control shapeId="6161" r:id="rId6" name="RiskModelStandard">
          <controlPr defaultSize="0" autoLine="0" r:id="rId7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6" name="RiskModelStandard"/>
      </mc:Fallback>
    </mc:AlternateContent>
    <mc:AlternateContent xmlns:mc="http://schemas.openxmlformats.org/markup-compatibility/2006">
      <mc:Choice Requires="x14">
        <control shapeId="6159" r:id="rId8" name="Auth_Custom">
          <controlPr defaultSize="0" autoLine="0" r:id="rId9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8" name="Auth_Custom"/>
      </mc:Fallback>
    </mc:AlternateContent>
    <mc:AlternateContent xmlns:mc="http://schemas.openxmlformats.org/markup-compatibility/2006">
      <mc:Choice Requires="x14">
        <control shapeId="6148" r:id="rId10" name="Auth_DB">
          <controlPr defaultSize="0" autoLine="0" r:id="rId11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10" name="Auth_DB"/>
      </mc:Fallback>
    </mc:AlternateContent>
    <mc:AlternateContent xmlns:mc="http://schemas.openxmlformats.org/markup-compatibility/2006">
      <mc:Choice Requires="x14">
        <control shapeId="6146" r:id="rId12" name="Auth_NT">
          <controlPr defaultSize="0" autoLine="0" autoPict="0" r:id="rId13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12" name="Auth_NT"/>
      </mc:Fallback>
    </mc:AlternateContent>
    <mc:AlternateContent xmlns:mc="http://schemas.openxmlformats.org/markup-compatibility/2006">
      <mc:Choice Requires="x14">
        <control shapeId="6150" r:id="rId14" name="TestDBConnection">
          <controlPr defaultSize="0" autoLine="0" autoPict="0" r:id="rId1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14" name="TestDBConnection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68" t="s">
        <v>187</v>
      </c>
      <c r="D4" s="531"/>
      <c r="E4" s="532" t="s">
        <v>185</v>
      </c>
      <c r="F4" s="533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55" t="s">
        <v>201</v>
      </c>
      <c r="D16" s="556"/>
      <c r="E16" s="557"/>
      <c r="F16" s="558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55" t="s">
        <v>425</v>
      </c>
      <c r="D27" s="556"/>
      <c r="E27" s="557"/>
      <c r="F27" s="558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59" t="s">
        <v>61</v>
      </c>
      <c r="D40" s="560"/>
      <c r="E40" s="561" t="s">
        <v>185</v>
      </c>
      <c r="F40" s="562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51" t="s">
        <v>187</v>
      </c>
      <c r="D41" s="552"/>
      <c r="E41" s="553"/>
      <c r="F41" s="554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34" t="s">
        <v>212</v>
      </c>
      <c r="B53" s="535"/>
      <c r="C53" s="536"/>
      <c r="D53" s="537"/>
      <c r="E53" s="538"/>
      <c r="F53" s="538"/>
      <c r="G53" s="538"/>
      <c r="H53" s="476"/>
      <c r="I53" s="539"/>
    </row>
    <row r="54" spans="1:9" ht="30" customHeight="1" thickBot="1">
      <c r="A54" s="540" t="s">
        <v>42</v>
      </c>
      <c r="B54" s="541"/>
      <c r="C54" s="542"/>
      <c r="D54" s="543"/>
      <c r="E54" s="544"/>
      <c r="F54" s="544"/>
      <c r="G54" s="544"/>
      <c r="H54" s="545"/>
      <c r="I54" s="546"/>
    </row>
    <row r="55" spans="1:9" ht="31.5">
      <c r="A55" s="126" t="s">
        <v>184</v>
      </c>
      <c r="B55" s="121" t="s">
        <v>62</v>
      </c>
      <c r="C55" s="547" t="s">
        <v>61</v>
      </c>
      <c r="D55" s="548"/>
      <c r="E55" s="549" t="s">
        <v>185</v>
      </c>
      <c r="F55" s="550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68"/>
      <c r="D56" s="531"/>
      <c r="E56" s="532"/>
      <c r="F56" s="533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  <mergeCell ref="C56:D56"/>
    <mergeCell ref="E56:F56"/>
    <mergeCell ref="A53:C53"/>
    <mergeCell ref="D53:I53"/>
    <mergeCell ref="A54:C54"/>
    <mergeCell ref="D54:I54"/>
    <mergeCell ref="C55:D55"/>
    <mergeCell ref="E55:F55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2023-12-19T07:56:48Z</dcterms:modified>
  <cp:category>Test</cp:category>
</cp:coreProperties>
</file>