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nia\Lavoro\SIUT\MEV\020 - SIES Avvocatura Sede\Verifica di Conformità\DA CONSEGNARE\"/>
    </mc:Choice>
  </mc:AlternateContent>
  <xr:revisionPtr revIDLastSave="0" documentId="13_ncr:1_{0333D5A1-D8DE-4A28-9F75-55C075CD0A1B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Copertina" sheetId="1" r:id="rId1"/>
    <sheet name="TabellaTest" sheetId="2" r:id="rId2"/>
    <sheet name="SpecificaTest" sheetId="3" r:id="rId3"/>
    <sheet name="VerificheConformità" sheetId="4" r:id="rId4"/>
    <sheet name="SogliaAccettazione" sheetId="5" r:id="rId5"/>
  </sheets>
  <externalReferences>
    <externalReference r:id="rId6"/>
    <externalReference r:id="rId7"/>
  </externalReferences>
  <definedNames>
    <definedName name="_xlnm._FilterDatabase" localSheetId="1" hidden="1">TabellaTest!$F$1:$F$13</definedName>
    <definedName name="AllUserNames" localSheetId="4">#REF!</definedName>
    <definedName name="AllUserNames" localSheetId="3">#REF!</definedName>
    <definedName name="AllUserNames">#REF!</definedName>
    <definedName name="_xlnm.Print_Area" localSheetId="3">VerificheConformità!$A$1:$G$19</definedName>
    <definedName name="DecisionLastCategory">'[1]Test Decision'!$P$3409</definedName>
    <definedName name="DecisionLastSize">'[1]Test Decision'!$Q$3409</definedName>
    <definedName name="QACP_Project_Setup" localSheetId="4">#REF!</definedName>
    <definedName name="QACP_Project_Setup" localSheetId="3">#REF!</definedName>
    <definedName name="QACP_Project_Setup">#REF!</definedName>
    <definedName name="QACPRiskFactorWeights" localSheetId="4">#REF!</definedName>
    <definedName name="QACPRiskFactorWeights" localSheetId="3">#REF!</definedName>
    <definedName name="QACPRiskFactorWeights">#REF!</definedName>
    <definedName name="Raw_Data_In" localSheetId="4">#REF!</definedName>
    <definedName name="Raw_Data_In" localSheetId="3">#REF!</definedName>
    <definedName name="Raw_Data_In">#REF!</definedName>
    <definedName name="sfsfd">[2]Users!$A$2:$A$5</definedName>
    <definedName name="TempUsers" localSheetId="4">#REF!</definedName>
    <definedName name="TempUsers" localSheetId="3">#REF!</definedName>
    <definedName name="TempUsers">#REF!</definedName>
    <definedName name="UserIDs" localSheetId="4">#REF!</definedName>
    <definedName name="UserIDs" localSheetId="3">#REF!</definedName>
    <definedName name="UserIDs">#REF!</definedName>
    <definedName name="UserList" localSheetId="4">#REF!</definedName>
    <definedName name="UserList" localSheetId="3">#REF!</definedName>
    <definedName name="UserList">#REF!</definedName>
    <definedName name="UserNames" localSheetId="4">#REF!</definedName>
    <definedName name="UserNames" localSheetId="3">#REF!</definedName>
    <definedName name="UserNam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78" i="3" l="1"/>
  <c r="D78" i="3"/>
  <c r="B78" i="3"/>
  <c r="A78" i="3"/>
  <c r="F26" i="3"/>
  <c r="D26" i="3"/>
  <c r="B26" i="3" l="1"/>
  <c r="A26" i="3"/>
  <c r="F71" i="3"/>
  <c r="D71" i="3"/>
  <c r="B71" i="3"/>
  <c r="A71" i="3"/>
  <c r="F62" i="3"/>
  <c r="D62" i="3"/>
  <c r="B62" i="3"/>
  <c r="A62" i="3"/>
  <c r="F56" i="3"/>
  <c r="D56" i="3"/>
  <c r="B56" i="3"/>
  <c r="A56" i="3"/>
  <c r="F48" i="3"/>
  <c r="D48" i="3"/>
  <c r="B48" i="3"/>
  <c r="A48" i="3"/>
  <c r="F41" i="3"/>
  <c r="D41" i="3"/>
  <c r="B41" i="3"/>
  <c r="A41" i="3"/>
  <c r="F34" i="3"/>
  <c r="D34" i="3"/>
  <c r="B34" i="3"/>
  <c r="A34" i="3"/>
  <c r="F19" i="3"/>
  <c r="D19" i="3"/>
  <c r="B19" i="3"/>
  <c r="A19" i="3"/>
  <c r="B12" i="3"/>
  <c r="F12" i="3"/>
  <c r="D12" i="3"/>
  <c r="A12" i="3"/>
  <c r="D1" i="3"/>
  <c r="D4" i="3"/>
  <c r="B17" i="5" l="1"/>
  <c r="F4" i="3" l="1"/>
  <c r="B4" i="3"/>
  <c r="A4" i="3"/>
  <c r="E19" i="5" l="1"/>
  <c r="E18" i="5"/>
  <c r="E17" i="5"/>
  <c r="D19" i="5"/>
  <c r="D18" i="5"/>
  <c r="D17" i="5"/>
  <c r="C19" i="5"/>
  <c r="C18" i="5"/>
  <c r="C17" i="5"/>
  <c r="B18" i="5"/>
  <c r="B19" i="5"/>
  <c r="E8" i="5"/>
  <c r="E7" i="5"/>
  <c r="D8" i="5"/>
  <c r="D7" i="5"/>
  <c r="C8" i="5"/>
  <c r="C7" i="5"/>
  <c r="B8" i="5"/>
  <c r="B7" i="5"/>
  <c r="E6" i="5"/>
  <c r="D6" i="5"/>
  <c r="C6" i="5"/>
  <c r="B6" i="5"/>
  <c r="C2" i="5" l="1"/>
  <c r="C1" i="5"/>
  <c r="C2" i="2"/>
  <c r="C1" i="2"/>
  <c r="D2" i="4" l="1"/>
  <c r="D1" i="4"/>
  <c r="D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Salvaggio</author>
  </authors>
  <commentList>
    <comment ref="H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: impedisce l'uso dell'applicazione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: impedisce l'uso di una funzione
</t>
        </r>
        <r>
          <rPr>
            <b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: non impedisce l'uso di funzioni
</t>
        </r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: malfunzionamento marginale
</t>
        </r>
      </text>
    </comment>
    <comment ref="I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>: Funzionalità indispensabile</t>
        </r>
        <r>
          <rPr>
            <b/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Tahoma"/>
            <family val="2"/>
          </rPr>
          <t>: Funzionalità non centrale</t>
        </r>
        <r>
          <rPr>
            <b/>
            <sz val="9"/>
            <color indexed="81"/>
            <rFont val="Tahoma"/>
            <family val="2"/>
          </rPr>
          <t xml:space="preserve">
C</t>
        </r>
        <r>
          <rPr>
            <sz val="9"/>
            <color indexed="81"/>
            <rFont val="Tahoma"/>
            <family val="2"/>
          </rPr>
          <t>: Funzionalità marginale</t>
        </r>
      </text>
    </comment>
  </commentList>
</comments>
</file>

<file path=xl/sharedStrings.xml><?xml version="1.0" encoding="utf-8"?>
<sst xmlns="http://schemas.openxmlformats.org/spreadsheetml/2006/main" count="489" uniqueCount="179">
  <si>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</si>
  <si>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</si>
  <si>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</si>
  <si>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</si>
  <si>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</si>
  <si>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</si>
  <si>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</si>
  <si>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</si>
  <si>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</si>
  <si>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Classe di Gravità (1-4)</t>
  </si>
  <si>
    <t>Classe di rilevanza (A, B, C)</t>
  </si>
  <si>
    <t>Esito</t>
  </si>
  <si>
    <t xml:space="preserve">Codifica Piano di test </t>
  </si>
  <si>
    <t xml:space="preserve"> ID caso di test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</si>
  <si>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</si>
  <si>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</si>
  <si>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</si>
  <si>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</si>
  <si>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</si>
  <si>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</si>
  <si>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</si>
  <si>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</si>
  <si>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</si>
  <si>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</si>
  <si>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A</t>
  </si>
  <si>
    <t>B</t>
  </si>
  <si>
    <t>C</t>
  </si>
  <si>
    <t>Numero massimo di difformità ammesse</t>
  </si>
  <si>
    <t>Requisito</t>
  </si>
  <si>
    <t>Scenario di test</t>
  </si>
  <si>
    <t>Caso d'uso</t>
  </si>
  <si>
    <t>ID Caso d'uso</t>
  </si>
  <si>
    <t>ID. Requisito Padre</t>
  </si>
  <si>
    <t>Lista Requisiti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</si>
  <si>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</si>
  <si>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</si>
  <si>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</si>
  <si>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</si>
  <si>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</si>
  <si>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</si>
  <si>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</si>
  <si>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</si>
  <si>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</si>
  <si>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</si>
  <si>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Il presente documento è stato redatto con la collaborazione del RTI Engineering Ingegneria Informatica S.p.A. &amp; Sirfin-PA S.r.l. nell’ambito del contratto CIG 73479643B7 per lo “Sviluppo del Sistema Informativo Unitario Telematico, la manutenzione degli attuali sistemi dell’area Penale del Ministero della Giustizia e servizi correlati. Lotto 1”.</t>
  </si>
  <si>
    <t>1.0</t>
  </si>
  <si>
    <t>001</t>
  </si>
  <si>
    <t>Adeguatezza delle funzionalità</t>
  </si>
  <si>
    <t xml:space="preserve">Completezza funzionale </t>
  </si>
  <si>
    <t xml:space="preserve">Copertura dei requisiti </t>
  </si>
  <si>
    <t xml:space="preserve">Verifica del grado di copertura funzionale offerta sulla base dell’analisi dei requisiti, delle funzionalità e degli obiettivi richiesti </t>
  </si>
  <si>
    <t>OK</t>
  </si>
  <si>
    <t>002</t>
  </si>
  <si>
    <t xml:space="preserve">Correttezza funzionale </t>
  </si>
  <si>
    <t xml:space="preserve">Aderenza ai requisiti </t>
  </si>
  <si>
    <t xml:space="preserve">Verifica del grado con cui le funzionalità implementate rispettano i requisiti richiesti </t>
  </si>
  <si>
    <t>003</t>
  </si>
  <si>
    <t xml:space="preserve">Appropriatezza funzionale </t>
  </si>
  <si>
    <t xml:space="preserve">Conformità alle normative </t>
  </si>
  <si>
    <t xml:space="preserve">Verifica l’aderenza delle funzionalità implementate rispetto alle normative pertinenti </t>
  </si>
  <si>
    <t>004</t>
  </si>
  <si>
    <t>Affidabilità</t>
  </si>
  <si>
    <t xml:space="preserve">Robustezza </t>
  </si>
  <si>
    <t xml:space="preserve">Robustezza del software </t>
  </si>
  <si>
    <t xml:space="preserve">Verifica della capacità del sistema di gestire condizioni non previste dalle specifiche </t>
  </si>
  <si>
    <t>005</t>
  </si>
  <si>
    <t>Manutenibilità</t>
  </si>
  <si>
    <t>Analizzabilità</t>
  </si>
  <si>
    <t xml:space="preserve">Leggibilità del codice </t>
  </si>
  <si>
    <t xml:space="preserve">Verifica della facilità di comprensione del codice, per esempio con riferimento ai nomi utilizzati per i moduli, le funzioni e le variabili, ai commenti e alla dimensione dei moduli e delle funzioni  </t>
  </si>
  <si>
    <t>006</t>
  </si>
  <si>
    <t>Copertura documentazione tecnica</t>
  </si>
  <si>
    <t xml:space="preserve">Verifica del livello di completezza della documentazione tecnica di moduli e funzioni </t>
  </si>
  <si>
    <t>007</t>
  </si>
  <si>
    <t>Adeguatezza documentazione tecnica</t>
  </si>
  <si>
    <t xml:space="preserve">Verifica della qualità descrittiva della documentazione tecnica di moduli e funzioni </t>
  </si>
  <si>
    <t>008</t>
  </si>
  <si>
    <t>Verificabilità</t>
  </si>
  <si>
    <t>Completezza dei test</t>
  </si>
  <si>
    <t xml:space="preserve">Verifica del grado di copertura del codice sviluppato da parte di test (di varia natura, come test unitari, test di integrazione, test end-to-end, test di accettazione, test di regressione, test di qualità)  </t>
  </si>
  <si>
    <t>R1</t>
  </si>
  <si>
    <t>Penale - Sistema Informativo Esecuzione e Sorveglianza</t>
  </si>
  <si>
    <t>Scheda nr. 20 - Avvocatura SIES Sede</t>
  </si>
  <si>
    <t>SIES</t>
  </si>
  <si>
    <t>REQ-SIE-020-01_FN.01</t>
  </si>
  <si>
    <t>SIES - Elenco procedimenti per soggetto</t>
  </si>
  <si>
    <t>SIES - Stampa dettaglio procedimento</t>
  </si>
  <si>
    <t>1</t>
  </si>
  <si>
    <t>2</t>
  </si>
  <si>
    <t>V</t>
  </si>
  <si>
    <t>Verifica</t>
  </si>
  <si>
    <t>3</t>
  </si>
  <si>
    <t>Il sistema popola il menu a tendina "Sede" con l'elenco delle sedi degli Uffici di Sorveglianza del Distretto selezionato</t>
  </si>
  <si>
    <t>L'utente non seleziona una sede e preme il pulsante "Cerca"</t>
  </si>
  <si>
    <t>Il sistema presenta un messaggio di errore bloccante che informa l'utente dell'obbligatorietà della selezione della sede dell'Ufficio</t>
  </si>
  <si>
    <t>L'utente non seleziona la sede e preme il pulsante "Cerca"</t>
  </si>
  <si>
    <t>Ricerche -&gt; Dati Soggetto</t>
  </si>
  <si>
    <r>
      <t xml:space="preserve">L'utente dopo aver individuato il soggetto di interesse seleziona il link contenuto nella colonna </t>
    </r>
    <r>
      <rPr>
        <b/>
        <sz val="10"/>
        <rFont val="Arial"/>
        <family val="2"/>
      </rPr>
      <t xml:space="preserve">N. Fascicoli SIUS </t>
    </r>
  </si>
  <si>
    <r>
      <t xml:space="preserve">L'utente seleziona il link del </t>
    </r>
    <r>
      <rPr>
        <b/>
        <sz val="10"/>
        <rFont val="Arial"/>
        <family val="2"/>
      </rPr>
      <t>N. Procedimenti SIUS</t>
    </r>
    <r>
      <rPr>
        <sz val="10"/>
        <rFont val="Arial"/>
        <family val="2"/>
      </rPr>
      <t xml:space="preserve"> in corrispondenza del soggetto di interesse</t>
    </r>
  </si>
  <si>
    <t>Il sistema visualizza l'elenco dei procedimenti associati al soggetto.</t>
  </si>
  <si>
    <t>4</t>
  </si>
  <si>
    <t>L'utente seleziona il procedimento di interesse</t>
  </si>
  <si>
    <t>L'utente clicca su Cerca</t>
  </si>
  <si>
    <t>REQ-SIE-020-01_FN.01
REQ-SIE-020-01_FN.02
REQ-SIE-020-01_FN.03
REQ-SIE-020-01_FN.06</t>
  </si>
  <si>
    <t>UC-SIE-020-01.01</t>
  </si>
  <si>
    <t>UC-SIE-020-01.02</t>
  </si>
  <si>
    <t>REQ-SIE-020-01_FN.01
REQ-SIE-020-01_FN.02
REQ-SIE-020-01_FN.03</t>
  </si>
  <si>
    <t>UC-SIE-020-01.03</t>
  </si>
  <si>
    <t>TF002.UC-SIE-020-01.02</t>
  </si>
  <si>
    <t>SIES - Ricerca procedimento per numero</t>
  </si>
  <si>
    <t>SIES - Ricerca procedimento per tipo ufficio "Ufficio di Sorveglianza" - Ricerca per numero</t>
  </si>
  <si>
    <t>SIES - Ricerca procedimento per tipo ufficio "Tribunale di Sorveglianza" - Ricerca per numero</t>
  </si>
  <si>
    <t>REQ-SIE-020-01_FN.01
REQ-SIE-020-01_FN.04
REQ-SIE-020-01_FN.05
REQ-SIE-020-01_FN.06</t>
  </si>
  <si>
    <t>TF002.UC-SIE-020-01.03</t>
  </si>
  <si>
    <t>UC-SIE-020-02.01</t>
  </si>
  <si>
    <t>REQ-SIE-020-02_FN.01
REQ-SIE-020-01_FN.06</t>
  </si>
  <si>
    <t>UC-SIE-020-03.01</t>
  </si>
  <si>
    <t>SIES - Dettaglio Procedimento [Ricerca Per Numero]</t>
  </si>
  <si>
    <t>SIES - Dettaglio Procedimento [Ricerca Per Soggetto]</t>
  </si>
  <si>
    <t>UC-SIE-020-03.02</t>
  </si>
  <si>
    <t>REQ-SIE-020-03_FN.01
REQ-SIE-020-01_FN.06</t>
  </si>
  <si>
    <t>UC-SIE-020-03.03</t>
  </si>
  <si>
    <t>REQ-SIE-020-03_FN.02
REQ-SIE-020-03_FN.03</t>
  </si>
  <si>
    <t>Verifica: Nella maschera di ricerca per numero di procedimento deve essere presente il nuovo menu a tendina "Sede". I valori presenti nel menù a tendina si popolano opportunamente in base al distretto e tipo Ufficio selezionato.</t>
  </si>
  <si>
    <t>L'utente apre il menu a tendina "Sede", seleziona la sede di interesse e preme il pulsante "Cerca"</t>
  </si>
  <si>
    <t>L'utente verifica che i dati del procedimento ottenuti in output  siano esattamente quelli per i quali ha effettuato ricerca (anno, numero, distretto, tipo ufficio e sede)</t>
  </si>
  <si>
    <t>Verifica: Non Obbligatorietà del campo sede per la ricerca di un procedimento per tipo ufficio "Tribunale di Sorveglianza".</t>
  </si>
  <si>
    <t>Verifica: Presenza del nuovo campo"Sede" nella maschera di dettaglio del procedimento a seguito ricerca procedimento per numero.</t>
  </si>
  <si>
    <t>Verifica: Presenza del nuovo campo "Sede" nella maschera di dettaglio del procedimento a seguito ricerca procedimento per soggetto.</t>
  </si>
  <si>
    <t>L'Avvocato ha effettuato l'accesso all’applicazione di Consultazione Procedimenti e avvisi SIUS tramite PST (portale servizi telematici)</t>
  </si>
  <si>
    <t>Il sistema mostra la pagina di ricerca per numero procedimento in cui è  presente il nuovo campo "Sede".</t>
  </si>
  <si>
    <t>Anno
Numero
Distretto:selezione dalla combo
Tipo Ufficio: selezione dalla combo il valore 'Ufficio di Sorveglianza'</t>
  </si>
  <si>
    <t>L'utente inserisce i dati di input.</t>
  </si>
  <si>
    <t>L'utente si trova nella pagina principale dell'applicazione: Ricerca per Estremi Procedimento.</t>
  </si>
  <si>
    <t>Il sistema popola il menu a tendina "Sede".</t>
  </si>
  <si>
    <t>L'utente verifica che il menu a tendina "Sede" presenti i valori delle sedi degli Uffici di Sorveglianza del Distretto selezionato.</t>
  </si>
  <si>
    <t>Riciclo</t>
  </si>
  <si>
    <t>Anno
Numero
Distretto:selezione dalla combo
Tipo Ufficio: selezione dalla combo il valore 'Tribunale di Sorveglianza'</t>
  </si>
  <si>
    <r>
      <t>L'utente riesegue il test a partire dall'</t>
    </r>
    <r>
      <rPr>
        <b/>
        <sz val="10"/>
        <rFont val="Arial"/>
        <family val="2"/>
      </rPr>
      <t xml:space="preserve">Azione 1 </t>
    </r>
    <r>
      <rPr>
        <sz val="10"/>
        <rFont val="Arial"/>
        <family val="2"/>
      </rPr>
      <t>cambiando il valore di input per Tipo Ufficio</t>
    </r>
  </si>
  <si>
    <t>Il sistema restituisce la pagina di dettaglio del procedimento trovato,dopo aver invocato il servizio di richiesta dati, passando in input i dati della ricerca ed il codice fiscale dell'utente avvocato che ha effettuato l'accesso.</t>
  </si>
  <si>
    <t>Verifica: Obbligatorietà del campo sede per tipo ufficio "Ufficio di Sorveglianza".</t>
  </si>
  <si>
    <t>L'utente verifica l'obbligatorietà della selezione del campo "Sede"</t>
  </si>
  <si>
    <t>Verifica: Esito positivo della ricerca  per  numero procedimento utilizzando il valore del campo sede .</t>
  </si>
  <si>
    <t>L'Avvocato ha effettuato l'accesso all’applicazione di Consultazione Procedimenti e avvisi SIUS tramite PST (portale servizi telematici).
L'avvocato deve risultare difensore assegnatario di due procedimenti SIUS aventi lo stesso numero ma appartenenti a due sedi diverse nello stesso distretto.</t>
  </si>
  <si>
    <t>L'utente inserisce i dati di input e preme il pulsante "Cerca".</t>
  </si>
  <si>
    <r>
      <t>L'utente riesegue il test a partire dall'</t>
    </r>
    <r>
      <rPr>
        <b/>
        <sz val="10"/>
        <rFont val="Arial"/>
        <family val="2"/>
      </rPr>
      <t xml:space="preserve">Azione 1 </t>
    </r>
    <r>
      <rPr>
        <sz val="10"/>
        <rFont val="Arial"/>
        <family val="2"/>
      </rPr>
      <t xml:space="preserve">cambiando il valore di input per Sede </t>
    </r>
  </si>
  <si>
    <t>Anno
Numero
Distretto:selezione dalla combo
Tipo Ufficio: selezione dalla combo il valore 'Ufficio di Sorveglianza
Sede: valore corrispondente alla sede del secondo dei due procedimenti per cui risulta assegnatario.</t>
  </si>
  <si>
    <t>Anno
Numero
Distretto:selezione dalla combo
Tipo Ufficio: selezione dalla combo il valore 'Ufficio di Sorveglianza
Sede:  valore corrispondente alla sede del primo dei due procedimenti per cui risulta assegnatario</t>
  </si>
  <si>
    <t>Verifica:  Il servizio di richiesta dei dati dei procedimenti esposto dal sistema SIES utilizza il campo "Sede" come valore discriminante nelle ricerche dei procedimenti SIUS.</t>
  </si>
  <si>
    <t>TF001.UC-SIE-020-01.01</t>
  </si>
  <si>
    <t>TF001.UC-SIE-020-01.02</t>
  </si>
  <si>
    <t>TF003.UC-SIE-020-01.02</t>
  </si>
  <si>
    <t>TF001.UC-SIE-020-01.03</t>
  </si>
  <si>
    <t>L'utente verifica che il menu a tendina "Sede" presenti il valore della sede del Tribunale di Sorveglianza del Distretto selezionato.</t>
  </si>
  <si>
    <t>Il sistema popola il menu a tendina "Sede" con la sede del Tribunale di Sorveglianza del Distretto selezionato.</t>
  </si>
  <si>
    <t>L'utente verifica la non obbligatorietà della selezione del campo "Sede"</t>
  </si>
  <si>
    <t>L'utente imposta i criteri di ricerca per soggetto e preme il pulsante "Cerca".</t>
  </si>
  <si>
    <t>L'Avvocato ha effettuato l'accesso all’applicazione di Consultazione Procedimenti e avvisi SIUS tramite PST (portale servizi telematici).
L'avvocato ricerca un soggetto che abbia almeno un procedimenteo a carico di cui risulta essere difensore assegnatario.</t>
  </si>
  <si>
    <t>Il sistema restituisce l' elenco dei soggetti trovati dopo aver invocato il servizio di richiesta dati, passando in input i dati della ricerca ed il codice fiscale dell'utente avvocato che ha effettuato l'accesso.</t>
  </si>
  <si>
    <r>
      <t xml:space="preserve">Il sistema prospetta l' </t>
    </r>
    <r>
      <rPr>
        <b/>
        <sz val="10"/>
        <rFont val="Arial"/>
        <family val="2"/>
      </rPr>
      <t>Elenco dei Procedimenti  per Soggetto</t>
    </r>
  </si>
  <si>
    <t>L'utente verifica che nell'elenco dei procedimenti del soggetto è presente la nuova colonna Tipo Ufficio/Sede.</t>
  </si>
  <si>
    <t>Verifica: L'elenco risultante dalla ricerca procedimenti per soggetto deve presentare la nuova colonna Tipo Ufficio/Sede.</t>
  </si>
  <si>
    <t>TF001.UC-SIE-020-02.01</t>
  </si>
  <si>
    <t>TF001.UC-SIE-020-03.01</t>
  </si>
  <si>
    <t>TF001.UC-SIE-020-03.02</t>
  </si>
  <si>
    <t>TF001.UC-SIE-020-03.03</t>
  </si>
  <si>
    <t>TF002.UC-SIE-020-03.03</t>
  </si>
  <si>
    <t>Anno
Numero
Distretto:selezione dalla combo
Tipo Ufficio: selezione dalla combo
Sede: selezione dalla combo</t>
  </si>
  <si>
    <t>L'utente verifica che nella pagina di dettaglio del procedimento è presente il campo "Sede"</t>
  </si>
  <si>
    <t>Il sistema restituisce l'elenco dei soggetti trovati dopo aver invocato il servizio di richiesta dati, passando in input i dati della ricerca ed il codice fiscale dell'utente avvocato che ha effettuato l'accesso.</t>
  </si>
  <si>
    <t>Verifica: Indicazione della "Sede" dell'Ufficio che ha emesso il procedimento nella stampa di dettaglio - [Ricerca Per Numero]</t>
  </si>
  <si>
    <t>Verifica: Indicazione della "Sede" dell'Ufficio che ha emesso il procedimento nella stampa di dettaglio - [Ricerca Per Soggetto]</t>
  </si>
  <si>
    <t>Il sistema genera il documento di stampa.</t>
  </si>
  <si>
    <t>L'utente verifica che nella stampa sia riportata  la sede dell'ufficio che ha emesso il procedimento.</t>
  </si>
  <si>
    <t>5</t>
  </si>
  <si>
    <t>Il sistema visualizza la pagina di dettaglio del procedimento.</t>
  </si>
  <si>
    <t>L'utente clicca sull'icona Stampa posta nella pagina di dettaglio.</t>
  </si>
  <si>
    <t>SIUT-SIE-CT-1.0-20200407-Allegato-al-piano-test AVVOCATURA.xlsx</t>
  </si>
  <si>
    <t>SIUT-SIE-PT-1.0-20200407-Piano dei Test AVVOCATURA.pdf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</si>
</sst>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i/>
      <sz val="11"/>
      <color rgb="FF1F497D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Arial"/>
      <family val="2"/>
    </font>
    <font>
      <i/>
      <sz val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6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9" fillId="0" borderId="0"/>
  </cellStyleXfs>
  <cellXfs count="170">
    <xf numFmtId="0" fontId="0" fillId="0" borderId="0" xfId="0"/>
    <xf numFmtId="0" fontId="0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/>
    <xf numFmtId="0" fontId="8" fillId="6" borderId="4" xfId="0" applyFont="1" applyFill="1" applyBorder="1" applyAlignment="1">
      <alignment vertical="center" wrapText="1"/>
    </xf>
    <xf numFmtId="0" fontId="9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49" fontId="6" fillId="6" borderId="13" xfId="1" applyNumberFormat="1" applyFont="1" applyFill="1" applyBorder="1" applyAlignment="1">
      <alignment horizontal="center" vertical="center" wrapText="1"/>
    </xf>
    <xf numFmtId="49" fontId="3" fillId="6" borderId="14" xfId="1" applyNumberFormat="1" applyFont="1" applyFill="1" applyBorder="1" applyAlignment="1">
      <alignment horizontal="center" vertical="center" wrapText="1"/>
    </xf>
    <xf numFmtId="49" fontId="3" fillId="6" borderId="15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2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9" fillId="0" borderId="0" xfId="2" applyFont="1" applyAlignment="1">
      <alignment vertical="center"/>
    </xf>
    <xf numFmtId="0" fontId="9" fillId="0" borderId="0" xfId="2" applyFont="1"/>
    <xf numFmtId="0" fontId="13" fillId="9" borderId="29" xfId="2" applyFont="1" applyFill="1" applyBorder="1" applyAlignment="1">
      <alignment horizontal="center" vertical="center" wrapText="1"/>
    </xf>
    <xf numFmtId="0" fontId="13" fillId="9" borderId="23" xfId="2" applyFont="1" applyFill="1" applyBorder="1" applyAlignment="1">
      <alignment horizontal="center" vertical="center" wrapText="1"/>
    </xf>
    <xf numFmtId="0" fontId="14" fillId="0" borderId="28" xfId="2" applyFont="1" applyBorder="1" applyAlignment="1">
      <alignment horizontal="center" vertical="center" wrapText="1"/>
    </xf>
    <xf numFmtId="0" fontId="15" fillId="0" borderId="29" xfId="2" applyFont="1" applyBorder="1" applyAlignment="1">
      <alignment horizontal="center" vertical="center" wrapText="1"/>
    </xf>
    <xf numFmtId="0" fontId="13" fillId="9" borderId="28" xfId="2" applyFont="1" applyFill="1" applyBorder="1" applyAlignment="1">
      <alignment horizontal="center" vertical="center" wrapText="1"/>
    </xf>
    <xf numFmtId="0" fontId="14" fillId="0" borderId="30" xfId="2" applyFont="1" applyBorder="1" applyAlignment="1">
      <alignment horizontal="center" vertical="center" wrapText="1"/>
    </xf>
    <xf numFmtId="0" fontId="9" fillId="0" borderId="0" xfId="2" applyFont="1" applyBorder="1" applyAlignment="1">
      <alignment vertical="center" wrapText="1"/>
    </xf>
    <xf numFmtId="0" fontId="9" fillId="0" borderId="0" xfId="2" applyFont="1" applyAlignment="1">
      <alignment vertical="center" wrapText="1"/>
    </xf>
    <xf numFmtId="0" fontId="9" fillId="0" borderId="0" xfId="2" applyFont="1" applyBorder="1"/>
    <xf numFmtId="0" fontId="9" fillId="0" borderId="0" xfId="2" applyFont="1" applyBorder="1" applyAlignment="1">
      <alignment vertical="center"/>
    </xf>
    <xf numFmtId="0" fontId="13" fillId="11" borderId="29" xfId="2" applyFont="1" applyFill="1" applyBorder="1" applyAlignment="1">
      <alignment horizontal="center" vertical="center" wrapText="1"/>
    </xf>
    <xf numFmtId="0" fontId="13" fillId="11" borderId="23" xfId="2" applyFont="1" applyFill="1" applyBorder="1" applyAlignment="1">
      <alignment horizontal="center" vertical="center" wrapText="1"/>
    </xf>
    <xf numFmtId="0" fontId="14" fillId="11" borderId="28" xfId="2" applyFont="1" applyFill="1" applyBorder="1" applyAlignment="1">
      <alignment horizontal="center" vertical="center" wrapText="1"/>
    </xf>
    <xf numFmtId="1" fontId="0" fillId="0" borderId="29" xfId="2" applyNumberFormat="1" applyFont="1" applyBorder="1" applyAlignment="1" applyProtection="1">
      <alignment horizontal="center" vertical="center" wrapText="1"/>
      <protection hidden="1"/>
    </xf>
    <xf numFmtId="0" fontId="13" fillId="11" borderId="28" xfId="2" applyFont="1" applyFill="1" applyBorder="1" applyAlignment="1">
      <alignment horizontal="center" vertical="center" wrapText="1"/>
    </xf>
    <xf numFmtId="0" fontId="14" fillId="11" borderId="30" xfId="2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0" fontId="20" fillId="13" borderId="41" xfId="0" applyFont="1" applyFill="1" applyBorder="1" applyAlignment="1">
      <alignment vertical="center" wrapText="1"/>
    </xf>
    <xf numFmtId="0" fontId="18" fillId="12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horizontal="left" vertical="center"/>
    </xf>
    <xf numFmtId="49" fontId="9" fillId="0" borderId="38" xfId="0" applyNumberFormat="1" applyFont="1" applyBorder="1" applyAlignment="1">
      <alignment vertical="center" wrapText="1"/>
    </xf>
    <xf numFmtId="49" fontId="0" fillId="0" borderId="38" xfId="0" applyNumberFormat="1" applyBorder="1" applyAlignment="1">
      <alignment vertical="center" wrapText="1"/>
    </xf>
    <xf numFmtId="49" fontId="0" fillId="0" borderId="43" xfId="0" applyNumberFormat="1" applyBorder="1" applyAlignment="1">
      <alignment vertical="center" wrapText="1"/>
    </xf>
    <xf numFmtId="49" fontId="0" fillId="0" borderId="43" xfId="0" applyNumberFormat="1" applyBorder="1" applyAlignment="1">
      <alignment horizontal="center" vertical="center" wrapText="1"/>
    </xf>
    <xf numFmtId="49" fontId="0" fillId="0" borderId="38" xfId="0" applyNumberFormat="1" applyBorder="1" applyAlignment="1">
      <alignment horizontal="center" vertical="center" wrapText="1"/>
    </xf>
    <xf numFmtId="0" fontId="22" fillId="15" borderId="4" xfId="0" applyFont="1" applyFill="1" applyBorder="1" applyAlignment="1">
      <alignment horizontal="center" vertical="center" wrapText="1"/>
    </xf>
    <xf numFmtId="0" fontId="20" fillId="0" borderId="4" xfId="2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20" fillId="13" borderId="47" xfId="0" applyFont="1" applyFill="1" applyBorder="1" applyAlignment="1">
      <alignment vertical="center" wrapText="1"/>
    </xf>
    <xf numFmtId="0" fontId="20" fillId="13" borderId="51" xfId="0" applyFont="1" applyFill="1" applyBorder="1" applyAlignment="1">
      <alignment vertical="center" wrapText="1"/>
    </xf>
    <xf numFmtId="49" fontId="22" fillId="15" borderId="4" xfId="0" applyNumberFormat="1" applyFont="1" applyFill="1" applyBorder="1" applyAlignment="1">
      <alignment horizontal="center" vertical="center" wrapText="1"/>
    </xf>
    <xf numFmtId="0" fontId="18" fillId="14" borderId="4" xfId="0" applyFont="1" applyFill="1" applyBorder="1" applyAlignment="1">
      <alignment horizontal="center" vertical="center" wrapText="1"/>
    </xf>
    <xf numFmtId="49" fontId="22" fillId="16" borderId="4" xfId="0" applyNumberFormat="1" applyFont="1" applyFill="1" applyBorder="1" applyAlignment="1">
      <alignment horizontal="center" vertical="center" wrapText="1"/>
    </xf>
    <xf numFmtId="0" fontId="22" fillId="16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3" fillId="12" borderId="4" xfId="0" applyFont="1" applyFill="1" applyBorder="1" applyAlignment="1">
      <alignment horizontal="center" vertical="center" wrapText="1"/>
    </xf>
    <xf numFmtId="49" fontId="22" fillId="17" borderId="4" xfId="0" applyNumberFormat="1" applyFont="1" applyFill="1" applyBorder="1" applyAlignment="1">
      <alignment horizontal="center" vertical="center" wrapText="1"/>
    </xf>
    <xf numFmtId="0" fontId="22" fillId="17" borderId="4" xfId="0" applyFont="1" applyFill="1" applyBorder="1" applyAlignment="1">
      <alignment vertical="center" wrapText="1"/>
    </xf>
    <xf numFmtId="0" fontId="25" fillId="0" borderId="4" xfId="0" applyFont="1" applyBorder="1" applyAlignment="1">
      <alignment vertical="center" wrapText="1"/>
    </xf>
    <xf numFmtId="0" fontId="22" fillId="18" borderId="4" xfId="0" applyFont="1" applyFill="1" applyBorder="1" applyAlignment="1">
      <alignment horizontal="center" vertical="center" wrapText="1"/>
    </xf>
    <xf numFmtId="0" fontId="22" fillId="18" borderId="4" xfId="0" applyFont="1" applyFill="1" applyBorder="1" applyAlignment="1">
      <alignment vertical="center" wrapText="1"/>
    </xf>
    <xf numFmtId="0" fontId="18" fillId="12" borderId="53" xfId="0" applyFont="1" applyFill="1" applyBorder="1" applyAlignment="1">
      <alignment horizontal="center" vertical="center" wrapText="1"/>
    </xf>
    <xf numFmtId="49" fontId="22" fillId="4" borderId="4" xfId="0" applyNumberFormat="1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vertical="center" wrapText="1"/>
    </xf>
    <xf numFmtId="0" fontId="20" fillId="13" borderId="58" xfId="0" applyFont="1" applyFill="1" applyBorder="1" applyAlignment="1">
      <alignment vertical="center" wrapText="1"/>
    </xf>
    <xf numFmtId="0" fontId="20" fillId="13" borderId="44" xfId="0" applyFont="1" applyFill="1" applyBorder="1" applyAlignment="1">
      <alignment vertical="center" wrapText="1"/>
    </xf>
    <xf numFmtId="0" fontId="18" fillId="12" borderId="46" xfId="0" applyFont="1" applyFill="1" applyBorder="1" applyAlignment="1">
      <alignment horizontal="center" vertical="center" wrapText="1"/>
    </xf>
    <xf numFmtId="0" fontId="18" fillId="12" borderId="52" xfId="0" applyFont="1" applyFill="1" applyBorder="1" applyAlignment="1">
      <alignment horizontal="center" vertical="center" wrapText="1"/>
    </xf>
    <xf numFmtId="0" fontId="18" fillId="12" borderId="7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vertical="center" wrapText="1"/>
    </xf>
    <xf numFmtId="0" fontId="18" fillId="12" borderId="46" xfId="0" applyFont="1" applyFill="1" applyBorder="1" applyAlignment="1">
      <alignment horizontal="center" vertical="center" wrapText="1"/>
    </xf>
    <xf numFmtId="0" fontId="18" fillId="12" borderId="52" xfId="0" applyFont="1" applyFill="1" applyBorder="1" applyAlignment="1">
      <alignment horizontal="center" vertical="center" wrapText="1"/>
    </xf>
    <xf numFmtId="0" fontId="18" fillId="12" borderId="7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vertical="center" wrapText="1"/>
    </xf>
    <xf numFmtId="0" fontId="22" fillId="15" borderId="4" xfId="0" applyFont="1" applyFill="1" applyBorder="1" applyAlignment="1">
      <alignment vertical="center" wrapText="1"/>
    </xf>
    <xf numFmtId="49" fontId="8" fillId="3" borderId="7" xfId="0" applyNumberFormat="1" applyFont="1" applyFill="1" applyBorder="1" applyAlignment="1">
      <alignment horizontal="center" vertical="center" wrapText="1"/>
    </xf>
    <xf numFmtId="49" fontId="8" fillId="4" borderId="7" xfId="0" applyNumberFormat="1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49" fontId="8" fillId="6" borderId="7" xfId="0" applyNumberFormat="1" applyFont="1" applyFill="1" applyBorder="1" applyAlignment="1">
      <alignment horizontal="center" vertical="center" wrapText="1"/>
    </xf>
    <xf numFmtId="49" fontId="8" fillId="5" borderId="7" xfId="0" applyNumberFormat="1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20" fillId="0" borderId="37" xfId="0" applyFont="1" applyBorder="1" applyAlignment="1">
      <alignment vertical="center" wrapText="1"/>
    </xf>
    <xf numFmtId="0" fontId="20" fillId="12" borderId="37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 wrapText="1"/>
    </xf>
    <xf numFmtId="0" fontId="20" fillId="0" borderId="59" xfId="0" applyFont="1" applyBorder="1" applyAlignment="1">
      <alignment vertical="center" wrapText="1"/>
    </xf>
    <xf numFmtId="0" fontId="9" fillId="0" borderId="60" xfId="0" applyFont="1" applyBorder="1" applyAlignment="1">
      <alignment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9" fillId="0" borderId="45" xfId="0" applyFont="1" applyFill="1" applyBorder="1" applyAlignment="1">
      <alignment vertical="center" wrapText="1"/>
    </xf>
    <xf numFmtId="0" fontId="20" fillId="0" borderId="37" xfId="0" applyFont="1" applyFill="1" applyBorder="1" applyAlignment="1">
      <alignment horizontal="center" vertical="center" wrapText="1"/>
    </xf>
    <xf numFmtId="0" fontId="9" fillId="0" borderId="60" xfId="0" applyFont="1" applyFill="1" applyBorder="1" applyAlignment="1">
      <alignment vertical="center" wrapText="1"/>
    </xf>
    <xf numFmtId="0" fontId="20" fillId="0" borderId="37" xfId="0" applyFont="1" applyFill="1" applyBorder="1" applyAlignment="1">
      <alignment vertical="center" wrapText="1"/>
    </xf>
    <xf numFmtId="0" fontId="20" fillId="0" borderId="4" xfId="2" applyFont="1" applyFill="1" applyBorder="1" applyAlignment="1">
      <alignment vertical="center" wrapText="1"/>
    </xf>
    <xf numFmtId="0" fontId="20" fillId="0" borderId="59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1" fillId="0" borderId="0" xfId="3" applyFont="1" applyAlignment="1">
      <alignment horizontal="justify" vertical="center"/>
    </xf>
    <xf numFmtId="0" fontId="7" fillId="0" borderId="0" xfId="3" applyFont="1" applyAlignment="1">
      <alignment horizontal="justify"/>
    </xf>
    <xf numFmtId="0" fontId="26" fillId="0" borderId="4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8" fillId="2" borderId="35" xfId="0" applyFont="1" applyFill="1" applyBorder="1" applyAlignment="1" applyProtection="1">
      <alignment horizontal="center" vertical="center" wrapText="1"/>
      <protection locked="0"/>
    </xf>
    <xf numFmtId="0" fontId="8" fillId="2" borderId="36" xfId="0" applyFont="1" applyFill="1" applyBorder="1" applyAlignment="1" applyProtection="1">
      <alignment horizontal="center" vertical="center" wrapText="1"/>
      <protection locked="0"/>
    </xf>
    <xf numFmtId="0" fontId="18" fillId="12" borderId="46" xfId="0" applyFont="1" applyFill="1" applyBorder="1" applyAlignment="1">
      <alignment horizontal="center" vertical="center" wrapText="1"/>
    </xf>
    <xf numFmtId="0" fontId="18" fillId="12" borderId="52" xfId="0" applyFont="1" applyFill="1" applyBorder="1" applyAlignment="1">
      <alignment horizontal="center" vertical="center" wrapText="1"/>
    </xf>
    <xf numFmtId="0" fontId="18" fillId="12" borderId="7" xfId="0" applyFont="1" applyFill="1" applyBorder="1" applyAlignment="1">
      <alignment horizontal="center" vertical="center" wrapText="1"/>
    </xf>
    <xf numFmtId="0" fontId="18" fillId="12" borderId="4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49" fontId="0" fillId="0" borderId="4" xfId="0" applyNumberFormat="1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8" fillId="6" borderId="4" xfId="0" applyFont="1" applyFill="1" applyBorder="1" applyAlignment="1">
      <alignment horizontal="left" vertical="center" wrapText="1"/>
    </xf>
    <xf numFmtId="0" fontId="20" fillId="13" borderId="54" xfId="0" applyFont="1" applyFill="1" applyBorder="1" applyAlignment="1">
      <alignment horizontal="center" vertical="center" wrapText="1"/>
    </xf>
    <xf numFmtId="0" fontId="20" fillId="13" borderId="55" xfId="0" applyFont="1" applyFill="1" applyBorder="1" applyAlignment="1">
      <alignment horizontal="center" vertical="center" wrapText="1"/>
    </xf>
    <xf numFmtId="0" fontId="20" fillId="13" borderId="56" xfId="0" applyFont="1" applyFill="1" applyBorder="1" applyAlignment="1">
      <alignment horizontal="left" vertical="center" wrapText="1"/>
    </xf>
    <xf numFmtId="0" fontId="20" fillId="0" borderId="56" xfId="0" applyFont="1" applyBorder="1" applyAlignment="1">
      <alignment horizontal="left" vertical="center" wrapText="1"/>
    </xf>
    <xf numFmtId="0" fontId="20" fillId="0" borderId="57" xfId="0" applyFont="1" applyBorder="1" applyAlignment="1">
      <alignment horizontal="left" vertical="center" wrapText="1"/>
    </xf>
    <xf numFmtId="0" fontId="20" fillId="13" borderId="48" xfId="0" applyFont="1" applyFill="1" applyBorder="1" applyAlignment="1">
      <alignment horizontal="center" vertical="center" wrapText="1"/>
    </xf>
    <xf numFmtId="0" fontId="20" fillId="13" borderId="49" xfId="0" applyFont="1" applyFill="1" applyBorder="1" applyAlignment="1">
      <alignment horizontal="center" vertical="center" wrapText="1"/>
    </xf>
    <xf numFmtId="0" fontId="20" fillId="13" borderId="50" xfId="0" applyFont="1" applyFill="1" applyBorder="1" applyAlignment="1">
      <alignment horizontal="left" vertical="center" wrapText="1"/>
    </xf>
    <xf numFmtId="0" fontId="20" fillId="0" borderId="50" xfId="0" applyFont="1" applyBorder="1" applyAlignment="1">
      <alignment horizontal="left" vertical="center" wrapText="1"/>
    </xf>
    <xf numFmtId="0" fontId="20" fillId="0" borderId="39" xfId="0" applyFont="1" applyBorder="1" applyAlignment="1">
      <alignment horizontal="left" vertical="center" wrapText="1"/>
    </xf>
    <xf numFmtId="0" fontId="20" fillId="13" borderId="4" xfId="0" applyFont="1" applyFill="1" applyBorder="1" applyAlignment="1">
      <alignment horizontal="center" vertical="center" wrapText="1"/>
    </xf>
    <xf numFmtId="0" fontId="20" fillId="13" borderId="4" xfId="0" applyFont="1" applyFill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3" fillId="2" borderId="11" xfId="0" applyFont="1" applyFill="1" applyBorder="1" applyAlignment="1" applyProtection="1">
      <alignment horizontal="center" wrapText="1"/>
      <protection locked="0"/>
    </xf>
    <xf numFmtId="49" fontId="0" fillId="0" borderId="12" xfId="0" applyNumberFormat="1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49" fontId="7" fillId="0" borderId="14" xfId="0" applyNumberFormat="1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4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4" fillId="0" borderId="4" xfId="0" applyFont="1" applyBorder="1" applyAlignment="1">
      <alignment horizontal="center" wrapText="1"/>
    </xf>
    <xf numFmtId="0" fontId="8" fillId="10" borderId="31" xfId="2" applyFont="1" applyFill="1" applyBorder="1" applyAlignment="1">
      <alignment horizontal="center" vertical="center"/>
    </xf>
    <xf numFmtId="0" fontId="8" fillId="10" borderId="17" xfId="2" applyFont="1" applyFill="1" applyBorder="1" applyAlignment="1">
      <alignment horizontal="center" vertical="center"/>
    </xf>
    <xf numFmtId="0" fontId="8" fillId="10" borderId="18" xfId="2" applyFont="1" applyFill="1" applyBorder="1" applyAlignment="1">
      <alignment horizontal="center" vertical="center"/>
    </xf>
    <xf numFmtId="0" fontId="3" fillId="8" borderId="32" xfId="2" applyFont="1" applyFill="1" applyBorder="1" applyAlignment="1">
      <alignment horizontal="left" vertical="center" wrapText="1"/>
    </xf>
    <xf numFmtId="0" fontId="3" fillId="8" borderId="28" xfId="2" applyFont="1" applyFill="1" applyBorder="1" applyAlignment="1">
      <alignment horizontal="left" vertical="center" wrapText="1"/>
    </xf>
    <xf numFmtId="0" fontId="12" fillId="8" borderId="33" xfId="2" applyFont="1" applyFill="1" applyBorder="1" applyAlignment="1">
      <alignment horizontal="center" vertical="center" wrapText="1"/>
    </xf>
    <xf numFmtId="0" fontId="12" fillId="8" borderId="22" xfId="2" applyFont="1" applyFill="1" applyBorder="1" applyAlignment="1">
      <alignment horizontal="center" vertical="center" wrapText="1"/>
    </xf>
    <xf numFmtId="0" fontId="12" fillId="8" borderId="23" xfId="2" applyFont="1" applyFill="1" applyBorder="1" applyAlignment="1">
      <alignment horizontal="center" vertical="center" wrapText="1"/>
    </xf>
    <xf numFmtId="0" fontId="8" fillId="7" borderId="34" xfId="2" applyFont="1" applyFill="1" applyBorder="1" applyAlignment="1">
      <alignment horizontal="center" vertical="center"/>
    </xf>
    <xf numFmtId="0" fontId="8" fillId="7" borderId="22" xfId="2" applyFont="1" applyFill="1" applyBorder="1" applyAlignment="1">
      <alignment horizontal="center" vertical="center"/>
    </xf>
    <xf numFmtId="0" fontId="8" fillId="7" borderId="23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3" fillId="8" borderId="24" xfId="2" applyFont="1" applyFill="1" applyBorder="1" applyAlignment="1">
      <alignment horizontal="left" vertical="center" wrapText="1"/>
    </xf>
    <xf numFmtId="0" fontId="12" fillId="8" borderId="25" xfId="2" applyFont="1" applyFill="1" applyBorder="1" applyAlignment="1">
      <alignment horizontal="center" vertical="center" wrapText="1"/>
    </xf>
    <xf numFmtId="0" fontId="12" fillId="8" borderId="26" xfId="2" applyFont="1" applyFill="1" applyBorder="1" applyAlignment="1">
      <alignment horizontal="center" vertical="center" wrapText="1"/>
    </xf>
    <xf numFmtId="0" fontId="12" fillId="8" borderId="27" xfId="2" applyFont="1" applyFill="1" applyBorder="1" applyAlignment="1">
      <alignment horizontal="center" vertical="center" wrapText="1"/>
    </xf>
  </cellXfs>
  <cellStyles count="4">
    <cellStyle name="Normale" xfId="0" builtinId="0"/>
    <cellStyle name="Normale 2" xfId="1" xr:uid="{00000000-0005-0000-0000-000001000000}"/>
    <cellStyle name="Normale 3" xfId="2" xr:uid="{00000000-0005-0000-0000-000002000000}"/>
    <cellStyle name="Normale 4" xfId="3" xr:uid="{00000000-0005-0000-0000-000003000000}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00FF00"/>
      <color rgb="FFB8F4C8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1362076</xdr:colOff>
      <xdr:row>0</xdr:row>
      <xdr:rowOff>19050</xdr:rowOff>
    </xdr:from>
    <xdr:to>
      <xdr:col>2</xdr:col>
      <xdr:colOff>5105400</xdr:colOff>
      <xdr:row>1</xdr:row>
      <xdr:rowOff>1193</xdr:rowOff>
    </xdr:to>
    <xdr:pic>
      <xdr:nvPicPr>
        <xdr:cNvPr id="5" name="Immagine 6" descr="Logo DGSIA">
          <a:extLst>
            <a:ext uri="{FF2B5EF4-FFF2-40B4-BE49-F238E27FC236}">
              <a16:creationId xmlns:a16="http://schemas.microsoft.com/office/drawing/2014/main" id="{620FBF59-E5D2-4CC4-8F69-B632909F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6" y="19050"/>
          <a:ext cx="5829299" cy="1649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/>
  </sheetViews>
  <sheetFormatPr defaultRowHeight="120.75" customHeight="1" x14ac:dyDescent="0.25"/>
  <cols>
    <col min="1" max="1" width="1.42578125" style="3" customWidth="1"/>
    <col min="2" max="2" width="31.28515625" style="3" customWidth="1"/>
    <col min="3" max="3" width="94.7109375" style="3" customWidth="1"/>
    <col min="4" max="4" width="51.7109375" style="3" customWidth="1"/>
    <col min="5" max="256" width="9.140625" style="3"/>
    <col min="257" max="257" width="1.42578125" style="3" customWidth="1"/>
    <col min="258" max="258" width="31.28515625" style="3" customWidth="1"/>
    <col min="259" max="259" width="83.5703125" style="3" bestFit="1" customWidth="1"/>
    <col min="260" max="260" width="51.7109375" style="3" customWidth="1"/>
    <col min="261" max="512" width="9.140625" style="3"/>
    <col min="513" max="513" width="1.42578125" style="3" customWidth="1"/>
    <col min="514" max="514" width="31.28515625" style="3" customWidth="1"/>
    <col min="515" max="515" width="83.5703125" style="3" bestFit="1" customWidth="1"/>
    <col min="516" max="516" width="51.7109375" style="3" customWidth="1"/>
    <col min="517" max="768" width="9.140625" style="3"/>
    <col min="769" max="769" width="1.42578125" style="3" customWidth="1"/>
    <col min="770" max="770" width="31.28515625" style="3" customWidth="1"/>
    <col min="771" max="771" width="83.5703125" style="3" bestFit="1" customWidth="1"/>
    <col min="772" max="772" width="51.7109375" style="3" customWidth="1"/>
    <col min="773" max="1024" width="9.140625" style="3"/>
    <col min="1025" max="1025" width="1.42578125" style="3" customWidth="1"/>
    <col min="1026" max="1026" width="31.28515625" style="3" customWidth="1"/>
    <col min="1027" max="1027" width="83.5703125" style="3" bestFit="1" customWidth="1"/>
    <col min="1028" max="1028" width="51.7109375" style="3" customWidth="1"/>
    <col min="1029" max="1280" width="9.140625" style="3"/>
    <col min="1281" max="1281" width="1.42578125" style="3" customWidth="1"/>
    <col min="1282" max="1282" width="31.28515625" style="3" customWidth="1"/>
    <col min="1283" max="1283" width="83.5703125" style="3" bestFit="1" customWidth="1"/>
    <col min="1284" max="1284" width="51.7109375" style="3" customWidth="1"/>
    <col min="1285" max="1536" width="9.140625" style="3"/>
    <col min="1537" max="1537" width="1.42578125" style="3" customWidth="1"/>
    <col min="1538" max="1538" width="31.28515625" style="3" customWidth="1"/>
    <col min="1539" max="1539" width="83.5703125" style="3" bestFit="1" customWidth="1"/>
    <col min="1540" max="1540" width="51.7109375" style="3" customWidth="1"/>
    <col min="1541" max="1792" width="9.140625" style="3"/>
    <col min="1793" max="1793" width="1.42578125" style="3" customWidth="1"/>
    <col min="1794" max="1794" width="31.28515625" style="3" customWidth="1"/>
    <col min="1795" max="1795" width="83.5703125" style="3" bestFit="1" customWidth="1"/>
    <col min="1796" max="1796" width="51.7109375" style="3" customWidth="1"/>
    <col min="1797" max="2048" width="9.140625" style="3"/>
    <col min="2049" max="2049" width="1.42578125" style="3" customWidth="1"/>
    <col min="2050" max="2050" width="31.28515625" style="3" customWidth="1"/>
    <col min="2051" max="2051" width="83.5703125" style="3" bestFit="1" customWidth="1"/>
    <col min="2052" max="2052" width="51.7109375" style="3" customWidth="1"/>
    <col min="2053" max="2304" width="9.140625" style="3"/>
    <col min="2305" max="2305" width="1.42578125" style="3" customWidth="1"/>
    <col min="2306" max="2306" width="31.28515625" style="3" customWidth="1"/>
    <col min="2307" max="2307" width="83.5703125" style="3" bestFit="1" customWidth="1"/>
    <col min="2308" max="2308" width="51.7109375" style="3" customWidth="1"/>
    <col min="2309" max="2560" width="9.140625" style="3"/>
    <col min="2561" max="2561" width="1.42578125" style="3" customWidth="1"/>
    <col min="2562" max="2562" width="31.28515625" style="3" customWidth="1"/>
    <col min="2563" max="2563" width="83.5703125" style="3" bestFit="1" customWidth="1"/>
    <col min="2564" max="2564" width="51.7109375" style="3" customWidth="1"/>
    <col min="2565" max="2816" width="9.140625" style="3"/>
    <col min="2817" max="2817" width="1.42578125" style="3" customWidth="1"/>
    <col min="2818" max="2818" width="31.28515625" style="3" customWidth="1"/>
    <col min="2819" max="2819" width="83.5703125" style="3" bestFit="1" customWidth="1"/>
    <col min="2820" max="2820" width="51.7109375" style="3" customWidth="1"/>
    <col min="2821" max="3072" width="9.140625" style="3"/>
    <col min="3073" max="3073" width="1.42578125" style="3" customWidth="1"/>
    <col min="3074" max="3074" width="31.28515625" style="3" customWidth="1"/>
    <col min="3075" max="3075" width="83.5703125" style="3" bestFit="1" customWidth="1"/>
    <col min="3076" max="3076" width="51.7109375" style="3" customWidth="1"/>
    <col min="3077" max="3328" width="9.140625" style="3"/>
    <col min="3329" max="3329" width="1.42578125" style="3" customWidth="1"/>
    <col min="3330" max="3330" width="31.28515625" style="3" customWidth="1"/>
    <col min="3331" max="3331" width="83.5703125" style="3" bestFit="1" customWidth="1"/>
    <col min="3332" max="3332" width="51.7109375" style="3" customWidth="1"/>
    <col min="3333" max="3584" width="9.140625" style="3"/>
    <col min="3585" max="3585" width="1.42578125" style="3" customWidth="1"/>
    <col min="3586" max="3586" width="31.28515625" style="3" customWidth="1"/>
    <col min="3587" max="3587" width="83.5703125" style="3" bestFit="1" customWidth="1"/>
    <col min="3588" max="3588" width="51.7109375" style="3" customWidth="1"/>
    <col min="3589" max="3840" width="9.140625" style="3"/>
    <col min="3841" max="3841" width="1.42578125" style="3" customWidth="1"/>
    <col min="3842" max="3842" width="31.28515625" style="3" customWidth="1"/>
    <col min="3843" max="3843" width="83.5703125" style="3" bestFit="1" customWidth="1"/>
    <col min="3844" max="3844" width="51.7109375" style="3" customWidth="1"/>
    <col min="3845" max="4096" width="9.140625" style="3"/>
    <col min="4097" max="4097" width="1.42578125" style="3" customWidth="1"/>
    <col min="4098" max="4098" width="31.28515625" style="3" customWidth="1"/>
    <col min="4099" max="4099" width="83.5703125" style="3" bestFit="1" customWidth="1"/>
    <col min="4100" max="4100" width="51.7109375" style="3" customWidth="1"/>
    <col min="4101" max="4352" width="9.140625" style="3"/>
    <col min="4353" max="4353" width="1.42578125" style="3" customWidth="1"/>
    <col min="4354" max="4354" width="31.28515625" style="3" customWidth="1"/>
    <col min="4355" max="4355" width="83.5703125" style="3" bestFit="1" customWidth="1"/>
    <col min="4356" max="4356" width="51.7109375" style="3" customWidth="1"/>
    <col min="4357" max="4608" width="9.140625" style="3"/>
    <col min="4609" max="4609" width="1.42578125" style="3" customWidth="1"/>
    <col min="4610" max="4610" width="31.28515625" style="3" customWidth="1"/>
    <col min="4611" max="4611" width="83.5703125" style="3" bestFit="1" customWidth="1"/>
    <col min="4612" max="4612" width="51.7109375" style="3" customWidth="1"/>
    <col min="4613" max="4864" width="9.140625" style="3"/>
    <col min="4865" max="4865" width="1.42578125" style="3" customWidth="1"/>
    <col min="4866" max="4866" width="31.28515625" style="3" customWidth="1"/>
    <col min="4867" max="4867" width="83.5703125" style="3" bestFit="1" customWidth="1"/>
    <col min="4868" max="4868" width="51.7109375" style="3" customWidth="1"/>
    <col min="4869" max="5120" width="9.140625" style="3"/>
    <col min="5121" max="5121" width="1.42578125" style="3" customWidth="1"/>
    <col min="5122" max="5122" width="31.28515625" style="3" customWidth="1"/>
    <col min="5123" max="5123" width="83.5703125" style="3" bestFit="1" customWidth="1"/>
    <col min="5124" max="5124" width="51.7109375" style="3" customWidth="1"/>
    <col min="5125" max="5376" width="9.140625" style="3"/>
    <col min="5377" max="5377" width="1.42578125" style="3" customWidth="1"/>
    <col min="5378" max="5378" width="31.28515625" style="3" customWidth="1"/>
    <col min="5379" max="5379" width="83.5703125" style="3" bestFit="1" customWidth="1"/>
    <col min="5380" max="5380" width="51.7109375" style="3" customWidth="1"/>
    <col min="5381" max="5632" width="9.140625" style="3"/>
    <col min="5633" max="5633" width="1.42578125" style="3" customWidth="1"/>
    <col min="5634" max="5634" width="31.28515625" style="3" customWidth="1"/>
    <col min="5635" max="5635" width="83.5703125" style="3" bestFit="1" customWidth="1"/>
    <col min="5636" max="5636" width="51.7109375" style="3" customWidth="1"/>
    <col min="5637" max="5888" width="9.140625" style="3"/>
    <col min="5889" max="5889" width="1.42578125" style="3" customWidth="1"/>
    <col min="5890" max="5890" width="31.28515625" style="3" customWidth="1"/>
    <col min="5891" max="5891" width="83.5703125" style="3" bestFit="1" customWidth="1"/>
    <col min="5892" max="5892" width="51.7109375" style="3" customWidth="1"/>
    <col min="5893" max="6144" width="9.140625" style="3"/>
    <col min="6145" max="6145" width="1.42578125" style="3" customWidth="1"/>
    <col min="6146" max="6146" width="31.28515625" style="3" customWidth="1"/>
    <col min="6147" max="6147" width="83.5703125" style="3" bestFit="1" customWidth="1"/>
    <col min="6148" max="6148" width="51.7109375" style="3" customWidth="1"/>
    <col min="6149" max="6400" width="9.140625" style="3"/>
    <col min="6401" max="6401" width="1.42578125" style="3" customWidth="1"/>
    <col min="6402" max="6402" width="31.28515625" style="3" customWidth="1"/>
    <col min="6403" max="6403" width="83.5703125" style="3" bestFit="1" customWidth="1"/>
    <col min="6404" max="6404" width="51.7109375" style="3" customWidth="1"/>
    <col min="6405" max="6656" width="9.140625" style="3"/>
    <col min="6657" max="6657" width="1.42578125" style="3" customWidth="1"/>
    <col min="6658" max="6658" width="31.28515625" style="3" customWidth="1"/>
    <col min="6659" max="6659" width="83.5703125" style="3" bestFit="1" customWidth="1"/>
    <col min="6660" max="6660" width="51.7109375" style="3" customWidth="1"/>
    <col min="6661" max="6912" width="9.140625" style="3"/>
    <col min="6913" max="6913" width="1.42578125" style="3" customWidth="1"/>
    <col min="6914" max="6914" width="31.28515625" style="3" customWidth="1"/>
    <col min="6915" max="6915" width="83.5703125" style="3" bestFit="1" customWidth="1"/>
    <col min="6916" max="6916" width="51.7109375" style="3" customWidth="1"/>
    <col min="6917" max="7168" width="9.140625" style="3"/>
    <col min="7169" max="7169" width="1.42578125" style="3" customWidth="1"/>
    <col min="7170" max="7170" width="31.28515625" style="3" customWidth="1"/>
    <col min="7171" max="7171" width="83.5703125" style="3" bestFit="1" customWidth="1"/>
    <col min="7172" max="7172" width="51.7109375" style="3" customWidth="1"/>
    <col min="7173" max="7424" width="9.140625" style="3"/>
    <col min="7425" max="7425" width="1.42578125" style="3" customWidth="1"/>
    <col min="7426" max="7426" width="31.28515625" style="3" customWidth="1"/>
    <col min="7427" max="7427" width="83.5703125" style="3" bestFit="1" customWidth="1"/>
    <col min="7428" max="7428" width="51.7109375" style="3" customWidth="1"/>
    <col min="7429" max="7680" width="9.140625" style="3"/>
    <col min="7681" max="7681" width="1.42578125" style="3" customWidth="1"/>
    <col min="7682" max="7682" width="31.28515625" style="3" customWidth="1"/>
    <col min="7683" max="7683" width="83.5703125" style="3" bestFit="1" customWidth="1"/>
    <col min="7684" max="7684" width="51.7109375" style="3" customWidth="1"/>
    <col min="7685" max="7936" width="9.140625" style="3"/>
    <col min="7937" max="7937" width="1.42578125" style="3" customWidth="1"/>
    <col min="7938" max="7938" width="31.28515625" style="3" customWidth="1"/>
    <col min="7939" max="7939" width="83.5703125" style="3" bestFit="1" customWidth="1"/>
    <col min="7940" max="7940" width="51.7109375" style="3" customWidth="1"/>
    <col min="7941" max="8192" width="9.140625" style="3"/>
    <col min="8193" max="8193" width="1.42578125" style="3" customWidth="1"/>
    <col min="8194" max="8194" width="31.28515625" style="3" customWidth="1"/>
    <col min="8195" max="8195" width="83.5703125" style="3" bestFit="1" customWidth="1"/>
    <col min="8196" max="8196" width="51.7109375" style="3" customWidth="1"/>
    <col min="8197" max="8448" width="9.140625" style="3"/>
    <col min="8449" max="8449" width="1.42578125" style="3" customWidth="1"/>
    <col min="8450" max="8450" width="31.28515625" style="3" customWidth="1"/>
    <col min="8451" max="8451" width="83.5703125" style="3" bestFit="1" customWidth="1"/>
    <col min="8452" max="8452" width="51.7109375" style="3" customWidth="1"/>
    <col min="8453" max="8704" width="9.140625" style="3"/>
    <col min="8705" max="8705" width="1.42578125" style="3" customWidth="1"/>
    <col min="8706" max="8706" width="31.28515625" style="3" customWidth="1"/>
    <col min="8707" max="8707" width="83.5703125" style="3" bestFit="1" customWidth="1"/>
    <col min="8708" max="8708" width="51.7109375" style="3" customWidth="1"/>
    <col min="8709" max="8960" width="9.140625" style="3"/>
    <col min="8961" max="8961" width="1.42578125" style="3" customWidth="1"/>
    <col min="8962" max="8962" width="31.28515625" style="3" customWidth="1"/>
    <col min="8963" max="8963" width="83.5703125" style="3" bestFit="1" customWidth="1"/>
    <col min="8964" max="8964" width="51.7109375" style="3" customWidth="1"/>
    <col min="8965" max="9216" width="9.140625" style="3"/>
    <col min="9217" max="9217" width="1.42578125" style="3" customWidth="1"/>
    <col min="9218" max="9218" width="31.28515625" style="3" customWidth="1"/>
    <col min="9219" max="9219" width="83.5703125" style="3" bestFit="1" customWidth="1"/>
    <col min="9220" max="9220" width="51.7109375" style="3" customWidth="1"/>
    <col min="9221" max="9472" width="9.140625" style="3"/>
    <col min="9473" max="9473" width="1.42578125" style="3" customWidth="1"/>
    <col min="9474" max="9474" width="31.28515625" style="3" customWidth="1"/>
    <col min="9475" max="9475" width="83.5703125" style="3" bestFit="1" customWidth="1"/>
    <col min="9476" max="9476" width="51.7109375" style="3" customWidth="1"/>
    <col min="9477" max="9728" width="9.140625" style="3"/>
    <col min="9729" max="9729" width="1.42578125" style="3" customWidth="1"/>
    <col min="9730" max="9730" width="31.28515625" style="3" customWidth="1"/>
    <col min="9731" max="9731" width="83.5703125" style="3" bestFit="1" customWidth="1"/>
    <col min="9732" max="9732" width="51.7109375" style="3" customWidth="1"/>
    <col min="9733" max="9984" width="9.140625" style="3"/>
    <col min="9985" max="9985" width="1.42578125" style="3" customWidth="1"/>
    <col min="9986" max="9986" width="31.28515625" style="3" customWidth="1"/>
    <col min="9987" max="9987" width="83.5703125" style="3" bestFit="1" customWidth="1"/>
    <col min="9988" max="9988" width="51.7109375" style="3" customWidth="1"/>
    <col min="9989" max="10240" width="9.140625" style="3"/>
    <col min="10241" max="10241" width="1.42578125" style="3" customWidth="1"/>
    <col min="10242" max="10242" width="31.28515625" style="3" customWidth="1"/>
    <col min="10243" max="10243" width="83.5703125" style="3" bestFit="1" customWidth="1"/>
    <col min="10244" max="10244" width="51.7109375" style="3" customWidth="1"/>
    <col min="10245" max="10496" width="9.140625" style="3"/>
    <col min="10497" max="10497" width="1.42578125" style="3" customWidth="1"/>
    <col min="10498" max="10498" width="31.28515625" style="3" customWidth="1"/>
    <col min="10499" max="10499" width="83.5703125" style="3" bestFit="1" customWidth="1"/>
    <col min="10500" max="10500" width="51.7109375" style="3" customWidth="1"/>
    <col min="10501" max="10752" width="9.140625" style="3"/>
    <col min="10753" max="10753" width="1.42578125" style="3" customWidth="1"/>
    <col min="10754" max="10754" width="31.28515625" style="3" customWidth="1"/>
    <col min="10755" max="10755" width="83.5703125" style="3" bestFit="1" customWidth="1"/>
    <col min="10756" max="10756" width="51.7109375" style="3" customWidth="1"/>
    <col min="10757" max="11008" width="9.140625" style="3"/>
    <col min="11009" max="11009" width="1.42578125" style="3" customWidth="1"/>
    <col min="11010" max="11010" width="31.28515625" style="3" customWidth="1"/>
    <col min="11011" max="11011" width="83.5703125" style="3" bestFit="1" customWidth="1"/>
    <col min="11012" max="11012" width="51.7109375" style="3" customWidth="1"/>
    <col min="11013" max="11264" width="9.140625" style="3"/>
    <col min="11265" max="11265" width="1.42578125" style="3" customWidth="1"/>
    <col min="11266" max="11266" width="31.28515625" style="3" customWidth="1"/>
    <col min="11267" max="11267" width="83.5703125" style="3" bestFit="1" customWidth="1"/>
    <col min="11268" max="11268" width="51.7109375" style="3" customWidth="1"/>
    <col min="11269" max="11520" width="9.140625" style="3"/>
    <col min="11521" max="11521" width="1.42578125" style="3" customWidth="1"/>
    <col min="11522" max="11522" width="31.28515625" style="3" customWidth="1"/>
    <col min="11523" max="11523" width="83.5703125" style="3" bestFit="1" customWidth="1"/>
    <col min="11524" max="11524" width="51.7109375" style="3" customWidth="1"/>
    <col min="11525" max="11776" width="9.140625" style="3"/>
    <col min="11777" max="11777" width="1.42578125" style="3" customWidth="1"/>
    <col min="11778" max="11778" width="31.28515625" style="3" customWidth="1"/>
    <col min="11779" max="11779" width="83.5703125" style="3" bestFit="1" customWidth="1"/>
    <col min="11780" max="11780" width="51.7109375" style="3" customWidth="1"/>
    <col min="11781" max="12032" width="9.140625" style="3"/>
    <col min="12033" max="12033" width="1.42578125" style="3" customWidth="1"/>
    <col min="12034" max="12034" width="31.28515625" style="3" customWidth="1"/>
    <col min="12035" max="12035" width="83.5703125" style="3" bestFit="1" customWidth="1"/>
    <col min="12036" max="12036" width="51.7109375" style="3" customWidth="1"/>
    <col min="12037" max="12288" width="9.140625" style="3"/>
    <col min="12289" max="12289" width="1.42578125" style="3" customWidth="1"/>
    <col min="12290" max="12290" width="31.28515625" style="3" customWidth="1"/>
    <col min="12291" max="12291" width="83.5703125" style="3" bestFit="1" customWidth="1"/>
    <col min="12292" max="12292" width="51.7109375" style="3" customWidth="1"/>
    <col min="12293" max="12544" width="9.140625" style="3"/>
    <col min="12545" max="12545" width="1.42578125" style="3" customWidth="1"/>
    <col min="12546" max="12546" width="31.28515625" style="3" customWidth="1"/>
    <col min="12547" max="12547" width="83.5703125" style="3" bestFit="1" customWidth="1"/>
    <col min="12548" max="12548" width="51.7109375" style="3" customWidth="1"/>
    <col min="12549" max="12800" width="9.140625" style="3"/>
    <col min="12801" max="12801" width="1.42578125" style="3" customWidth="1"/>
    <col min="12802" max="12802" width="31.28515625" style="3" customWidth="1"/>
    <col min="12803" max="12803" width="83.5703125" style="3" bestFit="1" customWidth="1"/>
    <col min="12804" max="12804" width="51.7109375" style="3" customWidth="1"/>
    <col min="12805" max="13056" width="9.140625" style="3"/>
    <col min="13057" max="13057" width="1.42578125" style="3" customWidth="1"/>
    <col min="13058" max="13058" width="31.28515625" style="3" customWidth="1"/>
    <col min="13059" max="13059" width="83.5703125" style="3" bestFit="1" customWidth="1"/>
    <col min="13060" max="13060" width="51.7109375" style="3" customWidth="1"/>
    <col min="13061" max="13312" width="9.140625" style="3"/>
    <col min="13313" max="13313" width="1.42578125" style="3" customWidth="1"/>
    <col min="13314" max="13314" width="31.28515625" style="3" customWidth="1"/>
    <col min="13315" max="13315" width="83.5703125" style="3" bestFit="1" customWidth="1"/>
    <col min="13316" max="13316" width="51.7109375" style="3" customWidth="1"/>
    <col min="13317" max="13568" width="9.140625" style="3"/>
    <col min="13569" max="13569" width="1.42578125" style="3" customWidth="1"/>
    <col min="13570" max="13570" width="31.28515625" style="3" customWidth="1"/>
    <col min="13571" max="13571" width="83.5703125" style="3" bestFit="1" customWidth="1"/>
    <col min="13572" max="13572" width="51.7109375" style="3" customWidth="1"/>
    <col min="13573" max="13824" width="9.140625" style="3"/>
    <col min="13825" max="13825" width="1.42578125" style="3" customWidth="1"/>
    <col min="13826" max="13826" width="31.28515625" style="3" customWidth="1"/>
    <col min="13827" max="13827" width="83.5703125" style="3" bestFit="1" customWidth="1"/>
    <col min="13828" max="13828" width="51.7109375" style="3" customWidth="1"/>
    <col min="13829" max="14080" width="9.140625" style="3"/>
    <col min="14081" max="14081" width="1.42578125" style="3" customWidth="1"/>
    <col min="14082" max="14082" width="31.28515625" style="3" customWidth="1"/>
    <col min="14083" max="14083" width="83.5703125" style="3" bestFit="1" customWidth="1"/>
    <col min="14084" max="14084" width="51.7109375" style="3" customWidth="1"/>
    <col min="14085" max="14336" width="9.140625" style="3"/>
    <col min="14337" max="14337" width="1.42578125" style="3" customWidth="1"/>
    <col min="14338" max="14338" width="31.28515625" style="3" customWidth="1"/>
    <col min="14339" max="14339" width="83.5703125" style="3" bestFit="1" customWidth="1"/>
    <col min="14340" max="14340" width="51.7109375" style="3" customWidth="1"/>
    <col min="14341" max="14592" width="9.140625" style="3"/>
    <col min="14593" max="14593" width="1.42578125" style="3" customWidth="1"/>
    <col min="14594" max="14594" width="31.28515625" style="3" customWidth="1"/>
    <col min="14595" max="14595" width="83.5703125" style="3" bestFit="1" customWidth="1"/>
    <col min="14596" max="14596" width="51.7109375" style="3" customWidth="1"/>
    <col min="14597" max="14848" width="9.140625" style="3"/>
    <col min="14849" max="14849" width="1.42578125" style="3" customWidth="1"/>
    <col min="14850" max="14850" width="31.28515625" style="3" customWidth="1"/>
    <col min="14851" max="14851" width="83.5703125" style="3" bestFit="1" customWidth="1"/>
    <col min="14852" max="14852" width="51.7109375" style="3" customWidth="1"/>
    <col min="14853" max="15104" width="9.140625" style="3"/>
    <col min="15105" max="15105" width="1.42578125" style="3" customWidth="1"/>
    <col min="15106" max="15106" width="31.28515625" style="3" customWidth="1"/>
    <col min="15107" max="15107" width="83.5703125" style="3" bestFit="1" customWidth="1"/>
    <col min="15108" max="15108" width="51.7109375" style="3" customWidth="1"/>
    <col min="15109" max="15360" width="9.140625" style="3"/>
    <col min="15361" max="15361" width="1.42578125" style="3" customWidth="1"/>
    <col min="15362" max="15362" width="31.28515625" style="3" customWidth="1"/>
    <col min="15363" max="15363" width="83.5703125" style="3" bestFit="1" customWidth="1"/>
    <col min="15364" max="15364" width="51.7109375" style="3" customWidth="1"/>
    <col min="15365" max="15616" width="9.140625" style="3"/>
    <col min="15617" max="15617" width="1.42578125" style="3" customWidth="1"/>
    <col min="15618" max="15618" width="31.28515625" style="3" customWidth="1"/>
    <col min="15619" max="15619" width="83.5703125" style="3" bestFit="1" customWidth="1"/>
    <col min="15620" max="15620" width="51.7109375" style="3" customWidth="1"/>
    <col min="15621" max="15872" width="9.140625" style="3"/>
    <col min="15873" max="15873" width="1.42578125" style="3" customWidth="1"/>
    <col min="15874" max="15874" width="31.28515625" style="3" customWidth="1"/>
    <col min="15875" max="15875" width="83.5703125" style="3" bestFit="1" customWidth="1"/>
    <col min="15876" max="15876" width="51.7109375" style="3" customWidth="1"/>
    <col min="15877" max="16128" width="9.140625" style="3"/>
    <col min="16129" max="16129" width="1.42578125" style="3" customWidth="1"/>
    <col min="16130" max="16130" width="31.28515625" style="3" customWidth="1"/>
    <col min="16131" max="16131" width="83.5703125" style="3" bestFit="1" customWidth="1"/>
    <col min="16132" max="16132" width="51.7109375" style="3" customWidth="1"/>
    <col min="16133" max="16384" width="9.140625" style="3"/>
  </cols>
  <sheetData>
    <row r="1" spans="1:4" ht="131.25" customHeight="1" x14ac:dyDescent="0.45">
      <c r="A1" s="2"/>
    </row>
    <row r="2" spans="1:4" ht="56.25" customHeight="1" x14ac:dyDescent="0.45">
      <c r="A2" s="2"/>
      <c r="B2" s="102" t="s">
        <v>44</v>
      </c>
      <c r="C2" s="103"/>
    </row>
    <row r="3" spans="1:4" ht="16.5" customHeight="1" x14ac:dyDescent="0.45">
      <c r="A3" s="2"/>
      <c r="B3" s="40" t="s">
        <v>0</v>
      </c>
      <c r="C3" s="41" t="s">
        <v>177</v>
      </c>
    </row>
    <row r="4" spans="1:4" ht="16.5" customHeight="1" x14ac:dyDescent="0.45">
      <c r="A4" s="2"/>
      <c r="B4" s="40" t="s">
        <v>1</v>
      </c>
      <c r="C4" s="42" t="s">
        <v>178</v>
      </c>
    </row>
    <row r="5" spans="1:4" ht="18.75" customHeight="1" x14ac:dyDescent="0.45">
      <c r="A5" s="2"/>
      <c r="B5" s="40" t="s">
        <v>2</v>
      </c>
      <c r="C5" s="42" t="s">
        <v>45</v>
      </c>
    </row>
    <row r="6" spans="1:4" ht="15" customHeight="1" x14ac:dyDescent="0.45">
      <c r="A6" s="2"/>
      <c r="B6" s="40" t="s">
        <v>3</v>
      </c>
      <c r="C6" s="43">
        <v>43928</v>
      </c>
    </row>
    <row r="7" spans="1:4" ht="16.5" customHeight="1" x14ac:dyDescent="0.45">
      <c r="A7" s="2"/>
      <c r="B7" s="40" t="s">
        <v>4</v>
      </c>
      <c r="C7" s="41" t="s">
        <v>82</v>
      </c>
    </row>
    <row r="8" spans="1:4" ht="16.5" customHeight="1" x14ac:dyDescent="0.45">
      <c r="A8" s="2"/>
      <c r="B8" s="40" t="s">
        <v>5</v>
      </c>
      <c r="C8" s="42" t="s">
        <v>81</v>
      </c>
    </row>
    <row r="9" spans="1:4" ht="120.75" customHeight="1" x14ac:dyDescent="0.45">
      <c r="A9" s="2"/>
      <c r="B9" s="101" t="s">
        <v>6</v>
      </c>
      <c r="C9" s="101"/>
      <c r="D9" s="4"/>
    </row>
    <row r="61" ht="15" x14ac:dyDescent="0.25"/>
  </sheetData>
  <mergeCells count="2">
    <mergeCell ref="B9:C9"/>
    <mergeCell ref="B2:C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4"/>
  <sheetViews>
    <sheetView zoomScaleNormal="100" workbookViewId="0">
      <selection activeCell="C1" sqref="C1:J1"/>
    </sheetView>
  </sheetViews>
  <sheetFormatPr defaultRowHeight="12.75" x14ac:dyDescent="0.25"/>
  <cols>
    <col min="1" max="1" width="12.140625" style="37" bestFit="1" customWidth="1"/>
    <col min="2" max="2" width="12.28515625" style="37" bestFit="1" customWidth="1"/>
    <col min="3" max="3" width="21.7109375" style="37" bestFit="1" customWidth="1"/>
    <col min="4" max="4" width="12.140625" style="37" customWidth="1"/>
    <col min="5" max="5" width="13.140625" style="37" customWidth="1"/>
    <col min="6" max="6" width="21.7109375" style="37" customWidth="1"/>
    <col min="7" max="7" width="32.7109375" style="37" customWidth="1"/>
    <col min="8" max="8" width="12" style="37" bestFit="1" customWidth="1"/>
    <col min="9" max="9" width="17.42578125" style="37" bestFit="1" customWidth="1"/>
    <col min="10" max="10" width="5.28515625" style="37" bestFit="1" customWidth="1"/>
    <col min="11" max="11" width="11.28515625" style="37" bestFit="1" customWidth="1"/>
    <col min="12" max="12" width="9.140625" style="37"/>
    <col min="13" max="13" width="30.42578125" style="37" customWidth="1"/>
    <col min="14" max="16384" width="9.140625" style="37"/>
  </cols>
  <sheetData>
    <row r="1" spans="1:14" s="88" customFormat="1" x14ac:dyDescent="0.25">
      <c r="A1" s="106" t="s">
        <v>4</v>
      </c>
      <c r="B1" s="107"/>
      <c r="C1" s="104" t="str">
        <f>Copertina!C7</f>
        <v>Scheda nr. 20 - Avvocatura SIES Sede</v>
      </c>
      <c r="D1" s="104"/>
      <c r="E1" s="104"/>
      <c r="F1" s="104"/>
      <c r="G1" s="104"/>
      <c r="H1" s="104"/>
      <c r="I1" s="104"/>
      <c r="J1" s="105"/>
    </row>
    <row r="2" spans="1:14" s="88" customFormat="1" x14ac:dyDescent="0.25">
      <c r="A2" s="106" t="s">
        <v>12</v>
      </c>
      <c r="B2" s="107"/>
      <c r="C2" s="104" t="str">
        <f>Copertina!C3</f>
        <v>SIUT-SIE-CT-1.0-20200407-Allegato-al-piano-test AVVOCATURA.xlsx</v>
      </c>
      <c r="D2" s="104"/>
      <c r="E2" s="104"/>
      <c r="F2" s="104"/>
      <c r="G2" s="104"/>
      <c r="H2" s="104"/>
      <c r="I2" s="104"/>
      <c r="J2" s="105"/>
    </row>
    <row r="3" spans="1:14" s="88" customFormat="1" ht="25.5" x14ac:dyDescent="0.25">
      <c r="A3" s="80" t="s">
        <v>7</v>
      </c>
      <c r="B3" s="80" t="s">
        <v>32</v>
      </c>
      <c r="C3" s="81" t="s">
        <v>33</v>
      </c>
      <c r="D3" s="81" t="s">
        <v>31</v>
      </c>
      <c r="E3" s="81" t="s">
        <v>30</v>
      </c>
      <c r="F3" s="82" t="s">
        <v>8</v>
      </c>
      <c r="G3" s="83" t="s">
        <v>29</v>
      </c>
      <c r="H3" s="84" t="s">
        <v>9</v>
      </c>
      <c r="I3" s="85" t="s">
        <v>10</v>
      </c>
      <c r="J3" s="94" t="s">
        <v>11</v>
      </c>
    </row>
    <row r="4" spans="1:14" s="88" customFormat="1" ht="89.25" x14ac:dyDescent="0.25">
      <c r="A4" s="86" t="s">
        <v>83</v>
      </c>
      <c r="B4" s="86"/>
      <c r="C4" s="86" t="s">
        <v>84</v>
      </c>
      <c r="D4" s="86" t="s">
        <v>104</v>
      </c>
      <c r="E4" s="50" t="s">
        <v>109</v>
      </c>
      <c r="F4" s="86" t="s">
        <v>149</v>
      </c>
      <c r="G4" s="51" t="s">
        <v>123</v>
      </c>
      <c r="H4" s="87">
        <v>3</v>
      </c>
      <c r="I4" s="87" t="s">
        <v>26</v>
      </c>
      <c r="J4" s="92"/>
    </row>
    <row r="5" spans="1:14" s="88" customFormat="1" ht="72" customHeight="1" x14ac:dyDescent="0.25">
      <c r="A5" s="86" t="s">
        <v>83</v>
      </c>
      <c r="B5" s="86"/>
      <c r="C5" s="86" t="s">
        <v>103</v>
      </c>
      <c r="D5" s="86" t="s">
        <v>105</v>
      </c>
      <c r="E5" s="50" t="s">
        <v>110</v>
      </c>
      <c r="F5" s="86" t="s">
        <v>150</v>
      </c>
      <c r="G5" s="51" t="s">
        <v>142</v>
      </c>
      <c r="H5" s="87">
        <v>2</v>
      </c>
      <c r="I5" s="87" t="s">
        <v>26</v>
      </c>
      <c r="J5" s="92"/>
    </row>
    <row r="6" spans="1:14" s="88" customFormat="1" ht="89.25" x14ac:dyDescent="0.25">
      <c r="A6" s="86" t="s">
        <v>83</v>
      </c>
      <c r="B6" s="86"/>
      <c r="C6" s="86" t="s">
        <v>106</v>
      </c>
      <c r="D6" s="86" t="s">
        <v>105</v>
      </c>
      <c r="E6" s="50" t="s">
        <v>110</v>
      </c>
      <c r="F6" s="86" t="s">
        <v>108</v>
      </c>
      <c r="G6" s="51" t="s">
        <v>140</v>
      </c>
      <c r="H6" s="87">
        <v>3</v>
      </c>
      <c r="I6" s="87" t="s">
        <v>26</v>
      </c>
      <c r="J6" s="92"/>
      <c r="K6" s="89"/>
    </row>
    <row r="7" spans="1:14" s="88" customFormat="1" ht="86.25" customHeight="1" x14ac:dyDescent="0.25">
      <c r="A7" s="86" t="s">
        <v>83</v>
      </c>
      <c r="B7" s="86"/>
      <c r="C7" s="86" t="s">
        <v>103</v>
      </c>
      <c r="D7" s="86" t="s">
        <v>105</v>
      </c>
      <c r="E7" s="50" t="s">
        <v>110</v>
      </c>
      <c r="F7" s="86" t="s">
        <v>151</v>
      </c>
      <c r="G7" s="51" t="s">
        <v>148</v>
      </c>
      <c r="H7" s="87">
        <v>2</v>
      </c>
      <c r="I7" s="87" t="s">
        <v>26</v>
      </c>
      <c r="J7" s="92"/>
      <c r="K7" s="90"/>
    </row>
    <row r="8" spans="1:14" s="88" customFormat="1" ht="86.25" customHeight="1" x14ac:dyDescent="0.25">
      <c r="A8" s="86" t="s">
        <v>83</v>
      </c>
      <c r="B8" s="86"/>
      <c r="C8" s="86" t="s">
        <v>112</v>
      </c>
      <c r="D8" s="86" t="s">
        <v>107</v>
      </c>
      <c r="E8" s="50" t="s">
        <v>111</v>
      </c>
      <c r="F8" s="86" t="s">
        <v>152</v>
      </c>
      <c r="G8" s="51" t="s">
        <v>142</v>
      </c>
      <c r="H8" s="87">
        <v>3</v>
      </c>
      <c r="I8" s="87" t="s">
        <v>26</v>
      </c>
      <c r="J8" s="92"/>
      <c r="K8" s="90"/>
    </row>
    <row r="9" spans="1:14" s="88" customFormat="1" ht="86.25" customHeight="1" x14ac:dyDescent="0.25">
      <c r="A9" s="86" t="s">
        <v>83</v>
      </c>
      <c r="B9" s="86"/>
      <c r="C9" s="86" t="s">
        <v>112</v>
      </c>
      <c r="D9" s="86" t="s">
        <v>107</v>
      </c>
      <c r="E9" s="50" t="s">
        <v>111</v>
      </c>
      <c r="F9" s="86" t="s">
        <v>113</v>
      </c>
      <c r="G9" s="51" t="s">
        <v>126</v>
      </c>
      <c r="H9" s="87">
        <v>4</v>
      </c>
      <c r="I9" s="87" t="s">
        <v>26</v>
      </c>
      <c r="J9" s="92"/>
    </row>
    <row r="10" spans="1:14" s="91" customFormat="1" ht="51" x14ac:dyDescent="0.25">
      <c r="A10" s="51" t="s">
        <v>83</v>
      </c>
      <c r="B10" s="51"/>
      <c r="C10" s="51" t="s">
        <v>115</v>
      </c>
      <c r="D10" s="51" t="s">
        <v>114</v>
      </c>
      <c r="E10" s="51" t="s">
        <v>85</v>
      </c>
      <c r="F10" s="51" t="s">
        <v>162</v>
      </c>
      <c r="G10" s="51" t="s">
        <v>161</v>
      </c>
      <c r="H10" s="87">
        <v>3</v>
      </c>
      <c r="I10" s="87" t="s">
        <v>26</v>
      </c>
      <c r="J10" s="93"/>
      <c r="K10" s="88"/>
      <c r="L10" s="88"/>
      <c r="M10" s="88"/>
      <c r="N10" s="88"/>
    </row>
    <row r="11" spans="1:14" s="91" customFormat="1" ht="51" x14ac:dyDescent="0.25">
      <c r="A11" s="95" t="s">
        <v>83</v>
      </c>
      <c r="B11" s="95"/>
      <c r="C11" s="95" t="s">
        <v>115</v>
      </c>
      <c r="D11" s="95" t="s">
        <v>116</v>
      </c>
      <c r="E11" s="95" t="s">
        <v>117</v>
      </c>
      <c r="F11" s="95" t="s">
        <v>163</v>
      </c>
      <c r="G11" s="95" t="s">
        <v>127</v>
      </c>
      <c r="H11" s="96">
        <v>4</v>
      </c>
      <c r="I11" s="96" t="s">
        <v>26</v>
      </c>
      <c r="J11" s="97"/>
      <c r="K11" s="88"/>
      <c r="L11" s="88"/>
      <c r="M11" s="88"/>
      <c r="N11" s="88"/>
    </row>
    <row r="12" spans="1:14" s="88" customFormat="1" ht="54" customHeight="1" x14ac:dyDescent="0.25">
      <c r="A12" s="98" t="s">
        <v>83</v>
      </c>
      <c r="B12" s="98"/>
      <c r="C12" s="98" t="s">
        <v>120</v>
      </c>
      <c r="D12" s="98" t="s">
        <v>119</v>
      </c>
      <c r="E12" s="99" t="s">
        <v>118</v>
      </c>
      <c r="F12" s="95" t="s">
        <v>164</v>
      </c>
      <c r="G12" s="95" t="s">
        <v>128</v>
      </c>
      <c r="H12" s="96">
        <v>4</v>
      </c>
      <c r="I12" s="96" t="s">
        <v>26</v>
      </c>
      <c r="J12" s="100"/>
    </row>
    <row r="13" spans="1:14" s="88" customFormat="1" ht="78.75" customHeight="1" x14ac:dyDescent="0.25">
      <c r="A13" s="86" t="s">
        <v>83</v>
      </c>
      <c r="B13" s="86"/>
      <c r="C13" s="86" t="s">
        <v>122</v>
      </c>
      <c r="D13" s="86" t="s">
        <v>121</v>
      </c>
      <c r="E13" s="50" t="s">
        <v>86</v>
      </c>
      <c r="F13" s="51" t="s">
        <v>165</v>
      </c>
      <c r="G13" s="51" t="s">
        <v>170</v>
      </c>
      <c r="H13" s="87">
        <v>4</v>
      </c>
      <c r="I13" s="87" t="s">
        <v>26</v>
      </c>
      <c r="J13" s="92"/>
      <c r="K13" s="90"/>
    </row>
    <row r="14" spans="1:14" s="88" customFormat="1" ht="78.75" customHeight="1" x14ac:dyDescent="0.25">
      <c r="A14" s="86" t="s">
        <v>83</v>
      </c>
      <c r="B14" s="86"/>
      <c r="C14" s="86" t="s">
        <v>122</v>
      </c>
      <c r="D14" s="86" t="s">
        <v>121</v>
      </c>
      <c r="E14" s="50" t="s">
        <v>86</v>
      </c>
      <c r="F14" s="51" t="s">
        <v>166</v>
      </c>
      <c r="G14" s="51" t="s">
        <v>171</v>
      </c>
      <c r="H14" s="87">
        <v>4</v>
      </c>
      <c r="I14" s="87" t="s">
        <v>26</v>
      </c>
      <c r="J14" s="92"/>
      <c r="K14" s="90"/>
    </row>
  </sheetData>
  <mergeCells count="4">
    <mergeCell ref="C1:J1"/>
    <mergeCell ref="C2:J2"/>
    <mergeCell ref="A1:B1"/>
    <mergeCell ref="A2:B2"/>
  </mergeCells>
  <phoneticPr fontId="24" type="noConversion"/>
  <pageMargins left="0.7" right="0.7" top="0.75" bottom="0.75" header="0.3" footer="0.3"/>
  <pageSetup paperSize="9" scale="7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87"/>
  <sheetViews>
    <sheetView zoomScale="86" zoomScaleNormal="86" workbookViewId="0">
      <selection sqref="A1:C1"/>
    </sheetView>
  </sheetViews>
  <sheetFormatPr defaultRowHeight="15" x14ac:dyDescent="0.25"/>
  <cols>
    <col min="1" max="1" width="23.140625" style="1" bestFit="1" customWidth="1"/>
    <col min="2" max="2" width="5.28515625" style="1" bestFit="1" customWidth="1"/>
    <col min="3" max="3" width="20.85546875" style="1" customWidth="1"/>
    <col min="4" max="4" width="37.85546875" style="1" customWidth="1"/>
    <col min="5" max="5" width="26.85546875" style="1" customWidth="1"/>
    <col min="6" max="6" width="50.28515625" style="1" customWidth="1"/>
    <col min="7" max="7" width="13" style="1" customWidth="1"/>
    <col min="8" max="8" width="42.5703125" style="1" bestFit="1" customWidth="1"/>
    <col min="9" max="16384" width="9.140625" style="1"/>
  </cols>
  <sheetData>
    <row r="1" spans="1:7" x14ac:dyDescent="0.25">
      <c r="A1" s="112" t="s">
        <v>4</v>
      </c>
      <c r="B1" s="113"/>
      <c r="C1" s="114"/>
      <c r="D1" s="115" t="str">
        <f>Copertina!C7</f>
        <v>Scheda nr. 20 - Avvocatura SIES Sede</v>
      </c>
      <c r="E1" s="115"/>
      <c r="F1" s="115"/>
      <c r="G1" s="115"/>
    </row>
    <row r="2" spans="1:7" x14ac:dyDescent="0.25">
      <c r="A2" s="112" t="s">
        <v>12</v>
      </c>
      <c r="B2" s="116"/>
      <c r="C2" s="117"/>
      <c r="D2" s="115" t="str">
        <f>Copertina!C3</f>
        <v>SIUT-SIE-CT-1.0-20200407-Allegato-al-piano-test AVVOCATURA.xlsx</v>
      </c>
      <c r="E2" s="115"/>
      <c r="F2" s="115"/>
      <c r="G2" s="115"/>
    </row>
    <row r="3" spans="1:7" x14ac:dyDescent="0.25">
      <c r="A3" s="5" t="s">
        <v>13</v>
      </c>
      <c r="B3" s="118" t="s">
        <v>28</v>
      </c>
      <c r="C3" s="118"/>
      <c r="D3" s="118" t="s">
        <v>30</v>
      </c>
      <c r="E3" s="118"/>
      <c r="F3" s="118" t="s">
        <v>29</v>
      </c>
      <c r="G3" s="118"/>
    </row>
    <row r="4" spans="1:7" s="37" customFormat="1" ht="69" customHeight="1" x14ac:dyDescent="0.25">
      <c r="A4" s="52" t="str">
        <f>TabellaTest!F4</f>
        <v>TF001.UC-SIE-020-01.01</v>
      </c>
      <c r="B4" s="124" t="str">
        <f>TabellaTest!C4</f>
        <v>REQ-SIE-020-01_FN.01</v>
      </c>
      <c r="C4" s="125"/>
      <c r="D4" s="126" t="str">
        <f>TabellaTest!E4</f>
        <v>SIES - Ricerca procedimento per numero</v>
      </c>
      <c r="E4" s="127"/>
      <c r="F4" s="126" t="str">
        <f>TabellaTest!G4</f>
        <v>Verifica: Nella maschera di ricerca per numero di procedimento deve essere presente il nuovo menu a tendina "Sede". I valori presenti nel menù a tendina si popolano opportunamente in base al distretto e tipo Ufficio selezionato.</v>
      </c>
      <c r="G4" s="128"/>
    </row>
    <row r="5" spans="1:7" s="36" customFormat="1" ht="25.5" x14ac:dyDescent="0.25">
      <c r="A5" s="108"/>
      <c r="B5" s="54" t="s">
        <v>34</v>
      </c>
      <c r="C5" s="49" t="s">
        <v>35</v>
      </c>
      <c r="D5" s="49" t="s">
        <v>36</v>
      </c>
      <c r="E5" s="49" t="s">
        <v>37</v>
      </c>
      <c r="F5" s="49" t="s">
        <v>38</v>
      </c>
      <c r="G5" s="55" t="s">
        <v>11</v>
      </c>
    </row>
    <row r="6" spans="1:7" s="36" customFormat="1" ht="51" x14ac:dyDescent="0.25">
      <c r="A6" s="109"/>
      <c r="B6" s="56" t="s">
        <v>39</v>
      </c>
      <c r="C6" s="57" t="s">
        <v>40</v>
      </c>
      <c r="D6" s="58" t="s">
        <v>129</v>
      </c>
      <c r="E6" s="58"/>
      <c r="F6" s="59"/>
      <c r="G6" s="60"/>
    </row>
    <row r="7" spans="1:7" s="36" customFormat="1" ht="38.25" x14ac:dyDescent="0.25">
      <c r="A7" s="109"/>
      <c r="B7" s="56" t="s">
        <v>39</v>
      </c>
      <c r="C7" s="57" t="s">
        <v>41</v>
      </c>
      <c r="D7" s="58" t="s">
        <v>133</v>
      </c>
      <c r="E7" s="58"/>
      <c r="F7" s="78" t="s">
        <v>130</v>
      </c>
      <c r="G7" s="60"/>
    </row>
    <row r="8" spans="1:7" s="36" customFormat="1" ht="89.25" x14ac:dyDescent="0.25">
      <c r="A8" s="109"/>
      <c r="B8" s="61" t="s">
        <v>87</v>
      </c>
      <c r="C8" s="62" t="s">
        <v>43</v>
      </c>
      <c r="D8" s="58" t="s">
        <v>132</v>
      </c>
      <c r="E8" s="58" t="s">
        <v>131</v>
      </c>
      <c r="F8" s="58" t="s">
        <v>134</v>
      </c>
      <c r="G8" s="60"/>
    </row>
    <row r="9" spans="1:7" s="36" customFormat="1" ht="38.25" x14ac:dyDescent="0.25">
      <c r="A9" s="109"/>
      <c r="B9" s="64" t="s">
        <v>89</v>
      </c>
      <c r="C9" s="65" t="s">
        <v>90</v>
      </c>
      <c r="D9" s="58" t="s">
        <v>135</v>
      </c>
      <c r="E9" s="58"/>
      <c r="F9" s="58"/>
      <c r="G9" s="60" t="s">
        <v>51</v>
      </c>
    </row>
    <row r="10" spans="1:7" ht="89.25" x14ac:dyDescent="0.25">
      <c r="A10" s="109"/>
      <c r="B10" s="49" t="s">
        <v>80</v>
      </c>
      <c r="C10" s="79" t="s">
        <v>136</v>
      </c>
      <c r="D10" s="58" t="s">
        <v>138</v>
      </c>
      <c r="E10" s="58" t="s">
        <v>137</v>
      </c>
      <c r="F10" s="58" t="s">
        <v>134</v>
      </c>
      <c r="G10" s="60"/>
    </row>
    <row r="11" spans="1:7" s="36" customFormat="1" ht="51" x14ac:dyDescent="0.25">
      <c r="A11" s="110"/>
      <c r="B11" s="64" t="s">
        <v>89</v>
      </c>
      <c r="C11" s="65" t="s">
        <v>90</v>
      </c>
      <c r="D11" s="58" t="s">
        <v>153</v>
      </c>
      <c r="E11" s="58"/>
      <c r="F11" s="58"/>
      <c r="G11" s="60" t="s">
        <v>51</v>
      </c>
    </row>
    <row r="12" spans="1:7" s="37" customFormat="1" ht="54" customHeight="1" x14ac:dyDescent="0.25">
      <c r="A12" s="53" t="str">
        <f>TabellaTest!F5</f>
        <v>TF001.UC-SIE-020-01.02</v>
      </c>
      <c r="B12" s="119" t="str">
        <f>TabellaTest!C5</f>
        <v>REQ-SIE-020-01_FN.01
REQ-SIE-020-01_FN.02
REQ-SIE-020-01_FN.03
REQ-SIE-020-01_FN.06</v>
      </c>
      <c r="C12" s="120"/>
      <c r="D12" s="121" t="str">
        <f>TabellaTest!E5</f>
        <v>SIES - Ricerca procedimento per tipo ufficio "Ufficio di Sorveglianza" - Ricerca per numero</v>
      </c>
      <c r="E12" s="122"/>
      <c r="F12" s="121" t="str">
        <f>TabellaTest!G5</f>
        <v>Verifica: Esito positivo della ricerca  per  numero procedimento utilizzando il valore del campo sede .</v>
      </c>
      <c r="G12" s="123"/>
    </row>
    <row r="13" spans="1:7" s="36" customFormat="1" ht="25.5" x14ac:dyDescent="0.25">
      <c r="A13" s="39"/>
      <c r="B13" s="54" t="s">
        <v>34</v>
      </c>
      <c r="C13" s="49" t="s">
        <v>35</v>
      </c>
      <c r="D13" s="49" t="s">
        <v>36</v>
      </c>
      <c r="E13" s="49" t="s">
        <v>37</v>
      </c>
      <c r="F13" s="49" t="s">
        <v>38</v>
      </c>
      <c r="G13" s="55" t="s">
        <v>11</v>
      </c>
    </row>
    <row r="14" spans="1:7" s="36" customFormat="1" ht="51" x14ac:dyDescent="0.25">
      <c r="A14" s="39"/>
      <c r="B14" s="56" t="s">
        <v>39</v>
      </c>
      <c r="C14" s="57" t="s">
        <v>40</v>
      </c>
      <c r="D14" s="58" t="s">
        <v>129</v>
      </c>
      <c r="E14" s="58"/>
      <c r="F14" s="59"/>
      <c r="G14" s="60"/>
    </row>
    <row r="15" spans="1:7" s="36" customFormat="1" ht="38.25" x14ac:dyDescent="0.25">
      <c r="A15" s="39"/>
      <c r="B15" s="56" t="s">
        <v>39</v>
      </c>
      <c r="C15" s="57" t="s">
        <v>41</v>
      </c>
      <c r="D15" s="58" t="s">
        <v>133</v>
      </c>
      <c r="E15" s="58"/>
      <c r="F15" s="78" t="s">
        <v>130</v>
      </c>
      <c r="G15" s="60"/>
    </row>
    <row r="16" spans="1:7" s="36" customFormat="1" ht="89.25" x14ac:dyDescent="0.25">
      <c r="A16" s="39"/>
      <c r="B16" s="61" t="s">
        <v>87</v>
      </c>
      <c r="C16" s="62" t="s">
        <v>43</v>
      </c>
      <c r="D16" s="58" t="s">
        <v>132</v>
      </c>
      <c r="E16" s="58" t="s">
        <v>131</v>
      </c>
      <c r="F16" s="58" t="s">
        <v>92</v>
      </c>
      <c r="G16" s="60"/>
    </row>
    <row r="17" spans="1:8" s="36" customFormat="1" ht="63.75" x14ac:dyDescent="0.25">
      <c r="A17" s="39"/>
      <c r="B17" s="61" t="s">
        <v>88</v>
      </c>
      <c r="C17" s="62" t="s">
        <v>43</v>
      </c>
      <c r="D17" s="58" t="s">
        <v>124</v>
      </c>
      <c r="E17" s="63"/>
      <c r="F17" s="58" t="s">
        <v>139</v>
      </c>
      <c r="G17" s="60"/>
    </row>
    <row r="18" spans="1:8" s="36" customFormat="1" ht="51" x14ac:dyDescent="0.25">
      <c r="A18" s="66"/>
      <c r="B18" s="64" t="s">
        <v>89</v>
      </c>
      <c r="C18" s="65" t="s">
        <v>90</v>
      </c>
      <c r="D18" s="58" t="s">
        <v>125</v>
      </c>
      <c r="E18" s="58"/>
      <c r="F18" s="58"/>
      <c r="G18" s="60" t="s">
        <v>51</v>
      </c>
    </row>
    <row r="19" spans="1:8" s="37" customFormat="1" ht="54" customHeight="1" x14ac:dyDescent="0.25">
      <c r="A19" s="38" t="str">
        <f>TabellaTest!F6</f>
        <v>TF002.UC-SIE-020-01.02</v>
      </c>
      <c r="B19" s="119" t="str">
        <f>TabellaTest!C6</f>
        <v>REQ-SIE-020-01_FN.01
REQ-SIE-020-01_FN.02
REQ-SIE-020-01_FN.03</v>
      </c>
      <c r="C19" s="120"/>
      <c r="D19" s="121" t="str">
        <f>TabellaTest!E6</f>
        <v>SIES - Ricerca procedimento per tipo ufficio "Ufficio di Sorveglianza" - Ricerca per numero</v>
      </c>
      <c r="E19" s="122"/>
      <c r="F19" s="121" t="str">
        <f>TabellaTest!G6</f>
        <v>Verifica: Obbligatorietà del campo sede per tipo ufficio "Ufficio di Sorveglianza".</v>
      </c>
      <c r="G19" s="123"/>
    </row>
    <row r="20" spans="1:8" s="36" customFormat="1" ht="25.5" x14ac:dyDescent="0.25">
      <c r="A20" s="39"/>
      <c r="B20" s="54" t="s">
        <v>34</v>
      </c>
      <c r="C20" s="49" t="s">
        <v>35</v>
      </c>
      <c r="D20" s="49" t="s">
        <v>36</v>
      </c>
      <c r="E20" s="49" t="s">
        <v>37</v>
      </c>
      <c r="F20" s="49" t="s">
        <v>38</v>
      </c>
      <c r="G20" s="55" t="s">
        <v>11</v>
      </c>
    </row>
    <row r="21" spans="1:8" s="36" customFormat="1" ht="51" x14ac:dyDescent="0.25">
      <c r="A21" s="39"/>
      <c r="B21" s="56" t="s">
        <v>39</v>
      </c>
      <c r="C21" s="57" t="s">
        <v>40</v>
      </c>
      <c r="D21" s="58" t="s">
        <v>129</v>
      </c>
      <c r="E21" s="58"/>
      <c r="F21" s="59"/>
      <c r="G21" s="60"/>
    </row>
    <row r="22" spans="1:8" s="36" customFormat="1" ht="38.25" x14ac:dyDescent="0.25">
      <c r="A22" s="39"/>
      <c r="B22" s="56" t="s">
        <v>39</v>
      </c>
      <c r="C22" s="57" t="s">
        <v>41</v>
      </c>
      <c r="D22" s="58" t="s">
        <v>133</v>
      </c>
      <c r="E22" s="58"/>
      <c r="F22" s="78" t="s">
        <v>130</v>
      </c>
      <c r="G22" s="60"/>
    </row>
    <row r="23" spans="1:8" s="36" customFormat="1" ht="89.25" x14ac:dyDescent="0.25">
      <c r="A23" s="39"/>
      <c r="B23" s="61" t="s">
        <v>87</v>
      </c>
      <c r="C23" s="62" t="s">
        <v>43</v>
      </c>
      <c r="D23" s="58" t="s">
        <v>132</v>
      </c>
      <c r="E23" s="58" t="s">
        <v>131</v>
      </c>
      <c r="F23" s="58" t="s">
        <v>92</v>
      </c>
      <c r="G23" s="60"/>
    </row>
    <row r="24" spans="1:8" s="36" customFormat="1" ht="38.25" x14ac:dyDescent="0.25">
      <c r="A24" s="39"/>
      <c r="B24" s="61" t="s">
        <v>88</v>
      </c>
      <c r="C24" s="62" t="s">
        <v>43</v>
      </c>
      <c r="D24" s="58" t="s">
        <v>93</v>
      </c>
      <c r="E24" s="63"/>
      <c r="F24" s="58" t="s">
        <v>94</v>
      </c>
      <c r="G24" s="60"/>
    </row>
    <row r="25" spans="1:8" s="36" customFormat="1" ht="25.5" x14ac:dyDescent="0.25">
      <c r="A25" s="66"/>
      <c r="B25" s="64" t="s">
        <v>89</v>
      </c>
      <c r="C25" s="65" t="s">
        <v>90</v>
      </c>
      <c r="D25" s="58" t="s">
        <v>141</v>
      </c>
      <c r="E25" s="58"/>
      <c r="F25" s="58"/>
      <c r="G25" s="60" t="s">
        <v>51</v>
      </c>
    </row>
    <row r="26" spans="1:8" s="37" customFormat="1" ht="30.75" customHeight="1" x14ac:dyDescent="0.25">
      <c r="A26" s="70" t="str">
        <f>TabellaTest!F7</f>
        <v>TF003.UC-SIE-020-01.02</v>
      </c>
      <c r="B26" s="129" t="str">
        <f>TabellaTest!C7</f>
        <v>REQ-SIE-020-01_FN.01
REQ-SIE-020-01_FN.02
REQ-SIE-020-01_FN.03
REQ-SIE-020-01_FN.06</v>
      </c>
      <c r="C26" s="129"/>
      <c r="D26" s="130" t="str">
        <f>TabellaTest!E7</f>
        <v>SIES - Ricerca procedimento per tipo ufficio "Ufficio di Sorveglianza" - Ricerca per numero</v>
      </c>
      <c r="E26" s="131"/>
      <c r="F26" s="130" t="str">
        <f>TabellaTest!G7</f>
        <v>Verifica:  Il servizio di richiesta dei dati dei procedimenti esposto dal sistema SIES utilizza il campo "Sede" come valore discriminante nelle ricerche dei procedimenti SIUS.</v>
      </c>
      <c r="G26" s="131"/>
      <c r="H26" s="36"/>
    </row>
    <row r="27" spans="1:8" s="36" customFormat="1" ht="25.5" x14ac:dyDescent="0.25">
      <c r="A27" s="108"/>
      <c r="B27" s="54" t="s">
        <v>34</v>
      </c>
      <c r="C27" s="49" t="s">
        <v>35</v>
      </c>
      <c r="D27" s="49" t="s">
        <v>36</v>
      </c>
      <c r="E27" s="49" t="s">
        <v>37</v>
      </c>
      <c r="F27" s="49" t="s">
        <v>38</v>
      </c>
      <c r="G27" s="55" t="s">
        <v>11</v>
      </c>
    </row>
    <row r="28" spans="1:8" s="36" customFormat="1" ht="102" x14ac:dyDescent="0.25">
      <c r="A28" s="109"/>
      <c r="B28" s="56" t="s">
        <v>39</v>
      </c>
      <c r="C28" s="57" t="s">
        <v>40</v>
      </c>
      <c r="D28" s="58" t="s">
        <v>143</v>
      </c>
      <c r="E28" s="58"/>
      <c r="F28" s="59"/>
      <c r="G28" s="60"/>
    </row>
    <row r="29" spans="1:8" s="36" customFormat="1" ht="38.25" x14ac:dyDescent="0.25">
      <c r="A29" s="109"/>
      <c r="B29" s="56" t="s">
        <v>39</v>
      </c>
      <c r="C29" s="57" t="s">
        <v>41</v>
      </c>
      <c r="D29" s="58" t="s">
        <v>133</v>
      </c>
      <c r="E29" s="58"/>
      <c r="F29" s="78" t="s">
        <v>130</v>
      </c>
      <c r="G29" s="60"/>
    </row>
    <row r="30" spans="1:8" s="36" customFormat="1" ht="140.25" x14ac:dyDescent="0.25">
      <c r="A30" s="109"/>
      <c r="B30" s="62" t="s">
        <v>87</v>
      </c>
      <c r="C30" s="62" t="s">
        <v>43</v>
      </c>
      <c r="D30" s="58" t="s">
        <v>132</v>
      </c>
      <c r="E30" s="58" t="s">
        <v>147</v>
      </c>
      <c r="G30" s="60"/>
    </row>
    <row r="31" spans="1:8" s="36" customFormat="1" ht="63.75" x14ac:dyDescent="0.25">
      <c r="A31" s="109"/>
      <c r="B31" s="61" t="s">
        <v>88</v>
      </c>
      <c r="C31" s="62" t="s">
        <v>43</v>
      </c>
      <c r="D31" s="58" t="s">
        <v>102</v>
      </c>
      <c r="E31" s="63"/>
      <c r="F31" s="58" t="s">
        <v>139</v>
      </c>
      <c r="G31" s="60"/>
    </row>
    <row r="32" spans="1:8" ht="51" x14ac:dyDescent="0.25">
      <c r="A32" s="109"/>
      <c r="B32" s="64" t="s">
        <v>89</v>
      </c>
      <c r="C32" s="65" t="s">
        <v>90</v>
      </c>
      <c r="D32" s="58" t="s">
        <v>125</v>
      </c>
      <c r="E32" s="58"/>
      <c r="F32" s="58"/>
      <c r="G32" s="60" t="s">
        <v>51</v>
      </c>
    </row>
    <row r="33" spans="1:8" ht="140.25" x14ac:dyDescent="0.25">
      <c r="A33" s="109"/>
      <c r="B33" s="49" t="s">
        <v>80</v>
      </c>
      <c r="C33" s="79" t="s">
        <v>136</v>
      </c>
      <c r="D33" s="58" t="s">
        <v>145</v>
      </c>
      <c r="E33" s="58" t="s">
        <v>146</v>
      </c>
      <c r="F33" s="58"/>
      <c r="G33" s="60" t="s">
        <v>51</v>
      </c>
    </row>
    <row r="34" spans="1:8" s="37" customFormat="1" ht="12.75" x14ac:dyDescent="0.25">
      <c r="A34" s="38" t="str">
        <f>TabellaTest!F8</f>
        <v>TF001.UC-SIE-020-01.03</v>
      </c>
      <c r="B34" s="119" t="str">
        <f>TabellaTest!C8</f>
        <v>REQ-SIE-020-01_FN.01
REQ-SIE-020-01_FN.04
REQ-SIE-020-01_FN.05
REQ-SIE-020-01_FN.06</v>
      </c>
      <c r="C34" s="120"/>
      <c r="D34" s="121" t="str">
        <f>TabellaTest!E8</f>
        <v>SIES - Ricerca procedimento per tipo ufficio "Tribunale di Sorveglianza" - Ricerca per numero</v>
      </c>
      <c r="E34" s="122"/>
      <c r="F34" s="121" t="str">
        <f>TabellaTest!G8</f>
        <v>Verifica: Esito positivo della ricerca  per  numero procedimento utilizzando il valore del campo sede .</v>
      </c>
      <c r="G34" s="123"/>
    </row>
    <row r="35" spans="1:8" s="36" customFormat="1" ht="25.5" x14ac:dyDescent="0.25">
      <c r="A35" s="39"/>
      <c r="B35" s="54" t="s">
        <v>34</v>
      </c>
      <c r="C35" s="49" t="s">
        <v>35</v>
      </c>
      <c r="D35" s="49" t="s">
        <v>36</v>
      </c>
      <c r="E35" s="49" t="s">
        <v>37</v>
      </c>
      <c r="F35" s="49" t="s">
        <v>38</v>
      </c>
      <c r="G35" s="55" t="s">
        <v>11</v>
      </c>
    </row>
    <row r="36" spans="1:8" s="36" customFormat="1" ht="51" x14ac:dyDescent="0.25">
      <c r="A36" s="39"/>
      <c r="B36" s="56" t="s">
        <v>39</v>
      </c>
      <c r="C36" s="57" t="s">
        <v>40</v>
      </c>
      <c r="D36" s="58" t="s">
        <v>129</v>
      </c>
      <c r="E36" s="58"/>
      <c r="F36" s="59"/>
      <c r="G36" s="60"/>
    </row>
    <row r="37" spans="1:8" s="36" customFormat="1" ht="38.25" x14ac:dyDescent="0.25">
      <c r="A37" s="39"/>
      <c r="B37" s="56" t="s">
        <v>39</v>
      </c>
      <c r="C37" s="57" t="s">
        <v>41</v>
      </c>
      <c r="D37" s="58" t="s">
        <v>133</v>
      </c>
      <c r="E37" s="58"/>
      <c r="F37" s="78" t="s">
        <v>130</v>
      </c>
      <c r="G37" s="60"/>
    </row>
    <row r="38" spans="1:8" s="36" customFormat="1" ht="89.25" x14ac:dyDescent="0.25">
      <c r="A38" s="39"/>
      <c r="B38" s="61" t="s">
        <v>87</v>
      </c>
      <c r="C38" s="62" t="s">
        <v>43</v>
      </c>
      <c r="D38" s="58" t="s">
        <v>132</v>
      </c>
      <c r="E38" s="58" t="s">
        <v>137</v>
      </c>
      <c r="F38" s="58" t="s">
        <v>154</v>
      </c>
      <c r="G38" s="60"/>
    </row>
    <row r="39" spans="1:8" s="36" customFormat="1" ht="63.75" x14ac:dyDescent="0.25">
      <c r="A39" s="39"/>
      <c r="B39" s="61" t="s">
        <v>88</v>
      </c>
      <c r="C39" s="62" t="s">
        <v>43</v>
      </c>
      <c r="D39" s="58" t="s">
        <v>124</v>
      </c>
      <c r="E39" s="63"/>
      <c r="F39" s="58" t="s">
        <v>139</v>
      </c>
      <c r="G39" s="60"/>
    </row>
    <row r="40" spans="1:8" s="36" customFormat="1" ht="51" x14ac:dyDescent="0.25">
      <c r="A40" s="66"/>
      <c r="B40" s="64" t="s">
        <v>89</v>
      </c>
      <c r="C40" s="65" t="s">
        <v>90</v>
      </c>
      <c r="D40" s="58" t="s">
        <v>125</v>
      </c>
      <c r="E40" s="58"/>
      <c r="F40" s="58"/>
      <c r="G40" s="60" t="s">
        <v>51</v>
      </c>
    </row>
    <row r="41" spans="1:8" s="37" customFormat="1" ht="63" customHeight="1" x14ac:dyDescent="0.25">
      <c r="A41" s="38" t="str">
        <f>TabellaTest!F9</f>
        <v>TF002.UC-SIE-020-01.03</v>
      </c>
      <c r="B41" s="124" t="str">
        <f>TabellaTest!C9</f>
        <v>REQ-SIE-020-01_FN.01
REQ-SIE-020-01_FN.04
REQ-SIE-020-01_FN.05
REQ-SIE-020-01_FN.06</v>
      </c>
      <c r="C41" s="125"/>
      <c r="D41" s="126" t="str">
        <f>TabellaTest!E9</f>
        <v>SIES - Ricerca procedimento per tipo ufficio "Tribunale di Sorveglianza" - Ricerca per numero</v>
      </c>
      <c r="E41" s="127"/>
      <c r="F41" s="126" t="str">
        <f>TabellaTest!G9</f>
        <v>Verifica: Non Obbligatorietà del campo sede per la ricerca di un procedimento per tipo ufficio "Tribunale di Sorveglianza".</v>
      </c>
      <c r="G41" s="128"/>
      <c r="H41" s="36"/>
    </row>
    <row r="42" spans="1:8" s="36" customFormat="1" ht="25.5" x14ac:dyDescent="0.25">
      <c r="A42" s="39"/>
      <c r="B42" s="54" t="s">
        <v>34</v>
      </c>
      <c r="C42" s="49" t="s">
        <v>35</v>
      </c>
      <c r="D42" s="49" t="s">
        <v>36</v>
      </c>
      <c r="E42" s="49" t="s">
        <v>37</v>
      </c>
      <c r="F42" s="49" t="s">
        <v>38</v>
      </c>
      <c r="G42" s="55" t="s">
        <v>11</v>
      </c>
    </row>
    <row r="43" spans="1:8" s="36" customFormat="1" ht="51" x14ac:dyDescent="0.25">
      <c r="A43" s="39"/>
      <c r="B43" s="56" t="s">
        <v>39</v>
      </c>
      <c r="C43" s="57" t="s">
        <v>40</v>
      </c>
      <c r="D43" s="58" t="s">
        <v>129</v>
      </c>
      <c r="E43" s="58"/>
      <c r="F43" s="59"/>
      <c r="G43" s="60"/>
    </row>
    <row r="44" spans="1:8" s="36" customFormat="1" ht="38.25" x14ac:dyDescent="0.25">
      <c r="A44" s="39"/>
      <c r="B44" s="56" t="s">
        <v>39</v>
      </c>
      <c r="C44" s="57" t="s">
        <v>41</v>
      </c>
      <c r="D44" s="58" t="s">
        <v>133</v>
      </c>
      <c r="E44" s="58"/>
      <c r="F44" s="78" t="s">
        <v>130</v>
      </c>
      <c r="G44" s="60"/>
    </row>
    <row r="45" spans="1:8" s="36" customFormat="1" ht="89.25" x14ac:dyDescent="0.25">
      <c r="A45" s="39"/>
      <c r="B45" s="61" t="s">
        <v>87</v>
      </c>
      <c r="C45" s="62" t="s">
        <v>43</v>
      </c>
      <c r="D45" s="58" t="s">
        <v>132</v>
      </c>
      <c r="E45" s="58" t="s">
        <v>137</v>
      </c>
      <c r="F45" s="58" t="s">
        <v>154</v>
      </c>
      <c r="G45" s="60"/>
    </row>
    <row r="46" spans="1:8" s="36" customFormat="1" ht="63.75" x14ac:dyDescent="0.25">
      <c r="A46" s="39"/>
      <c r="B46" s="61" t="s">
        <v>88</v>
      </c>
      <c r="C46" s="62" t="s">
        <v>43</v>
      </c>
      <c r="D46" s="58" t="s">
        <v>95</v>
      </c>
      <c r="E46" s="63"/>
      <c r="F46" s="58" t="s">
        <v>139</v>
      </c>
      <c r="G46" s="60"/>
    </row>
    <row r="47" spans="1:8" s="36" customFormat="1" ht="25.5" x14ac:dyDescent="0.25">
      <c r="A47" s="39"/>
      <c r="B47" s="64" t="s">
        <v>89</v>
      </c>
      <c r="C47" s="65" t="s">
        <v>90</v>
      </c>
      <c r="D47" s="58" t="s">
        <v>155</v>
      </c>
      <c r="E47" s="58"/>
      <c r="F47" s="58"/>
      <c r="G47" s="60" t="s">
        <v>51</v>
      </c>
    </row>
    <row r="48" spans="1:8" s="37" customFormat="1" x14ac:dyDescent="0.25">
      <c r="A48" s="38" t="str">
        <f>TabellaTest!F10</f>
        <v>TF001.UC-SIE-020-02.01</v>
      </c>
      <c r="B48" s="119" t="str">
        <f>TabellaTest!C10</f>
        <v>REQ-SIE-020-02_FN.01
REQ-SIE-020-01_FN.06</v>
      </c>
      <c r="C48" s="120"/>
      <c r="D48" s="121" t="str">
        <f>TabellaTest!E10</f>
        <v>SIES - Elenco procedimenti per soggetto</v>
      </c>
      <c r="E48" s="122"/>
      <c r="F48" s="121" t="str">
        <f>TabellaTest!G10</f>
        <v>Verifica: L'elenco risultante dalla ricerca procedimenti per soggetto deve presentare la nuova colonna Tipo Ufficio/Sede.</v>
      </c>
      <c r="G48" s="123"/>
      <c r="H48" s="36"/>
    </row>
    <row r="49" spans="1:8" s="36" customFormat="1" ht="25.5" x14ac:dyDescent="0.25">
      <c r="A49" s="39"/>
      <c r="B49" s="54" t="s">
        <v>34</v>
      </c>
      <c r="C49" s="49" t="s">
        <v>35</v>
      </c>
      <c r="D49" s="49" t="s">
        <v>36</v>
      </c>
      <c r="E49" s="49" t="s">
        <v>37</v>
      </c>
      <c r="F49" s="49" t="s">
        <v>38</v>
      </c>
      <c r="G49" s="55" t="s">
        <v>11</v>
      </c>
    </row>
    <row r="50" spans="1:8" s="36" customFormat="1" ht="89.25" x14ac:dyDescent="0.25">
      <c r="A50" s="39"/>
      <c r="B50" s="56" t="s">
        <v>39</v>
      </c>
      <c r="C50" s="57" t="s">
        <v>40</v>
      </c>
      <c r="D50" s="58" t="s">
        <v>157</v>
      </c>
      <c r="E50" s="58"/>
      <c r="F50" s="59"/>
      <c r="G50" s="60"/>
    </row>
    <row r="51" spans="1:8" s="36" customFormat="1" ht="38.25" x14ac:dyDescent="0.25">
      <c r="A51" s="39"/>
      <c r="B51" s="56" t="s">
        <v>39</v>
      </c>
      <c r="C51" s="57" t="s">
        <v>41</v>
      </c>
      <c r="D51" s="58" t="s">
        <v>133</v>
      </c>
      <c r="E51" s="58"/>
      <c r="F51" s="78" t="s">
        <v>130</v>
      </c>
      <c r="G51" s="60"/>
    </row>
    <row r="52" spans="1:8" s="36" customFormat="1" x14ac:dyDescent="0.25">
      <c r="A52" s="39"/>
      <c r="B52" s="67" t="s">
        <v>87</v>
      </c>
      <c r="C52" s="68" t="s">
        <v>42</v>
      </c>
      <c r="D52" s="74" t="s">
        <v>96</v>
      </c>
      <c r="E52" s="58"/>
      <c r="F52" s="59"/>
      <c r="G52" s="60"/>
    </row>
    <row r="53" spans="1:8" s="36" customFormat="1" ht="80.25" customHeight="1" x14ac:dyDescent="0.25">
      <c r="A53" s="39"/>
      <c r="B53" s="61" t="s">
        <v>88</v>
      </c>
      <c r="C53" s="62" t="s">
        <v>43</v>
      </c>
      <c r="D53" s="58" t="s">
        <v>156</v>
      </c>
      <c r="E53" s="63"/>
      <c r="F53" s="78" t="s">
        <v>158</v>
      </c>
      <c r="G53" s="60"/>
    </row>
    <row r="54" spans="1:8" s="36" customFormat="1" ht="44.25" customHeight="1" x14ac:dyDescent="0.25">
      <c r="A54" s="39"/>
      <c r="B54" s="61" t="s">
        <v>91</v>
      </c>
      <c r="C54" s="62" t="s">
        <v>43</v>
      </c>
      <c r="D54" s="58" t="s">
        <v>97</v>
      </c>
      <c r="E54" s="63"/>
      <c r="F54" s="78" t="s">
        <v>159</v>
      </c>
      <c r="G54" s="60"/>
    </row>
    <row r="55" spans="1:8" s="36" customFormat="1" ht="61.5" customHeight="1" x14ac:dyDescent="0.25">
      <c r="A55" s="66"/>
      <c r="B55" s="64" t="s">
        <v>89</v>
      </c>
      <c r="C55" s="65" t="s">
        <v>90</v>
      </c>
      <c r="D55" s="58" t="s">
        <v>160</v>
      </c>
      <c r="E55" s="58"/>
      <c r="F55" s="58"/>
      <c r="G55" s="60" t="s">
        <v>51</v>
      </c>
    </row>
    <row r="56" spans="1:8" s="37" customFormat="1" ht="54" customHeight="1" x14ac:dyDescent="0.25">
      <c r="A56" s="69" t="str">
        <f>TabellaTest!F11</f>
        <v>TF001.UC-SIE-020-03.01</v>
      </c>
      <c r="B56" s="129" t="str">
        <f>TabellaTest!C11</f>
        <v>REQ-SIE-020-02_FN.01
REQ-SIE-020-01_FN.06</v>
      </c>
      <c r="C56" s="129"/>
      <c r="D56" s="130" t="str">
        <f>TabellaTest!E11</f>
        <v>SIES - Dettaglio Procedimento [Ricerca Per Numero]</v>
      </c>
      <c r="E56" s="131"/>
      <c r="F56" s="130" t="str">
        <f>TabellaTest!G11</f>
        <v>Verifica: Presenza del nuovo campo"Sede" nella maschera di dettaglio del procedimento a seguito ricerca procedimento per numero.</v>
      </c>
      <c r="G56" s="131"/>
      <c r="H56" s="36"/>
    </row>
    <row r="57" spans="1:8" s="36" customFormat="1" ht="25.5" x14ac:dyDescent="0.25">
      <c r="A57" s="39"/>
      <c r="B57" s="54" t="s">
        <v>34</v>
      </c>
      <c r="C57" s="49" t="s">
        <v>35</v>
      </c>
      <c r="D57" s="49" t="s">
        <v>36</v>
      </c>
      <c r="E57" s="49" t="s">
        <v>37</v>
      </c>
      <c r="F57" s="49" t="s">
        <v>38</v>
      </c>
      <c r="G57" s="55" t="s">
        <v>11</v>
      </c>
    </row>
    <row r="58" spans="1:8" s="36" customFormat="1" ht="51" x14ac:dyDescent="0.25">
      <c r="A58" s="39"/>
      <c r="B58" s="56" t="s">
        <v>39</v>
      </c>
      <c r="C58" s="57" t="s">
        <v>40</v>
      </c>
      <c r="D58" s="58" t="s">
        <v>129</v>
      </c>
      <c r="E58" s="58"/>
      <c r="F58" s="59"/>
      <c r="G58" s="60"/>
    </row>
    <row r="59" spans="1:8" s="36" customFormat="1" ht="38.25" x14ac:dyDescent="0.25">
      <c r="A59" s="39"/>
      <c r="B59" s="56" t="s">
        <v>39</v>
      </c>
      <c r="C59" s="57" t="s">
        <v>41</v>
      </c>
      <c r="D59" s="58" t="s">
        <v>133</v>
      </c>
      <c r="E59" s="58"/>
      <c r="F59" s="78" t="s">
        <v>130</v>
      </c>
      <c r="G59" s="60"/>
    </row>
    <row r="60" spans="1:8" s="36" customFormat="1" ht="89.25" x14ac:dyDescent="0.25">
      <c r="A60" s="39"/>
      <c r="B60" s="61" t="s">
        <v>87</v>
      </c>
      <c r="C60" s="62" t="s">
        <v>43</v>
      </c>
      <c r="D60" s="58" t="s">
        <v>144</v>
      </c>
      <c r="E60" s="58" t="s">
        <v>167</v>
      </c>
      <c r="F60" s="58" t="s">
        <v>139</v>
      </c>
      <c r="G60" s="60"/>
    </row>
    <row r="61" spans="1:8" s="36" customFormat="1" ht="55.5" customHeight="1" x14ac:dyDescent="0.25">
      <c r="A61" s="39"/>
      <c r="B61" s="64" t="s">
        <v>89</v>
      </c>
      <c r="C61" s="65" t="s">
        <v>90</v>
      </c>
      <c r="D61" s="58" t="s">
        <v>168</v>
      </c>
      <c r="E61" s="58"/>
      <c r="F61" s="58"/>
      <c r="G61" s="60" t="s">
        <v>51</v>
      </c>
    </row>
    <row r="62" spans="1:8" s="37" customFormat="1" ht="54" customHeight="1" x14ac:dyDescent="0.25">
      <c r="A62" s="69" t="str">
        <f>TabellaTest!F12</f>
        <v>TF001.UC-SIE-020-03.02</v>
      </c>
      <c r="B62" s="129" t="str">
        <f>TabellaTest!C12</f>
        <v>REQ-SIE-020-03_FN.01
REQ-SIE-020-01_FN.06</v>
      </c>
      <c r="C62" s="129"/>
      <c r="D62" s="130" t="str">
        <f>TabellaTest!E12</f>
        <v>SIES - Dettaglio Procedimento [Ricerca Per Soggetto]</v>
      </c>
      <c r="E62" s="131"/>
      <c r="F62" s="130" t="str">
        <f>TabellaTest!G12</f>
        <v>Verifica: Presenza del nuovo campo "Sede" nella maschera di dettaglio del procedimento a seguito ricerca procedimento per soggetto.</v>
      </c>
      <c r="G62" s="131"/>
      <c r="H62" s="36"/>
    </row>
    <row r="63" spans="1:8" s="36" customFormat="1" ht="25.5" x14ac:dyDescent="0.25">
      <c r="A63" s="111"/>
      <c r="B63" s="54" t="s">
        <v>34</v>
      </c>
      <c r="C63" s="49" t="s">
        <v>35</v>
      </c>
      <c r="D63" s="49" t="s">
        <v>36</v>
      </c>
      <c r="E63" s="49" t="s">
        <v>37</v>
      </c>
      <c r="F63" s="49" t="s">
        <v>38</v>
      </c>
      <c r="G63" s="55" t="s">
        <v>11</v>
      </c>
    </row>
    <row r="64" spans="1:8" s="36" customFormat="1" ht="51" x14ac:dyDescent="0.25">
      <c r="A64" s="109"/>
      <c r="B64" s="56" t="s">
        <v>39</v>
      </c>
      <c r="C64" s="57" t="s">
        <v>40</v>
      </c>
      <c r="D64" s="58" t="s">
        <v>129</v>
      </c>
      <c r="E64" s="58"/>
      <c r="F64" s="59"/>
      <c r="G64" s="60"/>
    </row>
    <row r="65" spans="1:8" s="36" customFormat="1" ht="38.25" x14ac:dyDescent="0.25">
      <c r="A65" s="109"/>
      <c r="B65" s="56" t="s">
        <v>39</v>
      </c>
      <c r="C65" s="57" t="s">
        <v>41</v>
      </c>
      <c r="D65" s="58" t="s">
        <v>133</v>
      </c>
      <c r="E65" s="58"/>
      <c r="F65" s="78" t="s">
        <v>130</v>
      </c>
      <c r="G65" s="60"/>
    </row>
    <row r="66" spans="1:8" s="36" customFormat="1" ht="29.25" customHeight="1" x14ac:dyDescent="0.25">
      <c r="A66" s="109"/>
      <c r="B66" s="67" t="s">
        <v>87</v>
      </c>
      <c r="C66" s="68" t="s">
        <v>42</v>
      </c>
      <c r="D66" s="74" t="s">
        <v>96</v>
      </c>
      <c r="E66" s="58"/>
      <c r="F66" s="59"/>
      <c r="G66" s="60"/>
    </row>
    <row r="67" spans="1:8" s="36" customFormat="1" ht="80.25" customHeight="1" x14ac:dyDescent="0.25">
      <c r="A67" s="109"/>
      <c r="B67" s="61" t="s">
        <v>88</v>
      </c>
      <c r="C67" s="62" t="s">
        <v>43</v>
      </c>
      <c r="D67" s="58" t="s">
        <v>156</v>
      </c>
      <c r="E67" s="63"/>
      <c r="F67" s="78" t="s">
        <v>169</v>
      </c>
      <c r="G67" s="60"/>
    </row>
    <row r="68" spans="1:8" s="36" customFormat="1" ht="38.25" x14ac:dyDescent="0.25">
      <c r="A68" s="109"/>
      <c r="B68" s="61" t="s">
        <v>91</v>
      </c>
      <c r="C68" s="62" t="s">
        <v>43</v>
      </c>
      <c r="D68" s="58" t="s">
        <v>98</v>
      </c>
      <c r="E68" s="63"/>
      <c r="F68" s="58" t="s">
        <v>99</v>
      </c>
      <c r="G68" s="60"/>
    </row>
    <row r="69" spans="1:8" s="36" customFormat="1" ht="42" customHeight="1" x14ac:dyDescent="0.25">
      <c r="A69" s="109"/>
      <c r="B69" s="61" t="s">
        <v>100</v>
      </c>
      <c r="C69" s="62" t="s">
        <v>43</v>
      </c>
      <c r="D69" s="58" t="s">
        <v>101</v>
      </c>
      <c r="E69" s="63"/>
      <c r="F69" s="58" t="s">
        <v>175</v>
      </c>
      <c r="G69" s="60"/>
    </row>
    <row r="70" spans="1:8" s="36" customFormat="1" ht="38.25" x14ac:dyDescent="0.25">
      <c r="A70" s="110"/>
      <c r="B70" s="64" t="s">
        <v>89</v>
      </c>
      <c r="C70" s="65" t="s">
        <v>90</v>
      </c>
      <c r="D70" s="58" t="s">
        <v>168</v>
      </c>
      <c r="E70" s="58"/>
      <c r="F70" s="58"/>
      <c r="G70" s="60" t="s">
        <v>51</v>
      </c>
    </row>
    <row r="71" spans="1:8" s="37" customFormat="1" ht="54" customHeight="1" x14ac:dyDescent="0.25">
      <c r="A71" s="70" t="str">
        <f>TabellaTest!F13</f>
        <v>TF001.UC-SIE-020-03.03</v>
      </c>
      <c r="B71" s="129" t="str">
        <f>TabellaTest!C13</f>
        <v>REQ-SIE-020-03_FN.02
REQ-SIE-020-03_FN.03</v>
      </c>
      <c r="C71" s="129"/>
      <c r="D71" s="130" t="str">
        <f>TabellaTest!E13</f>
        <v>SIES - Stampa dettaglio procedimento</v>
      </c>
      <c r="E71" s="131"/>
      <c r="F71" s="130" t="str">
        <f>TabellaTest!G13</f>
        <v>Verifica: Indicazione della "Sede" dell'Ufficio che ha emesso il procedimento nella stampa di dettaglio - [Ricerca Per Numero]</v>
      </c>
      <c r="G71" s="131"/>
      <c r="H71" s="36"/>
    </row>
    <row r="72" spans="1:8" s="36" customFormat="1" ht="25.5" x14ac:dyDescent="0.25">
      <c r="A72" s="71"/>
      <c r="B72" s="54" t="s">
        <v>34</v>
      </c>
      <c r="C72" s="49" t="s">
        <v>35</v>
      </c>
      <c r="D72" s="49" t="s">
        <v>36</v>
      </c>
      <c r="E72" s="49" t="s">
        <v>37</v>
      </c>
      <c r="F72" s="49" t="s">
        <v>38</v>
      </c>
      <c r="G72" s="55" t="s">
        <v>11</v>
      </c>
    </row>
    <row r="73" spans="1:8" s="36" customFormat="1" ht="51" customHeight="1" x14ac:dyDescent="0.25">
      <c r="A73" s="72"/>
      <c r="B73" s="56" t="s">
        <v>39</v>
      </c>
      <c r="C73" s="57" t="s">
        <v>40</v>
      </c>
      <c r="D73" s="58" t="s">
        <v>129</v>
      </c>
      <c r="E73" s="58"/>
      <c r="F73" s="59"/>
      <c r="G73" s="60"/>
    </row>
    <row r="74" spans="1:8" s="36" customFormat="1" ht="51.75" customHeight="1" x14ac:dyDescent="0.25">
      <c r="A74" s="72"/>
      <c r="B74" s="56" t="s">
        <v>39</v>
      </c>
      <c r="C74" s="57" t="s">
        <v>41</v>
      </c>
      <c r="D74" s="58" t="s">
        <v>133</v>
      </c>
      <c r="E74" s="58"/>
      <c r="F74" s="78" t="s">
        <v>130</v>
      </c>
      <c r="G74" s="60"/>
    </row>
    <row r="75" spans="1:8" s="36" customFormat="1" ht="106.5" customHeight="1" x14ac:dyDescent="0.25">
      <c r="A75" s="72"/>
      <c r="B75" s="61" t="s">
        <v>87</v>
      </c>
      <c r="C75" s="62" t="s">
        <v>43</v>
      </c>
      <c r="D75" s="58" t="s">
        <v>144</v>
      </c>
      <c r="E75" s="58" t="s">
        <v>167</v>
      </c>
      <c r="F75" s="58" t="s">
        <v>139</v>
      </c>
      <c r="G75" s="60"/>
    </row>
    <row r="76" spans="1:8" s="36" customFormat="1" ht="69" customHeight="1" x14ac:dyDescent="0.25">
      <c r="A76" s="72"/>
      <c r="B76" s="61" t="s">
        <v>88</v>
      </c>
      <c r="C76" s="62" t="s">
        <v>43</v>
      </c>
      <c r="D76" s="58" t="s">
        <v>176</v>
      </c>
      <c r="E76" s="63"/>
      <c r="F76" s="78" t="s">
        <v>172</v>
      </c>
      <c r="G76" s="60"/>
    </row>
    <row r="77" spans="1:8" s="36" customFormat="1" ht="60" customHeight="1" x14ac:dyDescent="0.25">
      <c r="A77" s="73"/>
      <c r="B77" s="64" t="s">
        <v>89</v>
      </c>
      <c r="C77" s="65" t="s">
        <v>90</v>
      </c>
      <c r="D77" s="58" t="s">
        <v>173</v>
      </c>
      <c r="E77" s="58"/>
      <c r="F77" s="58"/>
      <c r="G77" s="60" t="s">
        <v>51</v>
      </c>
      <c r="H77" s="1"/>
    </row>
    <row r="78" spans="1:8" ht="59.25" customHeight="1" x14ac:dyDescent="0.25">
      <c r="A78" s="70" t="str">
        <f>TabellaTest!F14</f>
        <v>TF002.UC-SIE-020-03.03</v>
      </c>
      <c r="B78" s="129" t="str">
        <f>TabellaTest!C14</f>
        <v>REQ-SIE-020-03_FN.02
REQ-SIE-020-03_FN.03</v>
      </c>
      <c r="C78" s="129"/>
      <c r="D78" s="130" t="str">
        <f>TabellaTest!E14</f>
        <v>SIES - Stampa dettaglio procedimento</v>
      </c>
      <c r="E78" s="131"/>
      <c r="F78" s="130" t="str">
        <f>TabellaTest!G14</f>
        <v>Verifica: Indicazione della "Sede" dell'Ufficio che ha emesso il procedimento nella stampa di dettaglio - [Ricerca Per Soggetto]</v>
      </c>
      <c r="G78" s="131"/>
    </row>
    <row r="79" spans="1:8" ht="25.5" x14ac:dyDescent="0.25">
      <c r="A79" s="75"/>
      <c r="B79" s="54" t="s">
        <v>34</v>
      </c>
      <c r="C79" s="49" t="s">
        <v>35</v>
      </c>
      <c r="D79" s="49" t="s">
        <v>36</v>
      </c>
      <c r="E79" s="49" t="s">
        <v>37</v>
      </c>
      <c r="F79" s="49" t="s">
        <v>38</v>
      </c>
      <c r="G79" s="55" t="s">
        <v>11</v>
      </c>
    </row>
    <row r="80" spans="1:8" ht="81" customHeight="1" x14ac:dyDescent="0.25">
      <c r="A80" s="76"/>
      <c r="B80" s="56" t="s">
        <v>39</v>
      </c>
      <c r="C80" s="57" t="s">
        <v>40</v>
      </c>
      <c r="D80" s="58" t="s">
        <v>129</v>
      </c>
      <c r="E80" s="58"/>
      <c r="F80" s="59"/>
      <c r="G80" s="60"/>
    </row>
    <row r="81" spans="1:7" ht="68.25" customHeight="1" x14ac:dyDescent="0.25">
      <c r="A81" s="76"/>
      <c r="B81" s="56" t="s">
        <v>39</v>
      </c>
      <c r="C81" s="57" t="s">
        <v>41</v>
      </c>
      <c r="D81" s="58" t="s">
        <v>133</v>
      </c>
      <c r="E81" s="58"/>
      <c r="F81" s="78" t="s">
        <v>130</v>
      </c>
      <c r="G81" s="60"/>
    </row>
    <row r="82" spans="1:7" s="36" customFormat="1" ht="29.25" customHeight="1" x14ac:dyDescent="0.25">
      <c r="A82" s="76"/>
      <c r="B82" s="67" t="s">
        <v>87</v>
      </c>
      <c r="C82" s="68" t="s">
        <v>42</v>
      </c>
      <c r="D82" s="74" t="s">
        <v>96</v>
      </c>
      <c r="E82" s="58"/>
      <c r="F82" s="59"/>
      <c r="G82" s="60"/>
    </row>
    <row r="83" spans="1:7" ht="71.25" customHeight="1" x14ac:dyDescent="0.25">
      <c r="A83" s="76"/>
      <c r="B83" s="61" t="s">
        <v>88</v>
      </c>
      <c r="C83" s="62" t="s">
        <v>43</v>
      </c>
      <c r="D83" s="58" t="s">
        <v>156</v>
      </c>
      <c r="E83" s="63"/>
      <c r="F83" s="78" t="s">
        <v>169</v>
      </c>
      <c r="G83" s="60"/>
    </row>
    <row r="84" spans="1:7" s="36" customFormat="1" ht="57.75" customHeight="1" x14ac:dyDescent="0.25">
      <c r="A84" s="76"/>
      <c r="B84" s="61" t="s">
        <v>91</v>
      </c>
      <c r="C84" s="62" t="s">
        <v>43</v>
      </c>
      <c r="D84" s="58" t="s">
        <v>98</v>
      </c>
      <c r="E84" s="63"/>
      <c r="F84" s="58" t="s">
        <v>99</v>
      </c>
      <c r="G84" s="60"/>
    </row>
    <row r="85" spans="1:7" s="36" customFormat="1" ht="41.25" customHeight="1" x14ac:dyDescent="0.25">
      <c r="A85" s="76"/>
      <c r="B85" s="61" t="s">
        <v>100</v>
      </c>
      <c r="C85" s="62" t="s">
        <v>43</v>
      </c>
      <c r="D85" s="58" t="s">
        <v>101</v>
      </c>
      <c r="E85" s="63"/>
      <c r="F85" s="58" t="s">
        <v>175</v>
      </c>
      <c r="G85" s="60"/>
    </row>
    <row r="86" spans="1:7" ht="60.75" customHeight="1" x14ac:dyDescent="0.25">
      <c r="A86" s="76"/>
      <c r="B86" s="61" t="s">
        <v>174</v>
      </c>
      <c r="C86" s="62" t="s">
        <v>43</v>
      </c>
      <c r="D86" s="58" t="s">
        <v>176</v>
      </c>
      <c r="E86" s="63"/>
      <c r="F86" s="78" t="s">
        <v>172</v>
      </c>
      <c r="G86" s="60"/>
    </row>
    <row r="87" spans="1:7" ht="54.75" customHeight="1" x14ac:dyDescent="0.25">
      <c r="A87" s="77"/>
      <c r="B87" s="64" t="s">
        <v>89</v>
      </c>
      <c r="C87" s="65" t="s">
        <v>90</v>
      </c>
      <c r="D87" s="58" t="s">
        <v>173</v>
      </c>
      <c r="E87" s="58"/>
      <c r="F87" s="58"/>
      <c r="G87" s="60" t="s">
        <v>51</v>
      </c>
    </row>
  </sheetData>
  <mergeCells count="43">
    <mergeCell ref="B78:C78"/>
    <mergeCell ref="D78:E78"/>
    <mergeCell ref="F78:G78"/>
    <mergeCell ref="B71:C71"/>
    <mergeCell ref="D71:E71"/>
    <mergeCell ref="F71:G71"/>
    <mergeCell ref="B56:C56"/>
    <mergeCell ref="D56:E56"/>
    <mergeCell ref="F56:G56"/>
    <mergeCell ref="B62:C62"/>
    <mergeCell ref="D62:E62"/>
    <mergeCell ref="F62:G62"/>
    <mergeCell ref="B4:C4"/>
    <mergeCell ref="D4:E4"/>
    <mergeCell ref="F4:G4"/>
    <mergeCell ref="B48:C48"/>
    <mergeCell ref="D48:E48"/>
    <mergeCell ref="F48:G48"/>
    <mergeCell ref="B26:C26"/>
    <mergeCell ref="D26:E26"/>
    <mergeCell ref="F26:G26"/>
    <mergeCell ref="B34:C34"/>
    <mergeCell ref="D34:E34"/>
    <mergeCell ref="F34:G34"/>
    <mergeCell ref="B41:C41"/>
    <mergeCell ref="D41:E41"/>
    <mergeCell ref="F41:G41"/>
    <mergeCell ref="A27:A33"/>
    <mergeCell ref="A5:A11"/>
    <mergeCell ref="A63:A70"/>
    <mergeCell ref="A1:C1"/>
    <mergeCell ref="D1:G1"/>
    <mergeCell ref="A2:C2"/>
    <mergeCell ref="D2:G2"/>
    <mergeCell ref="B3:C3"/>
    <mergeCell ref="D3:E3"/>
    <mergeCell ref="F3:G3"/>
    <mergeCell ref="B12:C12"/>
    <mergeCell ref="D12:E12"/>
    <mergeCell ref="F12:G12"/>
    <mergeCell ref="B19:C19"/>
    <mergeCell ref="D19:E19"/>
    <mergeCell ref="F19:G19"/>
  </mergeCells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zoomScaleNormal="100" workbookViewId="0">
      <selection activeCell="D1" sqref="D1:G1"/>
    </sheetView>
  </sheetViews>
  <sheetFormatPr defaultRowHeight="12.75" x14ac:dyDescent="0.25"/>
  <cols>
    <col min="1" max="1" width="4" style="12" bestFit="1" customWidth="1"/>
    <col min="2" max="2" width="21.28515625" style="12" customWidth="1"/>
    <col min="3" max="3" width="22.7109375" style="12" bestFit="1" customWidth="1"/>
    <col min="4" max="4" width="32.5703125" style="12" customWidth="1"/>
    <col min="5" max="5" width="57.28515625" style="12" customWidth="1"/>
    <col min="6" max="6" width="15.5703125" style="13" customWidth="1"/>
    <col min="7" max="7" width="17.7109375" style="12" customWidth="1"/>
    <col min="8" max="254" width="9.140625" style="12"/>
    <col min="255" max="255" width="4" style="12" bestFit="1" customWidth="1"/>
    <col min="256" max="256" width="26.7109375" style="12" bestFit="1" customWidth="1"/>
    <col min="257" max="257" width="22.7109375" style="12" bestFit="1" customWidth="1"/>
    <col min="258" max="258" width="32.5703125" style="12" customWidth="1"/>
    <col min="259" max="259" width="57.28515625" style="12" customWidth="1"/>
    <col min="260" max="260" width="15.5703125" style="12" customWidth="1"/>
    <col min="261" max="261" width="16.7109375" style="12" customWidth="1"/>
    <col min="262" max="510" width="9.140625" style="12"/>
    <col min="511" max="511" width="4" style="12" bestFit="1" customWidth="1"/>
    <col min="512" max="512" width="26.7109375" style="12" bestFit="1" customWidth="1"/>
    <col min="513" max="513" width="22.7109375" style="12" bestFit="1" customWidth="1"/>
    <col min="514" max="514" width="32.5703125" style="12" customWidth="1"/>
    <col min="515" max="515" width="57.28515625" style="12" customWidth="1"/>
    <col min="516" max="516" width="15.5703125" style="12" customWidth="1"/>
    <col min="517" max="517" width="16.7109375" style="12" customWidth="1"/>
    <col min="518" max="766" width="9.140625" style="12"/>
    <col min="767" max="767" width="4" style="12" bestFit="1" customWidth="1"/>
    <col min="768" max="768" width="26.7109375" style="12" bestFit="1" customWidth="1"/>
    <col min="769" max="769" width="22.7109375" style="12" bestFit="1" customWidth="1"/>
    <col min="770" max="770" width="32.5703125" style="12" customWidth="1"/>
    <col min="771" max="771" width="57.28515625" style="12" customWidth="1"/>
    <col min="772" max="772" width="15.5703125" style="12" customWidth="1"/>
    <col min="773" max="773" width="16.7109375" style="12" customWidth="1"/>
    <col min="774" max="1022" width="9.140625" style="12"/>
    <col min="1023" max="1023" width="4" style="12" bestFit="1" customWidth="1"/>
    <col min="1024" max="1024" width="26.7109375" style="12" bestFit="1" customWidth="1"/>
    <col min="1025" max="1025" width="22.7109375" style="12" bestFit="1" customWidth="1"/>
    <col min="1026" max="1026" width="32.5703125" style="12" customWidth="1"/>
    <col min="1027" max="1027" width="57.28515625" style="12" customWidth="1"/>
    <col min="1028" max="1028" width="15.5703125" style="12" customWidth="1"/>
    <col min="1029" max="1029" width="16.7109375" style="12" customWidth="1"/>
    <col min="1030" max="1278" width="9.140625" style="12"/>
    <col min="1279" max="1279" width="4" style="12" bestFit="1" customWidth="1"/>
    <col min="1280" max="1280" width="26.7109375" style="12" bestFit="1" customWidth="1"/>
    <col min="1281" max="1281" width="22.7109375" style="12" bestFit="1" customWidth="1"/>
    <col min="1282" max="1282" width="32.5703125" style="12" customWidth="1"/>
    <col min="1283" max="1283" width="57.28515625" style="12" customWidth="1"/>
    <col min="1284" max="1284" width="15.5703125" style="12" customWidth="1"/>
    <col min="1285" max="1285" width="16.7109375" style="12" customWidth="1"/>
    <col min="1286" max="1534" width="9.140625" style="12"/>
    <col min="1535" max="1535" width="4" style="12" bestFit="1" customWidth="1"/>
    <col min="1536" max="1536" width="26.7109375" style="12" bestFit="1" customWidth="1"/>
    <col min="1537" max="1537" width="22.7109375" style="12" bestFit="1" customWidth="1"/>
    <col min="1538" max="1538" width="32.5703125" style="12" customWidth="1"/>
    <col min="1539" max="1539" width="57.28515625" style="12" customWidth="1"/>
    <col min="1540" max="1540" width="15.5703125" style="12" customWidth="1"/>
    <col min="1541" max="1541" width="16.7109375" style="12" customWidth="1"/>
    <col min="1542" max="1790" width="9.140625" style="12"/>
    <col min="1791" max="1791" width="4" style="12" bestFit="1" customWidth="1"/>
    <col min="1792" max="1792" width="26.7109375" style="12" bestFit="1" customWidth="1"/>
    <col min="1793" max="1793" width="22.7109375" style="12" bestFit="1" customWidth="1"/>
    <col min="1794" max="1794" width="32.5703125" style="12" customWidth="1"/>
    <col min="1795" max="1795" width="57.28515625" style="12" customWidth="1"/>
    <col min="1796" max="1796" width="15.5703125" style="12" customWidth="1"/>
    <col min="1797" max="1797" width="16.7109375" style="12" customWidth="1"/>
    <col min="1798" max="2046" width="9.140625" style="12"/>
    <col min="2047" max="2047" width="4" style="12" bestFit="1" customWidth="1"/>
    <col min="2048" max="2048" width="26.7109375" style="12" bestFit="1" customWidth="1"/>
    <col min="2049" max="2049" width="22.7109375" style="12" bestFit="1" customWidth="1"/>
    <col min="2050" max="2050" width="32.5703125" style="12" customWidth="1"/>
    <col min="2051" max="2051" width="57.28515625" style="12" customWidth="1"/>
    <col min="2052" max="2052" width="15.5703125" style="12" customWidth="1"/>
    <col min="2053" max="2053" width="16.7109375" style="12" customWidth="1"/>
    <col min="2054" max="2302" width="9.140625" style="12"/>
    <col min="2303" max="2303" width="4" style="12" bestFit="1" customWidth="1"/>
    <col min="2304" max="2304" width="26.7109375" style="12" bestFit="1" customWidth="1"/>
    <col min="2305" max="2305" width="22.7109375" style="12" bestFit="1" customWidth="1"/>
    <col min="2306" max="2306" width="32.5703125" style="12" customWidth="1"/>
    <col min="2307" max="2307" width="57.28515625" style="12" customWidth="1"/>
    <col min="2308" max="2308" width="15.5703125" style="12" customWidth="1"/>
    <col min="2309" max="2309" width="16.7109375" style="12" customWidth="1"/>
    <col min="2310" max="2558" width="9.140625" style="12"/>
    <col min="2559" max="2559" width="4" style="12" bestFit="1" customWidth="1"/>
    <col min="2560" max="2560" width="26.7109375" style="12" bestFit="1" customWidth="1"/>
    <col min="2561" max="2561" width="22.7109375" style="12" bestFit="1" customWidth="1"/>
    <col min="2562" max="2562" width="32.5703125" style="12" customWidth="1"/>
    <col min="2563" max="2563" width="57.28515625" style="12" customWidth="1"/>
    <col min="2564" max="2564" width="15.5703125" style="12" customWidth="1"/>
    <col min="2565" max="2565" width="16.7109375" style="12" customWidth="1"/>
    <col min="2566" max="2814" width="9.140625" style="12"/>
    <col min="2815" max="2815" width="4" style="12" bestFit="1" customWidth="1"/>
    <col min="2816" max="2816" width="26.7109375" style="12" bestFit="1" customWidth="1"/>
    <col min="2817" max="2817" width="22.7109375" style="12" bestFit="1" customWidth="1"/>
    <col min="2818" max="2818" width="32.5703125" style="12" customWidth="1"/>
    <col min="2819" max="2819" width="57.28515625" style="12" customWidth="1"/>
    <col min="2820" max="2820" width="15.5703125" style="12" customWidth="1"/>
    <col min="2821" max="2821" width="16.7109375" style="12" customWidth="1"/>
    <col min="2822" max="3070" width="9.140625" style="12"/>
    <col min="3071" max="3071" width="4" style="12" bestFit="1" customWidth="1"/>
    <col min="3072" max="3072" width="26.7109375" style="12" bestFit="1" customWidth="1"/>
    <col min="3073" max="3073" width="22.7109375" style="12" bestFit="1" customWidth="1"/>
    <col min="3074" max="3074" width="32.5703125" style="12" customWidth="1"/>
    <col min="3075" max="3075" width="57.28515625" style="12" customWidth="1"/>
    <col min="3076" max="3076" width="15.5703125" style="12" customWidth="1"/>
    <col min="3077" max="3077" width="16.7109375" style="12" customWidth="1"/>
    <col min="3078" max="3326" width="9.140625" style="12"/>
    <col min="3327" max="3327" width="4" style="12" bestFit="1" customWidth="1"/>
    <col min="3328" max="3328" width="26.7109375" style="12" bestFit="1" customWidth="1"/>
    <col min="3329" max="3329" width="22.7109375" style="12" bestFit="1" customWidth="1"/>
    <col min="3330" max="3330" width="32.5703125" style="12" customWidth="1"/>
    <col min="3331" max="3331" width="57.28515625" style="12" customWidth="1"/>
    <col min="3332" max="3332" width="15.5703125" style="12" customWidth="1"/>
    <col min="3333" max="3333" width="16.7109375" style="12" customWidth="1"/>
    <col min="3334" max="3582" width="9.140625" style="12"/>
    <col min="3583" max="3583" width="4" style="12" bestFit="1" customWidth="1"/>
    <col min="3584" max="3584" width="26.7109375" style="12" bestFit="1" customWidth="1"/>
    <col min="3585" max="3585" width="22.7109375" style="12" bestFit="1" customWidth="1"/>
    <col min="3586" max="3586" width="32.5703125" style="12" customWidth="1"/>
    <col min="3587" max="3587" width="57.28515625" style="12" customWidth="1"/>
    <col min="3588" max="3588" width="15.5703125" style="12" customWidth="1"/>
    <col min="3589" max="3589" width="16.7109375" style="12" customWidth="1"/>
    <col min="3590" max="3838" width="9.140625" style="12"/>
    <col min="3839" max="3839" width="4" style="12" bestFit="1" customWidth="1"/>
    <col min="3840" max="3840" width="26.7109375" style="12" bestFit="1" customWidth="1"/>
    <col min="3841" max="3841" width="22.7109375" style="12" bestFit="1" customWidth="1"/>
    <col min="3842" max="3842" width="32.5703125" style="12" customWidth="1"/>
    <col min="3843" max="3843" width="57.28515625" style="12" customWidth="1"/>
    <col min="3844" max="3844" width="15.5703125" style="12" customWidth="1"/>
    <col min="3845" max="3845" width="16.7109375" style="12" customWidth="1"/>
    <col min="3846" max="4094" width="9.140625" style="12"/>
    <col min="4095" max="4095" width="4" style="12" bestFit="1" customWidth="1"/>
    <col min="4096" max="4096" width="26.7109375" style="12" bestFit="1" customWidth="1"/>
    <col min="4097" max="4097" width="22.7109375" style="12" bestFit="1" customWidth="1"/>
    <col min="4098" max="4098" width="32.5703125" style="12" customWidth="1"/>
    <col min="4099" max="4099" width="57.28515625" style="12" customWidth="1"/>
    <col min="4100" max="4100" width="15.5703125" style="12" customWidth="1"/>
    <col min="4101" max="4101" width="16.7109375" style="12" customWidth="1"/>
    <col min="4102" max="4350" width="9.140625" style="12"/>
    <col min="4351" max="4351" width="4" style="12" bestFit="1" customWidth="1"/>
    <col min="4352" max="4352" width="26.7109375" style="12" bestFit="1" customWidth="1"/>
    <col min="4353" max="4353" width="22.7109375" style="12" bestFit="1" customWidth="1"/>
    <col min="4354" max="4354" width="32.5703125" style="12" customWidth="1"/>
    <col min="4355" max="4355" width="57.28515625" style="12" customWidth="1"/>
    <col min="4356" max="4356" width="15.5703125" style="12" customWidth="1"/>
    <col min="4357" max="4357" width="16.7109375" style="12" customWidth="1"/>
    <col min="4358" max="4606" width="9.140625" style="12"/>
    <col min="4607" max="4607" width="4" style="12" bestFit="1" customWidth="1"/>
    <col min="4608" max="4608" width="26.7109375" style="12" bestFit="1" customWidth="1"/>
    <col min="4609" max="4609" width="22.7109375" style="12" bestFit="1" customWidth="1"/>
    <col min="4610" max="4610" width="32.5703125" style="12" customWidth="1"/>
    <col min="4611" max="4611" width="57.28515625" style="12" customWidth="1"/>
    <col min="4612" max="4612" width="15.5703125" style="12" customWidth="1"/>
    <col min="4613" max="4613" width="16.7109375" style="12" customWidth="1"/>
    <col min="4614" max="4862" width="9.140625" style="12"/>
    <col min="4863" max="4863" width="4" style="12" bestFit="1" customWidth="1"/>
    <col min="4864" max="4864" width="26.7109375" style="12" bestFit="1" customWidth="1"/>
    <col min="4865" max="4865" width="22.7109375" style="12" bestFit="1" customWidth="1"/>
    <col min="4866" max="4866" width="32.5703125" style="12" customWidth="1"/>
    <col min="4867" max="4867" width="57.28515625" style="12" customWidth="1"/>
    <col min="4868" max="4868" width="15.5703125" style="12" customWidth="1"/>
    <col min="4869" max="4869" width="16.7109375" style="12" customWidth="1"/>
    <col min="4870" max="5118" width="9.140625" style="12"/>
    <col min="5119" max="5119" width="4" style="12" bestFit="1" customWidth="1"/>
    <col min="5120" max="5120" width="26.7109375" style="12" bestFit="1" customWidth="1"/>
    <col min="5121" max="5121" width="22.7109375" style="12" bestFit="1" customWidth="1"/>
    <col min="5122" max="5122" width="32.5703125" style="12" customWidth="1"/>
    <col min="5123" max="5123" width="57.28515625" style="12" customWidth="1"/>
    <col min="5124" max="5124" width="15.5703125" style="12" customWidth="1"/>
    <col min="5125" max="5125" width="16.7109375" style="12" customWidth="1"/>
    <col min="5126" max="5374" width="9.140625" style="12"/>
    <col min="5375" max="5375" width="4" style="12" bestFit="1" customWidth="1"/>
    <col min="5376" max="5376" width="26.7109375" style="12" bestFit="1" customWidth="1"/>
    <col min="5377" max="5377" width="22.7109375" style="12" bestFit="1" customWidth="1"/>
    <col min="5378" max="5378" width="32.5703125" style="12" customWidth="1"/>
    <col min="5379" max="5379" width="57.28515625" style="12" customWidth="1"/>
    <col min="5380" max="5380" width="15.5703125" style="12" customWidth="1"/>
    <col min="5381" max="5381" width="16.7109375" style="12" customWidth="1"/>
    <col min="5382" max="5630" width="9.140625" style="12"/>
    <col min="5631" max="5631" width="4" style="12" bestFit="1" customWidth="1"/>
    <col min="5632" max="5632" width="26.7109375" style="12" bestFit="1" customWidth="1"/>
    <col min="5633" max="5633" width="22.7109375" style="12" bestFit="1" customWidth="1"/>
    <col min="5634" max="5634" width="32.5703125" style="12" customWidth="1"/>
    <col min="5635" max="5635" width="57.28515625" style="12" customWidth="1"/>
    <col min="5636" max="5636" width="15.5703125" style="12" customWidth="1"/>
    <col min="5637" max="5637" width="16.7109375" style="12" customWidth="1"/>
    <col min="5638" max="5886" width="9.140625" style="12"/>
    <col min="5887" max="5887" width="4" style="12" bestFit="1" customWidth="1"/>
    <col min="5888" max="5888" width="26.7109375" style="12" bestFit="1" customWidth="1"/>
    <col min="5889" max="5889" width="22.7109375" style="12" bestFit="1" customWidth="1"/>
    <col min="5890" max="5890" width="32.5703125" style="12" customWidth="1"/>
    <col min="5891" max="5891" width="57.28515625" style="12" customWidth="1"/>
    <col min="5892" max="5892" width="15.5703125" style="12" customWidth="1"/>
    <col min="5893" max="5893" width="16.7109375" style="12" customWidth="1"/>
    <col min="5894" max="6142" width="9.140625" style="12"/>
    <col min="6143" max="6143" width="4" style="12" bestFit="1" customWidth="1"/>
    <col min="6144" max="6144" width="26.7109375" style="12" bestFit="1" customWidth="1"/>
    <col min="6145" max="6145" width="22.7109375" style="12" bestFit="1" customWidth="1"/>
    <col min="6146" max="6146" width="32.5703125" style="12" customWidth="1"/>
    <col min="6147" max="6147" width="57.28515625" style="12" customWidth="1"/>
    <col min="6148" max="6148" width="15.5703125" style="12" customWidth="1"/>
    <col min="6149" max="6149" width="16.7109375" style="12" customWidth="1"/>
    <col min="6150" max="6398" width="9.140625" style="12"/>
    <col min="6399" max="6399" width="4" style="12" bestFit="1" customWidth="1"/>
    <col min="6400" max="6400" width="26.7109375" style="12" bestFit="1" customWidth="1"/>
    <col min="6401" max="6401" width="22.7109375" style="12" bestFit="1" customWidth="1"/>
    <col min="6402" max="6402" width="32.5703125" style="12" customWidth="1"/>
    <col min="6403" max="6403" width="57.28515625" style="12" customWidth="1"/>
    <col min="6404" max="6404" width="15.5703125" style="12" customWidth="1"/>
    <col min="6405" max="6405" width="16.7109375" style="12" customWidth="1"/>
    <col min="6406" max="6654" width="9.140625" style="12"/>
    <col min="6655" max="6655" width="4" style="12" bestFit="1" customWidth="1"/>
    <col min="6656" max="6656" width="26.7109375" style="12" bestFit="1" customWidth="1"/>
    <col min="6657" max="6657" width="22.7109375" style="12" bestFit="1" customWidth="1"/>
    <col min="6658" max="6658" width="32.5703125" style="12" customWidth="1"/>
    <col min="6659" max="6659" width="57.28515625" style="12" customWidth="1"/>
    <col min="6660" max="6660" width="15.5703125" style="12" customWidth="1"/>
    <col min="6661" max="6661" width="16.7109375" style="12" customWidth="1"/>
    <col min="6662" max="6910" width="9.140625" style="12"/>
    <col min="6911" max="6911" width="4" style="12" bestFit="1" customWidth="1"/>
    <col min="6912" max="6912" width="26.7109375" style="12" bestFit="1" customWidth="1"/>
    <col min="6913" max="6913" width="22.7109375" style="12" bestFit="1" customWidth="1"/>
    <col min="6914" max="6914" width="32.5703125" style="12" customWidth="1"/>
    <col min="6915" max="6915" width="57.28515625" style="12" customWidth="1"/>
    <col min="6916" max="6916" width="15.5703125" style="12" customWidth="1"/>
    <col min="6917" max="6917" width="16.7109375" style="12" customWidth="1"/>
    <col min="6918" max="7166" width="9.140625" style="12"/>
    <col min="7167" max="7167" width="4" style="12" bestFit="1" customWidth="1"/>
    <col min="7168" max="7168" width="26.7109375" style="12" bestFit="1" customWidth="1"/>
    <col min="7169" max="7169" width="22.7109375" style="12" bestFit="1" customWidth="1"/>
    <col min="7170" max="7170" width="32.5703125" style="12" customWidth="1"/>
    <col min="7171" max="7171" width="57.28515625" style="12" customWidth="1"/>
    <col min="7172" max="7172" width="15.5703125" style="12" customWidth="1"/>
    <col min="7173" max="7173" width="16.7109375" style="12" customWidth="1"/>
    <col min="7174" max="7422" width="9.140625" style="12"/>
    <col min="7423" max="7423" width="4" style="12" bestFit="1" customWidth="1"/>
    <col min="7424" max="7424" width="26.7109375" style="12" bestFit="1" customWidth="1"/>
    <col min="7425" max="7425" width="22.7109375" style="12" bestFit="1" customWidth="1"/>
    <col min="7426" max="7426" width="32.5703125" style="12" customWidth="1"/>
    <col min="7427" max="7427" width="57.28515625" style="12" customWidth="1"/>
    <col min="7428" max="7428" width="15.5703125" style="12" customWidth="1"/>
    <col min="7429" max="7429" width="16.7109375" style="12" customWidth="1"/>
    <col min="7430" max="7678" width="9.140625" style="12"/>
    <col min="7679" max="7679" width="4" style="12" bestFit="1" customWidth="1"/>
    <col min="7680" max="7680" width="26.7109375" style="12" bestFit="1" customWidth="1"/>
    <col min="7681" max="7681" width="22.7109375" style="12" bestFit="1" customWidth="1"/>
    <col min="7682" max="7682" width="32.5703125" style="12" customWidth="1"/>
    <col min="7683" max="7683" width="57.28515625" style="12" customWidth="1"/>
    <col min="7684" max="7684" width="15.5703125" style="12" customWidth="1"/>
    <col min="7685" max="7685" width="16.7109375" style="12" customWidth="1"/>
    <col min="7686" max="7934" width="9.140625" style="12"/>
    <col min="7935" max="7935" width="4" style="12" bestFit="1" customWidth="1"/>
    <col min="7936" max="7936" width="26.7109375" style="12" bestFit="1" customWidth="1"/>
    <col min="7937" max="7937" width="22.7109375" style="12" bestFit="1" customWidth="1"/>
    <col min="7938" max="7938" width="32.5703125" style="12" customWidth="1"/>
    <col min="7939" max="7939" width="57.28515625" style="12" customWidth="1"/>
    <col min="7940" max="7940" width="15.5703125" style="12" customWidth="1"/>
    <col min="7941" max="7941" width="16.7109375" style="12" customWidth="1"/>
    <col min="7942" max="8190" width="9.140625" style="12"/>
    <col min="8191" max="8191" width="4" style="12" bestFit="1" customWidth="1"/>
    <col min="8192" max="8192" width="26.7109375" style="12" bestFit="1" customWidth="1"/>
    <col min="8193" max="8193" width="22.7109375" style="12" bestFit="1" customWidth="1"/>
    <col min="8194" max="8194" width="32.5703125" style="12" customWidth="1"/>
    <col min="8195" max="8195" width="57.28515625" style="12" customWidth="1"/>
    <col min="8196" max="8196" width="15.5703125" style="12" customWidth="1"/>
    <col min="8197" max="8197" width="16.7109375" style="12" customWidth="1"/>
    <col min="8198" max="8446" width="9.140625" style="12"/>
    <col min="8447" max="8447" width="4" style="12" bestFit="1" customWidth="1"/>
    <col min="8448" max="8448" width="26.7109375" style="12" bestFit="1" customWidth="1"/>
    <col min="8449" max="8449" width="22.7109375" style="12" bestFit="1" customWidth="1"/>
    <col min="8450" max="8450" width="32.5703125" style="12" customWidth="1"/>
    <col min="8451" max="8451" width="57.28515625" style="12" customWidth="1"/>
    <col min="8452" max="8452" width="15.5703125" style="12" customWidth="1"/>
    <col min="8453" max="8453" width="16.7109375" style="12" customWidth="1"/>
    <col min="8454" max="8702" width="9.140625" style="12"/>
    <col min="8703" max="8703" width="4" style="12" bestFit="1" customWidth="1"/>
    <col min="8704" max="8704" width="26.7109375" style="12" bestFit="1" customWidth="1"/>
    <col min="8705" max="8705" width="22.7109375" style="12" bestFit="1" customWidth="1"/>
    <col min="8706" max="8706" width="32.5703125" style="12" customWidth="1"/>
    <col min="8707" max="8707" width="57.28515625" style="12" customWidth="1"/>
    <col min="8708" max="8708" width="15.5703125" style="12" customWidth="1"/>
    <col min="8709" max="8709" width="16.7109375" style="12" customWidth="1"/>
    <col min="8710" max="8958" width="9.140625" style="12"/>
    <col min="8959" max="8959" width="4" style="12" bestFit="1" customWidth="1"/>
    <col min="8960" max="8960" width="26.7109375" style="12" bestFit="1" customWidth="1"/>
    <col min="8961" max="8961" width="22.7109375" style="12" bestFit="1" customWidth="1"/>
    <col min="8962" max="8962" width="32.5703125" style="12" customWidth="1"/>
    <col min="8963" max="8963" width="57.28515625" style="12" customWidth="1"/>
    <col min="8964" max="8964" width="15.5703125" style="12" customWidth="1"/>
    <col min="8965" max="8965" width="16.7109375" style="12" customWidth="1"/>
    <col min="8966" max="9214" width="9.140625" style="12"/>
    <col min="9215" max="9215" width="4" style="12" bestFit="1" customWidth="1"/>
    <col min="9216" max="9216" width="26.7109375" style="12" bestFit="1" customWidth="1"/>
    <col min="9217" max="9217" width="22.7109375" style="12" bestFit="1" customWidth="1"/>
    <col min="9218" max="9218" width="32.5703125" style="12" customWidth="1"/>
    <col min="9219" max="9219" width="57.28515625" style="12" customWidth="1"/>
    <col min="9220" max="9220" width="15.5703125" style="12" customWidth="1"/>
    <col min="9221" max="9221" width="16.7109375" style="12" customWidth="1"/>
    <col min="9222" max="9470" width="9.140625" style="12"/>
    <col min="9471" max="9471" width="4" style="12" bestFit="1" customWidth="1"/>
    <col min="9472" max="9472" width="26.7109375" style="12" bestFit="1" customWidth="1"/>
    <col min="9473" max="9473" width="22.7109375" style="12" bestFit="1" customWidth="1"/>
    <col min="9474" max="9474" width="32.5703125" style="12" customWidth="1"/>
    <col min="9475" max="9475" width="57.28515625" style="12" customWidth="1"/>
    <col min="9476" max="9476" width="15.5703125" style="12" customWidth="1"/>
    <col min="9477" max="9477" width="16.7109375" style="12" customWidth="1"/>
    <col min="9478" max="9726" width="9.140625" style="12"/>
    <col min="9727" max="9727" width="4" style="12" bestFit="1" customWidth="1"/>
    <col min="9728" max="9728" width="26.7109375" style="12" bestFit="1" customWidth="1"/>
    <col min="9729" max="9729" width="22.7109375" style="12" bestFit="1" customWidth="1"/>
    <col min="9730" max="9730" width="32.5703125" style="12" customWidth="1"/>
    <col min="9731" max="9731" width="57.28515625" style="12" customWidth="1"/>
    <col min="9732" max="9732" width="15.5703125" style="12" customWidth="1"/>
    <col min="9733" max="9733" width="16.7109375" style="12" customWidth="1"/>
    <col min="9734" max="9982" width="9.140625" style="12"/>
    <col min="9983" max="9983" width="4" style="12" bestFit="1" customWidth="1"/>
    <col min="9984" max="9984" width="26.7109375" style="12" bestFit="1" customWidth="1"/>
    <col min="9985" max="9985" width="22.7109375" style="12" bestFit="1" customWidth="1"/>
    <col min="9986" max="9986" width="32.5703125" style="12" customWidth="1"/>
    <col min="9987" max="9987" width="57.28515625" style="12" customWidth="1"/>
    <col min="9988" max="9988" width="15.5703125" style="12" customWidth="1"/>
    <col min="9989" max="9989" width="16.7109375" style="12" customWidth="1"/>
    <col min="9990" max="10238" width="9.140625" style="12"/>
    <col min="10239" max="10239" width="4" style="12" bestFit="1" customWidth="1"/>
    <col min="10240" max="10240" width="26.7109375" style="12" bestFit="1" customWidth="1"/>
    <col min="10241" max="10241" width="22.7109375" style="12" bestFit="1" customWidth="1"/>
    <col min="10242" max="10242" width="32.5703125" style="12" customWidth="1"/>
    <col min="10243" max="10243" width="57.28515625" style="12" customWidth="1"/>
    <col min="10244" max="10244" width="15.5703125" style="12" customWidth="1"/>
    <col min="10245" max="10245" width="16.7109375" style="12" customWidth="1"/>
    <col min="10246" max="10494" width="9.140625" style="12"/>
    <col min="10495" max="10495" width="4" style="12" bestFit="1" customWidth="1"/>
    <col min="10496" max="10496" width="26.7109375" style="12" bestFit="1" customWidth="1"/>
    <col min="10497" max="10497" width="22.7109375" style="12" bestFit="1" customWidth="1"/>
    <col min="10498" max="10498" width="32.5703125" style="12" customWidth="1"/>
    <col min="10499" max="10499" width="57.28515625" style="12" customWidth="1"/>
    <col min="10500" max="10500" width="15.5703125" style="12" customWidth="1"/>
    <col min="10501" max="10501" width="16.7109375" style="12" customWidth="1"/>
    <col min="10502" max="10750" width="9.140625" style="12"/>
    <col min="10751" max="10751" width="4" style="12" bestFit="1" customWidth="1"/>
    <col min="10752" max="10752" width="26.7109375" style="12" bestFit="1" customWidth="1"/>
    <col min="10753" max="10753" width="22.7109375" style="12" bestFit="1" customWidth="1"/>
    <col min="10754" max="10754" width="32.5703125" style="12" customWidth="1"/>
    <col min="10755" max="10755" width="57.28515625" style="12" customWidth="1"/>
    <col min="10756" max="10756" width="15.5703125" style="12" customWidth="1"/>
    <col min="10757" max="10757" width="16.7109375" style="12" customWidth="1"/>
    <col min="10758" max="11006" width="9.140625" style="12"/>
    <col min="11007" max="11007" width="4" style="12" bestFit="1" customWidth="1"/>
    <col min="11008" max="11008" width="26.7109375" style="12" bestFit="1" customWidth="1"/>
    <col min="11009" max="11009" width="22.7109375" style="12" bestFit="1" customWidth="1"/>
    <col min="11010" max="11010" width="32.5703125" style="12" customWidth="1"/>
    <col min="11011" max="11011" width="57.28515625" style="12" customWidth="1"/>
    <col min="11012" max="11012" width="15.5703125" style="12" customWidth="1"/>
    <col min="11013" max="11013" width="16.7109375" style="12" customWidth="1"/>
    <col min="11014" max="11262" width="9.140625" style="12"/>
    <col min="11263" max="11263" width="4" style="12" bestFit="1" customWidth="1"/>
    <col min="11264" max="11264" width="26.7109375" style="12" bestFit="1" customWidth="1"/>
    <col min="11265" max="11265" width="22.7109375" style="12" bestFit="1" customWidth="1"/>
    <col min="11266" max="11266" width="32.5703125" style="12" customWidth="1"/>
    <col min="11267" max="11267" width="57.28515625" style="12" customWidth="1"/>
    <col min="11268" max="11268" width="15.5703125" style="12" customWidth="1"/>
    <col min="11269" max="11269" width="16.7109375" style="12" customWidth="1"/>
    <col min="11270" max="11518" width="9.140625" style="12"/>
    <col min="11519" max="11519" width="4" style="12" bestFit="1" customWidth="1"/>
    <col min="11520" max="11520" width="26.7109375" style="12" bestFit="1" customWidth="1"/>
    <col min="11521" max="11521" width="22.7109375" style="12" bestFit="1" customWidth="1"/>
    <col min="11522" max="11522" width="32.5703125" style="12" customWidth="1"/>
    <col min="11523" max="11523" width="57.28515625" style="12" customWidth="1"/>
    <col min="11524" max="11524" width="15.5703125" style="12" customWidth="1"/>
    <col min="11525" max="11525" width="16.7109375" style="12" customWidth="1"/>
    <col min="11526" max="11774" width="9.140625" style="12"/>
    <col min="11775" max="11775" width="4" style="12" bestFit="1" customWidth="1"/>
    <col min="11776" max="11776" width="26.7109375" style="12" bestFit="1" customWidth="1"/>
    <col min="11777" max="11777" width="22.7109375" style="12" bestFit="1" customWidth="1"/>
    <col min="11778" max="11778" width="32.5703125" style="12" customWidth="1"/>
    <col min="11779" max="11779" width="57.28515625" style="12" customWidth="1"/>
    <col min="11780" max="11780" width="15.5703125" style="12" customWidth="1"/>
    <col min="11781" max="11781" width="16.7109375" style="12" customWidth="1"/>
    <col min="11782" max="12030" width="9.140625" style="12"/>
    <col min="12031" max="12031" width="4" style="12" bestFit="1" customWidth="1"/>
    <col min="12032" max="12032" width="26.7109375" style="12" bestFit="1" customWidth="1"/>
    <col min="12033" max="12033" width="22.7109375" style="12" bestFit="1" customWidth="1"/>
    <col min="12034" max="12034" width="32.5703125" style="12" customWidth="1"/>
    <col min="12035" max="12035" width="57.28515625" style="12" customWidth="1"/>
    <col min="12036" max="12036" width="15.5703125" style="12" customWidth="1"/>
    <col min="12037" max="12037" width="16.7109375" style="12" customWidth="1"/>
    <col min="12038" max="12286" width="9.140625" style="12"/>
    <col min="12287" max="12287" width="4" style="12" bestFit="1" customWidth="1"/>
    <col min="12288" max="12288" width="26.7109375" style="12" bestFit="1" customWidth="1"/>
    <col min="12289" max="12289" width="22.7109375" style="12" bestFit="1" customWidth="1"/>
    <col min="12290" max="12290" width="32.5703125" style="12" customWidth="1"/>
    <col min="12291" max="12291" width="57.28515625" style="12" customWidth="1"/>
    <col min="12292" max="12292" width="15.5703125" style="12" customWidth="1"/>
    <col min="12293" max="12293" width="16.7109375" style="12" customWidth="1"/>
    <col min="12294" max="12542" width="9.140625" style="12"/>
    <col min="12543" max="12543" width="4" style="12" bestFit="1" customWidth="1"/>
    <col min="12544" max="12544" width="26.7109375" style="12" bestFit="1" customWidth="1"/>
    <col min="12545" max="12545" width="22.7109375" style="12" bestFit="1" customWidth="1"/>
    <col min="12546" max="12546" width="32.5703125" style="12" customWidth="1"/>
    <col min="12547" max="12547" width="57.28515625" style="12" customWidth="1"/>
    <col min="12548" max="12548" width="15.5703125" style="12" customWidth="1"/>
    <col min="12549" max="12549" width="16.7109375" style="12" customWidth="1"/>
    <col min="12550" max="12798" width="9.140625" style="12"/>
    <col min="12799" max="12799" width="4" style="12" bestFit="1" customWidth="1"/>
    <col min="12800" max="12800" width="26.7109375" style="12" bestFit="1" customWidth="1"/>
    <col min="12801" max="12801" width="22.7109375" style="12" bestFit="1" customWidth="1"/>
    <col min="12802" max="12802" width="32.5703125" style="12" customWidth="1"/>
    <col min="12803" max="12803" width="57.28515625" style="12" customWidth="1"/>
    <col min="12804" max="12804" width="15.5703125" style="12" customWidth="1"/>
    <col min="12805" max="12805" width="16.7109375" style="12" customWidth="1"/>
    <col min="12806" max="13054" width="9.140625" style="12"/>
    <col min="13055" max="13055" width="4" style="12" bestFit="1" customWidth="1"/>
    <col min="13056" max="13056" width="26.7109375" style="12" bestFit="1" customWidth="1"/>
    <col min="13057" max="13057" width="22.7109375" style="12" bestFit="1" customWidth="1"/>
    <col min="13058" max="13058" width="32.5703125" style="12" customWidth="1"/>
    <col min="13059" max="13059" width="57.28515625" style="12" customWidth="1"/>
    <col min="13060" max="13060" width="15.5703125" style="12" customWidth="1"/>
    <col min="13061" max="13061" width="16.7109375" style="12" customWidth="1"/>
    <col min="13062" max="13310" width="9.140625" style="12"/>
    <col min="13311" max="13311" width="4" style="12" bestFit="1" customWidth="1"/>
    <col min="13312" max="13312" width="26.7109375" style="12" bestFit="1" customWidth="1"/>
    <col min="13313" max="13313" width="22.7109375" style="12" bestFit="1" customWidth="1"/>
    <col min="13314" max="13314" width="32.5703125" style="12" customWidth="1"/>
    <col min="13315" max="13315" width="57.28515625" style="12" customWidth="1"/>
    <col min="13316" max="13316" width="15.5703125" style="12" customWidth="1"/>
    <col min="13317" max="13317" width="16.7109375" style="12" customWidth="1"/>
    <col min="13318" max="13566" width="9.140625" style="12"/>
    <col min="13567" max="13567" width="4" style="12" bestFit="1" customWidth="1"/>
    <col min="13568" max="13568" width="26.7109375" style="12" bestFit="1" customWidth="1"/>
    <col min="13569" max="13569" width="22.7109375" style="12" bestFit="1" customWidth="1"/>
    <col min="13570" max="13570" width="32.5703125" style="12" customWidth="1"/>
    <col min="13571" max="13571" width="57.28515625" style="12" customWidth="1"/>
    <col min="13572" max="13572" width="15.5703125" style="12" customWidth="1"/>
    <col min="13573" max="13573" width="16.7109375" style="12" customWidth="1"/>
    <col min="13574" max="13822" width="9.140625" style="12"/>
    <col min="13823" max="13823" width="4" style="12" bestFit="1" customWidth="1"/>
    <col min="13824" max="13824" width="26.7109375" style="12" bestFit="1" customWidth="1"/>
    <col min="13825" max="13825" width="22.7109375" style="12" bestFit="1" customWidth="1"/>
    <col min="13826" max="13826" width="32.5703125" style="12" customWidth="1"/>
    <col min="13827" max="13827" width="57.28515625" style="12" customWidth="1"/>
    <col min="13828" max="13828" width="15.5703125" style="12" customWidth="1"/>
    <col min="13829" max="13829" width="16.7109375" style="12" customWidth="1"/>
    <col min="13830" max="14078" width="9.140625" style="12"/>
    <col min="14079" max="14079" width="4" style="12" bestFit="1" customWidth="1"/>
    <col min="14080" max="14080" width="26.7109375" style="12" bestFit="1" customWidth="1"/>
    <col min="14081" max="14081" width="22.7109375" style="12" bestFit="1" customWidth="1"/>
    <col min="14082" max="14082" width="32.5703125" style="12" customWidth="1"/>
    <col min="14083" max="14083" width="57.28515625" style="12" customWidth="1"/>
    <col min="14084" max="14084" width="15.5703125" style="12" customWidth="1"/>
    <col min="14085" max="14085" width="16.7109375" style="12" customWidth="1"/>
    <col min="14086" max="14334" width="9.140625" style="12"/>
    <col min="14335" max="14335" width="4" style="12" bestFit="1" customWidth="1"/>
    <col min="14336" max="14336" width="26.7109375" style="12" bestFit="1" customWidth="1"/>
    <col min="14337" max="14337" width="22.7109375" style="12" bestFit="1" customWidth="1"/>
    <col min="14338" max="14338" width="32.5703125" style="12" customWidth="1"/>
    <col min="14339" max="14339" width="57.28515625" style="12" customWidth="1"/>
    <col min="14340" max="14340" width="15.5703125" style="12" customWidth="1"/>
    <col min="14341" max="14341" width="16.7109375" style="12" customWidth="1"/>
    <col min="14342" max="14590" width="9.140625" style="12"/>
    <col min="14591" max="14591" width="4" style="12" bestFit="1" customWidth="1"/>
    <col min="14592" max="14592" width="26.7109375" style="12" bestFit="1" customWidth="1"/>
    <col min="14593" max="14593" width="22.7109375" style="12" bestFit="1" customWidth="1"/>
    <col min="14594" max="14594" width="32.5703125" style="12" customWidth="1"/>
    <col min="14595" max="14595" width="57.28515625" style="12" customWidth="1"/>
    <col min="14596" max="14596" width="15.5703125" style="12" customWidth="1"/>
    <col min="14597" max="14597" width="16.7109375" style="12" customWidth="1"/>
    <col min="14598" max="14846" width="9.140625" style="12"/>
    <col min="14847" max="14847" width="4" style="12" bestFit="1" customWidth="1"/>
    <col min="14848" max="14848" width="26.7109375" style="12" bestFit="1" customWidth="1"/>
    <col min="14849" max="14849" width="22.7109375" style="12" bestFit="1" customWidth="1"/>
    <col min="14850" max="14850" width="32.5703125" style="12" customWidth="1"/>
    <col min="14851" max="14851" width="57.28515625" style="12" customWidth="1"/>
    <col min="14852" max="14852" width="15.5703125" style="12" customWidth="1"/>
    <col min="14853" max="14853" width="16.7109375" style="12" customWidth="1"/>
    <col min="14854" max="15102" width="9.140625" style="12"/>
    <col min="15103" max="15103" width="4" style="12" bestFit="1" customWidth="1"/>
    <col min="15104" max="15104" width="26.7109375" style="12" bestFit="1" customWidth="1"/>
    <col min="15105" max="15105" width="22.7109375" style="12" bestFit="1" customWidth="1"/>
    <col min="15106" max="15106" width="32.5703125" style="12" customWidth="1"/>
    <col min="15107" max="15107" width="57.28515625" style="12" customWidth="1"/>
    <col min="15108" max="15108" width="15.5703125" style="12" customWidth="1"/>
    <col min="15109" max="15109" width="16.7109375" style="12" customWidth="1"/>
    <col min="15110" max="15358" width="9.140625" style="12"/>
    <col min="15359" max="15359" width="4" style="12" bestFit="1" customWidth="1"/>
    <col min="15360" max="15360" width="26.7109375" style="12" bestFit="1" customWidth="1"/>
    <col min="15361" max="15361" width="22.7109375" style="12" bestFit="1" customWidth="1"/>
    <col min="15362" max="15362" width="32.5703125" style="12" customWidth="1"/>
    <col min="15363" max="15363" width="57.28515625" style="12" customWidth="1"/>
    <col min="15364" max="15364" width="15.5703125" style="12" customWidth="1"/>
    <col min="15365" max="15365" width="16.7109375" style="12" customWidth="1"/>
    <col min="15366" max="15614" width="9.140625" style="12"/>
    <col min="15615" max="15615" width="4" style="12" bestFit="1" customWidth="1"/>
    <col min="15616" max="15616" width="26.7109375" style="12" bestFit="1" customWidth="1"/>
    <col min="15617" max="15617" width="22.7109375" style="12" bestFit="1" customWidth="1"/>
    <col min="15618" max="15618" width="32.5703125" style="12" customWidth="1"/>
    <col min="15619" max="15619" width="57.28515625" style="12" customWidth="1"/>
    <col min="15620" max="15620" width="15.5703125" style="12" customWidth="1"/>
    <col min="15621" max="15621" width="16.7109375" style="12" customWidth="1"/>
    <col min="15622" max="15870" width="9.140625" style="12"/>
    <col min="15871" max="15871" width="4" style="12" bestFit="1" customWidth="1"/>
    <col min="15872" max="15872" width="26.7109375" style="12" bestFit="1" customWidth="1"/>
    <col min="15873" max="15873" width="22.7109375" style="12" bestFit="1" customWidth="1"/>
    <col min="15874" max="15874" width="32.5703125" style="12" customWidth="1"/>
    <col min="15875" max="15875" width="57.28515625" style="12" customWidth="1"/>
    <col min="15876" max="15876" width="15.5703125" style="12" customWidth="1"/>
    <col min="15877" max="15877" width="16.7109375" style="12" customWidth="1"/>
    <col min="15878" max="16126" width="9.140625" style="12"/>
    <col min="16127" max="16127" width="4" style="12" bestFit="1" customWidth="1"/>
    <col min="16128" max="16128" width="26.7109375" style="12" bestFit="1" customWidth="1"/>
    <col min="16129" max="16129" width="22.7109375" style="12" bestFit="1" customWidth="1"/>
    <col min="16130" max="16130" width="32.5703125" style="12" customWidth="1"/>
    <col min="16131" max="16131" width="57.28515625" style="12" customWidth="1"/>
    <col min="16132" max="16132" width="15.5703125" style="12" customWidth="1"/>
    <col min="16133" max="16133" width="16.7109375" style="12" customWidth="1"/>
    <col min="16134" max="16384" width="9.140625" style="12"/>
  </cols>
  <sheetData>
    <row r="1" spans="1:8" s="7" customFormat="1" ht="21" customHeight="1" x14ac:dyDescent="0.25">
      <c r="A1" s="132" t="s">
        <v>4</v>
      </c>
      <c r="B1" s="133"/>
      <c r="C1" s="134"/>
      <c r="D1" s="138" t="str">
        <f>Copertina!C7</f>
        <v>Scheda nr. 20 - Avvocatura SIES Sede</v>
      </c>
      <c r="E1" s="139"/>
      <c r="F1" s="139"/>
      <c r="G1" s="140"/>
      <c r="H1" s="6"/>
    </row>
    <row r="2" spans="1:8" s="7" customFormat="1" ht="20.25" customHeight="1" thickBot="1" x14ac:dyDescent="0.3">
      <c r="A2" s="135" t="s">
        <v>12</v>
      </c>
      <c r="B2" s="136"/>
      <c r="C2" s="137"/>
      <c r="D2" s="141" t="str">
        <f>Copertina!C3</f>
        <v>SIUT-SIE-CT-1.0-20200407-Allegato-al-piano-test AVVOCATURA.xlsx</v>
      </c>
      <c r="E2" s="142"/>
      <c r="F2" s="142"/>
      <c r="G2" s="143"/>
      <c r="H2" s="8"/>
    </row>
    <row r="3" spans="1:8" ht="42" customHeight="1" thickBot="1" x14ac:dyDescent="0.3">
      <c r="A3" s="9" t="s">
        <v>8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G3" s="11" t="s">
        <v>19</v>
      </c>
    </row>
    <row r="4" spans="1:8" ht="45" x14ac:dyDescent="0.25">
      <c r="A4" s="44" t="s">
        <v>46</v>
      </c>
      <c r="B4" s="45" t="s">
        <v>47</v>
      </c>
      <c r="C4" s="45" t="s">
        <v>48</v>
      </c>
      <c r="D4" s="45" t="s">
        <v>49</v>
      </c>
      <c r="E4" s="46" t="s">
        <v>50</v>
      </c>
      <c r="F4" s="47" t="s">
        <v>51</v>
      </c>
      <c r="G4" s="46"/>
    </row>
    <row r="5" spans="1:8" ht="30" x14ac:dyDescent="0.25">
      <c r="A5" s="44" t="s">
        <v>52</v>
      </c>
      <c r="B5" s="45" t="s">
        <v>47</v>
      </c>
      <c r="C5" s="45" t="s">
        <v>53</v>
      </c>
      <c r="D5" s="45" t="s">
        <v>54</v>
      </c>
      <c r="E5" s="45" t="s">
        <v>55</v>
      </c>
      <c r="F5" s="48" t="s">
        <v>51</v>
      </c>
      <c r="G5" s="45"/>
    </row>
    <row r="6" spans="1:8" ht="30" x14ac:dyDescent="0.25">
      <c r="A6" s="44" t="s">
        <v>56</v>
      </c>
      <c r="B6" s="45" t="s">
        <v>47</v>
      </c>
      <c r="C6" s="45" t="s">
        <v>57</v>
      </c>
      <c r="D6" s="45" t="s">
        <v>58</v>
      </c>
      <c r="E6" s="45" t="s">
        <v>59</v>
      </c>
      <c r="F6" s="48" t="s">
        <v>51</v>
      </c>
      <c r="G6" s="45"/>
    </row>
    <row r="7" spans="1:8" ht="30" x14ac:dyDescent="0.25">
      <c r="A7" s="44" t="s">
        <v>60</v>
      </c>
      <c r="B7" s="45" t="s">
        <v>61</v>
      </c>
      <c r="C7" s="45" t="s">
        <v>62</v>
      </c>
      <c r="D7" s="45" t="s">
        <v>63</v>
      </c>
      <c r="E7" s="45" t="s">
        <v>64</v>
      </c>
      <c r="F7" s="48" t="s">
        <v>51</v>
      </c>
      <c r="G7" s="45"/>
    </row>
    <row r="8" spans="1:8" ht="60" x14ac:dyDescent="0.25">
      <c r="A8" s="44" t="s">
        <v>65</v>
      </c>
      <c r="B8" s="45" t="s">
        <v>66</v>
      </c>
      <c r="C8" s="45" t="s">
        <v>67</v>
      </c>
      <c r="D8" s="45" t="s">
        <v>68</v>
      </c>
      <c r="E8" s="45" t="s">
        <v>69</v>
      </c>
      <c r="F8" s="48" t="s">
        <v>51</v>
      </c>
      <c r="G8" s="45"/>
    </row>
    <row r="9" spans="1:8" ht="30" x14ac:dyDescent="0.25">
      <c r="A9" s="44" t="s">
        <v>70</v>
      </c>
      <c r="B9" s="45" t="s">
        <v>66</v>
      </c>
      <c r="C9" s="45" t="s">
        <v>67</v>
      </c>
      <c r="D9" s="45" t="s">
        <v>71</v>
      </c>
      <c r="E9" s="45" t="s">
        <v>72</v>
      </c>
      <c r="F9" s="48" t="s">
        <v>51</v>
      </c>
      <c r="G9" s="45"/>
    </row>
    <row r="10" spans="1:8" ht="30" x14ac:dyDescent="0.25">
      <c r="A10" s="44" t="s">
        <v>73</v>
      </c>
      <c r="B10" s="45" t="s">
        <v>66</v>
      </c>
      <c r="C10" s="45" t="s">
        <v>67</v>
      </c>
      <c r="D10" s="45" t="s">
        <v>74</v>
      </c>
      <c r="E10" s="45" t="s">
        <v>75</v>
      </c>
      <c r="F10" s="48" t="s">
        <v>51</v>
      </c>
      <c r="G10" s="45"/>
    </row>
    <row r="11" spans="1:8" ht="60" x14ac:dyDescent="0.25">
      <c r="A11" s="44" t="s">
        <v>76</v>
      </c>
      <c r="B11" s="45" t="s">
        <v>66</v>
      </c>
      <c r="C11" s="45" t="s">
        <v>77</v>
      </c>
      <c r="D11" s="45" t="s">
        <v>78</v>
      </c>
      <c r="E11" s="45" t="s">
        <v>79</v>
      </c>
      <c r="F11" s="48" t="s">
        <v>51</v>
      </c>
      <c r="G11" s="45"/>
    </row>
  </sheetData>
  <mergeCells count="4">
    <mergeCell ref="A1:C1"/>
    <mergeCell ref="A2:C2"/>
    <mergeCell ref="D1:G1"/>
    <mergeCell ref="D2:G2"/>
  </mergeCells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workbookViewId="0">
      <selection sqref="A1:XFD1048576"/>
    </sheetView>
  </sheetViews>
  <sheetFormatPr defaultRowHeight="12.75" x14ac:dyDescent="0.2"/>
  <cols>
    <col min="1" max="1" width="24.140625" style="19" customWidth="1"/>
    <col min="2" max="2" width="29.85546875" style="19" customWidth="1"/>
    <col min="3" max="3" width="28.140625" style="19" customWidth="1"/>
    <col min="4" max="4" width="27" style="19" customWidth="1"/>
    <col min="5" max="5" width="30.5703125" style="19" customWidth="1"/>
    <col min="6" max="6" width="1.7109375" style="19" customWidth="1"/>
    <col min="7" max="7" width="9.140625" style="28"/>
    <col min="8" max="256" width="9.140625" style="19"/>
    <col min="257" max="257" width="24.140625" style="19" customWidth="1"/>
    <col min="258" max="258" width="29.85546875" style="19" customWidth="1"/>
    <col min="259" max="259" width="28.140625" style="19" customWidth="1"/>
    <col min="260" max="260" width="27" style="19" customWidth="1"/>
    <col min="261" max="261" width="30.5703125" style="19" customWidth="1"/>
    <col min="262" max="262" width="1.7109375" style="19" customWidth="1"/>
    <col min="263" max="512" width="9.140625" style="19"/>
    <col min="513" max="513" width="24.140625" style="19" customWidth="1"/>
    <col min="514" max="514" width="29.85546875" style="19" customWidth="1"/>
    <col min="515" max="515" width="28.140625" style="19" customWidth="1"/>
    <col min="516" max="516" width="27" style="19" customWidth="1"/>
    <col min="517" max="517" width="30.5703125" style="19" customWidth="1"/>
    <col min="518" max="518" width="1.7109375" style="19" customWidth="1"/>
    <col min="519" max="768" width="9.140625" style="19"/>
    <col min="769" max="769" width="24.140625" style="19" customWidth="1"/>
    <col min="770" max="770" width="29.85546875" style="19" customWidth="1"/>
    <col min="771" max="771" width="28.140625" style="19" customWidth="1"/>
    <col min="772" max="772" width="27" style="19" customWidth="1"/>
    <col min="773" max="773" width="30.5703125" style="19" customWidth="1"/>
    <col min="774" max="774" width="1.7109375" style="19" customWidth="1"/>
    <col min="775" max="1024" width="9.140625" style="19"/>
    <col min="1025" max="1025" width="24.140625" style="19" customWidth="1"/>
    <col min="1026" max="1026" width="29.85546875" style="19" customWidth="1"/>
    <col min="1027" max="1027" width="28.140625" style="19" customWidth="1"/>
    <col min="1028" max="1028" width="27" style="19" customWidth="1"/>
    <col min="1029" max="1029" width="30.5703125" style="19" customWidth="1"/>
    <col min="1030" max="1030" width="1.7109375" style="19" customWidth="1"/>
    <col min="1031" max="1280" width="9.140625" style="19"/>
    <col min="1281" max="1281" width="24.140625" style="19" customWidth="1"/>
    <col min="1282" max="1282" width="29.85546875" style="19" customWidth="1"/>
    <col min="1283" max="1283" width="28.140625" style="19" customWidth="1"/>
    <col min="1284" max="1284" width="27" style="19" customWidth="1"/>
    <col min="1285" max="1285" width="30.5703125" style="19" customWidth="1"/>
    <col min="1286" max="1286" width="1.7109375" style="19" customWidth="1"/>
    <col min="1287" max="1536" width="9.140625" style="19"/>
    <col min="1537" max="1537" width="24.140625" style="19" customWidth="1"/>
    <col min="1538" max="1538" width="29.85546875" style="19" customWidth="1"/>
    <col min="1539" max="1539" width="28.140625" style="19" customWidth="1"/>
    <col min="1540" max="1540" width="27" style="19" customWidth="1"/>
    <col min="1541" max="1541" width="30.5703125" style="19" customWidth="1"/>
    <col min="1542" max="1542" width="1.7109375" style="19" customWidth="1"/>
    <col min="1543" max="1792" width="9.140625" style="19"/>
    <col min="1793" max="1793" width="24.140625" style="19" customWidth="1"/>
    <col min="1794" max="1794" width="29.85546875" style="19" customWidth="1"/>
    <col min="1795" max="1795" width="28.140625" style="19" customWidth="1"/>
    <col min="1796" max="1796" width="27" style="19" customWidth="1"/>
    <col min="1797" max="1797" width="30.5703125" style="19" customWidth="1"/>
    <col min="1798" max="1798" width="1.7109375" style="19" customWidth="1"/>
    <col min="1799" max="2048" width="9.140625" style="19"/>
    <col min="2049" max="2049" width="24.140625" style="19" customWidth="1"/>
    <col min="2050" max="2050" width="29.85546875" style="19" customWidth="1"/>
    <col min="2051" max="2051" width="28.140625" style="19" customWidth="1"/>
    <col min="2052" max="2052" width="27" style="19" customWidth="1"/>
    <col min="2053" max="2053" width="30.5703125" style="19" customWidth="1"/>
    <col min="2054" max="2054" width="1.7109375" style="19" customWidth="1"/>
    <col min="2055" max="2304" width="9.140625" style="19"/>
    <col min="2305" max="2305" width="24.140625" style="19" customWidth="1"/>
    <col min="2306" max="2306" width="29.85546875" style="19" customWidth="1"/>
    <col min="2307" max="2307" width="28.140625" style="19" customWidth="1"/>
    <col min="2308" max="2308" width="27" style="19" customWidth="1"/>
    <col min="2309" max="2309" width="30.5703125" style="19" customWidth="1"/>
    <col min="2310" max="2310" width="1.7109375" style="19" customWidth="1"/>
    <col min="2311" max="2560" width="9.140625" style="19"/>
    <col min="2561" max="2561" width="24.140625" style="19" customWidth="1"/>
    <col min="2562" max="2562" width="29.85546875" style="19" customWidth="1"/>
    <col min="2563" max="2563" width="28.140625" style="19" customWidth="1"/>
    <col min="2564" max="2564" width="27" style="19" customWidth="1"/>
    <col min="2565" max="2565" width="30.5703125" style="19" customWidth="1"/>
    <col min="2566" max="2566" width="1.7109375" style="19" customWidth="1"/>
    <col min="2567" max="2816" width="9.140625" style="19"/>
    <col min="2817" max="2817" width="24.140625" style="19" customWidth="1"/>
    <col min="2818" max="2818" width="29.85546875" style="19" customWidth="1"/>
    <col min="2819" max="2819" width="28.140625" style="19" customWidth="1"/>
    <col min="2820" max="2820" width="27" style="19" customWidth="1"/>
    <col min="2821" max="2821" width="30.5703125" style="19" customWidth="1"/>
    <col min="2822" max="2822" width="1.7109375" style="19" customWidth="1"/>
    <col min="2823" max="3072" width="9.140625" style="19"/>
    <col min="3073" max="3073" width="24.140625" style="19" customWidth="1"/>
    <col min="3074" max="3074" width="29.85546875" style="19" customWidth="1"/>
    <col min="3075" max="3075" width="28.140625" style="19" customWidth="1"/>
    <col min="3076" max="3076" width="27" style="19" customWidth="1"/>
    <col min="3077" max="3077" width="30.5703125" style="19" customWidth="1"/>
    <col min="3078" max="3078" width="1.7109375" style="19" customWidth="1"/>
    <col min="3079" max="3328" width="9.140625" style="19"/>
    <col min="3329" max="3329" width="24.140625" style="19" customWidth="1"/>
    <col min="3330" max="3330" width="29.85546875" style="19" customWidth="1"/>
    <col min="3331" max="3331" width="28.140625" style="19" customWidth="1"/>
    <col min="3332" max="3332" width="27" style="19" customWidth="1"/>
    <col min="3333" max="3333" width="30.5703125" style="19" customWidth="1"/>
    <col min="3334" max="3334" width="1.7109375" style="19" customWidth="1"/>
    <col min="3335" max="3584" width="9.140625" style="19"/>
    <col min="3585" max="3585" width="24.140625" style="19" customWidth="1"/>
    <col min="3586" max="3586" width="29.85546875" style="19" customWidth="1"/>
    <col min="3587" max="3587" width="28.140625" style="19" customWidth="1"/>
    <col min="3588" max="3588" width="27" style="19" customWidth="1"/>
    <col min="3589" max="3589" width="30.5703125" style="19" customWidth="1"/>
    <col min="3590" max="3590" width="1.7109375" style="19" customWidth="1"/>
    <col min="3591" max="3840" width="9.140625" style="19"/>
    <col min="3841" max="3841" width="24.140625" style="19" customWidth="1"/>
    <col min="3842" max="3842" width="29.85546875" style="19" customWidth="1"/>
    <col min="3843" max="3843" width="28.140625" style="19" customWidth="1"/>
    <col min="3844" max="3844" width="27" style="19" customWidth="1"/>
    <col min="3845" max="3845" width="30.5703125" style="19" customWidth="1"/>
    <col min="3846" max="3846" width="1.7109375" style="19" customWidth="1"/>
    <col min="3847" max="4096" width="9.140625" style="19"/>
    <col min="4097" max="4097" width="24.140625" style="19" customWidth="1"/>
    <col min="4098" max="4098" width="29.85546875" style="19" customWidth="1"/>
    <col min="4099" max="4099" width="28.140625" style="19" customWidth="1"/>
    <col min="4100" max="4100" width="27" style="19" customWidth="1"/>
    <col min="4101" max="4101" width="30.5703125" style="19" customWidth="1"/>
    <col min="4102" max="4102" width="1.7109375" style="19" customWidth="1"/>
    <col min="4103" max="4352" width="9.140625" style="19"/>
    <col min="4353" max="4353" width="24.140625" style="19" customWidth="1"/>
    <col min="4354" max="4354" width="29.85546875" style="19" customWidth="1"/>
    <col min="4355" max="4355" width="28.140625" style="19" customWidth="1"/>
    <col min="4356" max="4356" width="27" style="19" customWidth="1"/>
    <col min="4357" max="4357" width="30.5703125" style="19" customWidth="1"/>
    <col min="4358" max="4358" width="1.7109375" style="19" customWidth="1"/>
    <col min="4359" max="4608" width="9.140625" style="19"/>
    <col min="4609" max="4609" width="24.140625" style="19" customWidth="1"/>
    <col min="4610" max="4610" width="29.85546875" style="19" customWidth="1"/>
    <col min="4611" max="4611" width="28.140625" style="19" customWidth="1"/>
    <col min="4612" max="4612" width="27" style="19" customWidth="1"/>
    <col min="4613" max="4613" width="30.5703125" style="19" customWidth="1"/>
    <col min="4614" max="4614" width="1.7109375" style="19" customWidth="1"/>
    <col min="4615" max="4864" width="9.140625" style="19"/>
    <col min="4865" max="4865" width="24.140625" style="19" customWidth="1"/>
    <col min="4866" max="4866" width="29.85546875" style="19" customWidth="1"/>
    <col min="4867" max="4867" width="28.140625" style="19" customWidth="1"/>
    <col min="4868" max="4868" width="27" style="19" customWidth="1"/>
    <col min="4869" max="4869" width="30.5703125" style="19" customWidth="1"/>
    <col min="4870" max="4870" width="1.7109375" style="19" customWidth="1"/>
    <col min="4871" max="5120" width="9.140625" style="19"/>
    <col min="5121" max="5121" width="24.140625" style="19" customWidth="1"/>
    <col min="5122" max="5122" width="29.85546875" style="19" customWidth="1"/>
    <col min="5123" max="5123" width="28.140625" style="19" customWidth="1"/>
    <col min="5124" max="5124" width="27" style="19" customWidth="1"/>
    <col min="5125" max="5125" width="30.5703125" style="19" customWidth="1"/>
    <col min="5126" max="5126" width="1.7109375" style="19" customWidth="1"/>
    <col min="5127" max="5376" width="9.140625" style="19"/>
    <col min="5377" max="5377" width="24.140625" style="19" customWidth="1"/>
    <col min="5378" max="5378" width="29.85546875" style="19" customWidth="1"/>
    <col min="5379" max="5379" width="28.140625" style="19" customWidth="1"/>
    <col min="5380" max="5380" width="27" style="19" customWidth="1"/>
    <col min="5381" max="5381" width="30.5703125" style="19" customWidth="1"/>
    <col min="5382" max="5382" width="1.7109375" style="19" customWidth="1"/>
    <col min="5383" max="5632" width="9.140625" style="19"/>
    <col min="5633" max="5633" width="24.140625" style="19" customWidth="1"/>
    <col min="5634" max="5634" width="29.85546875" style="19" customWidth="1"/>
    <col min="5635" max="5635" width="28.140625" style="19" customWidth="1"/>
    <col min="5636" max="5636" width="27" style="19" customWidth="1"/>
    <col min="5637" max="5637" width="30.5703125" style="19" customWidth="1"/>
    <col min="5638" max="5638" width="1.7109375" style="19" customWidth="1"/>
    <col min="5639" max="5888" width="9.140625" style="19"/>
    <col min="5889" max="5889" width="24.140625" style="19" customWidth="1"/>
    <col min="5890" max="5890" width="29.85546875" style="19" customWidth="1"/>
    <col min="5891" max="5891" width="28.140625" style="19" customWidth="1"/>
    <col min="5892" max="5892" width="27" style="19" customWidth="1"/>
    <col min="5893" max="5893" width="30.5703125" style="19" customWidth="1"/>
    <col min="5894" max="5894" width="1.7109375" style="19" customWidth="1"/>
    <col min="5895" max="6144" width="9.140625" style="19"/>
    <col min="6145" max="6145" width="24.140625" style="19" customWidth="1"/>
    <col min="6146" max="6146" width="29.85546875" style="19" customWidth="1"/>
    <col min="6147" max="6147" width="28.140625" style="19" customWidth="1"/>
    <col min="6148" max="6148" width="27" style="19" customWidth="1"/>
    <col min="6149" max="6149" width="30.5703125" style="19" customWidth="1"/>
    <col min="6150" max="6150" width="1.7109375" style="19" customWidth="1"/>
    <col min="6151" max="6400" width="9.140625" style="19"/>
    <col min="6401" max="6401" width="24.140625" style="19" customWidth="1"/>
    <col min="6402" max="6402" width="29.85546875" style="19" customWidth="1"/>
    <col min="6403" max="6403" width="28.140625" style="19" customWidth="1"/>
    <col min="6404" max="6404" width="27" style="19" customWidth="1"/>
    <col min="6405" max="6405" width="30.5703125" style="19" customWidth="1"/>
    <col min="6406" max="6406" width="1.7109375" style="19" customWidth="1"/>
    <col min="6407" max="6656" width="9.140625" style="19"/>
    <col min="6657" max="6657" width="24.140625" style="19" customWidth="1"/>
    <col min="6658" max="6658" width="29.85546875" style="19" customWidth="1"/>
    <col min="6659" max="6659" width="28.140625" style="19" customWidth="1"/>
    <col min="6660" max="6660" width="27" style="19" customWidth="1"/>
    <col min="6661" max="6661" width="30.5703125" style="19" customWidth="1"/>
    <col min="6662" max="6662" width="1.7109375" style="19" customWidth="1"/>
    <col min="6663" max="6912" width="9.140625" style="19"/>
    <col min="6913" max="6913" width="24.140625" style="19" customWidth="1"/>
    <col min="6914" max="6914" width="29.85546875" style="19" customWidth="1"/>
    <col min="6915" max="6915" width="28.140625" style="19" customWidth="1"/>
    <col min="6916" max="6916" width="27" style="19" customWidth="1"/>
    <col min="6917" max="6917" width="30.5703125" style="19" customWidth="1"/>
    <col min="6918" max="6918" width="1.7109375" style="19" customWidth="1"/>
    <col min="6919" max="7168" width="9.140625" style="19"/>
    <col min="7169" max="7169" width="24.140625" style="19" customWidth="1"/>
    <col min="7170" max="7170" width="29.85546875" style="19" customWidth="1"/>
    <col min="7171" max="7171" width="28.140625" style="19" customWidth="1"/>
    <col min="7172" max="7172" width="27" style="19" customWidth="1"/>
    <col min="7173" max="7173" width="30.5703125" style="19" customWidth="1"/>
    <col min="7174" max="7174" width="1.7109375" style="19" customWidth="1"/>
    <col min="7175" max="7424" width="9.140625" style="19"/>
    <col min="7425" max="7425" width="24.140625" style="19" customWidth="1"/>
    <col min="7426" max="7426" width="29.85546875" style="19" customWidth="1"/>
    <col min="7427" max="7427" width="28.140625" style="19" customWidth="1"/>
    <col min="7428" max="7428" width="27" style="19" customWidth="1"/>
    <col min="7429" max="7429" width="30.5703125" style="19" customWidth="1"/>
    <col min="7430" max="7430" width="1.7109375" style="19" customWidth="1"/>
    <col min="7431" max="7680" width="9.140625" style="19"/>
    <col min="7681" max="7681" width="24.140625" style="19" customWidth="1"/>
    <col min="7682" max="7682" width="29.85546875" style="19" customWidth="1"/>
    <col min="7683" max="7683" width="28.140625" style="19" customWidth="1"/>
    <col min="7684" max="7684" width="27" style="19" customWidth="1"/>
    <col min="7685" max="7685" width="30.5703125" style="19" customWidth="1"/>
    <col min="7686" max="7686" width="1.7109375" style="19" customWidth="1"/>
    <col min="7687" max="7936" width="9.140625" style="19"/>
    <col min="7937" max="7937" width="24.140625" style="19" customWidth="1"/>
    <col min="7938" max="7938" width="29.85546875" style="19" customWidth="1"/>
    <col min="7939" max="7939" width="28.140625" style="19" customWidth="1"/>
    <col min="7940" max="7940" width="27" style="19" customWidth="1"/>
    <col min="7941" max="7941" width="30.5703125" style="19" customWidth="1"/>
    <col min="7942" max="7942" width="1.7109375" style="19" customWidth="1"/>
    <col min="7943" max="8192" width="9.140625" style="19"/>
    <col min="8193" max="8193" width="24.140625" style="19" customWidth="1"/>
    <col min="8194" max="8194" width="29.85546875" style="19" customWidth="1"/>
    <col min="8195" max="8195" width="28.140625" style="19" customWidth="1"/>
    <col min="8196" max="8196" width="27" style="19" customWidth="1"/>
    <col min="8197" max="8197" width="30.5703125" style="19" customWidth="1"/>
    <col min="8198" max="8198" width="1.7109375" style="19" customWidth="1"/>
    <col min="8199" max="8448" width="9.140625" style="19"/>
    <col min="8449" max="8449" width="24.140625" style="19" customWidth="1"/>
    <col min="8450" max="8450" width="29.85546875" style="19" customWidth="1"/>
    <col min="8451" max="8451" width="28.140625" style="19" customWidth="1"/>
    <col min="8452" max="8452" width="27" style="19" customWidth="1"/>
    <col min="8453" max="8453" width="30.5703125" style="19" customWidth="1"/>
    <col min="8454" max="8454" width="1.7109375" style="19" customWidth="1"/>
    <col min="8455" max="8704" width="9.140625" style="19"/>
    <col min="8705" max="8705" width="24.140625" style="19" customWidth="1"/>
    <col min="8706" max="8706" width="29.85546875" style="19" customWidth="1"/>
    <col min="8707" max="8707" width="28.140625" style="19" customWidth="1"/>
    <col min="8708" max="8708" width="27" style="19" customWidth="1"/>
    <col min="8709" max="8709" width="30.5703125" style="19" customWidth="1"/>
    <col min="8710" max="8710" width="1.7109375" style="19" customWidth="1"/>
    <col min="8711" max="8960" width="9.140625" style="19"/>
    <col min="8961" max="8961" width="24.140625" style="19" customWidth="1"/>
    <col min="8962" max="8962" width="29.85546875" style="19" customWidth="1"/>
    <col min="8963" max="8963" width="28.140625" style="19" customWidth="1"/>
    <col min="8964" max="8964" width="27" style="19" customWidth="1"/>
    <col min="8965" max="8965" width="30.5703125" style="19" customWidth="1"/>
    <col min="8966" max="8966" width="1.7109375" style="19" customWidth="1"/>
    <col min="8967" max="9216" width="9.140625" style="19"/>
    <col min="9217" max="9217" width="24.140625" style="19" customWidth="1"/>
    <col min="9218" max="9218" width="29.85546875" style="19" customWidth="1"/>
    <col min="9219" max="9219" width="28.140625" style="19" customWidth="1"/>
    <col min="9220" max="9220" width="27" style="19" customWidth="1"/>
    <col min="9221" max="9221" width="30.5703125" style="19" customWidth="1"/>
    <col min="9222" max="9222" width="1.7109375" style="19" customWidth="1"/>
    <col min="9223" max="9472" width="9.140625" style="19"/>
    <col min="9473" max="9473" width="24.140625" style="19" customWidth="1"/>
    <col min="9474" max="9474" width="29.85546875" style="19" customWidth="1"/>
    <col min="9475" max="9475" width="28.140625" style="19" customWidth="1"/>
    <col min="9476" max="9476" width="27" style="19" customWidth="1"/>
    <col min="9477" max="9477" width="30.5703125" style="19" customWidth="1"/>
    <col min="9478" max="9478" width="1.7109375" style="19" customWidth="1"/>
    <col min="9479" max="9728" width="9.140625" style="19"/>
    <col min="9729" max="9729" width="24.140625" style="19" customWidth="1"/>
    <col min="9730" max="9730" width="29.85546875" style="19" customWidth="1"/>
    <col min="9731" max="9731" width="28.140625" style="19" customWidth="1"/>
    <col min="9732" max="9732" width="27" style="19" customWidth="1"/>
    <col min="9733" max="9733" width="30.5703125" style="19" customWidth="1"/>
    <col min="9734" max="9734" width="1.7109375" style="19" customWidth="1"/>
    <col min="9735" max="9984" width="9.140625" style="19"/>
    <col min="9985" max="9985" width="24.140625" style="19" customWidth="1"/>
    <col min="9986" max="9986" width="29.85546875" style="19" customWidth="1"/>
    <col min="9987" max="9987" width="28.140625" style="19" customWidth="1"/>
    <col min="9988" max="9988" width="27" style="19" customWidth="1"/>
    <col min="9989" max="9989" width="30.5703125" style="19" customWidth="1"/>
    <col min="9990" max="9990" width="1.7109375" style="19" customWidth="1"/>
    <col min="9991" max="10240" width="9.140625" style="19"/>
    <col min="10241" max="10241" width="24.140625" style="19" customWidth="1"/>
    <col min="10242" max="10242" width="29.85546875" style="19" customWidth="1"/>
    <col min="10243" max="10243" width="28.140625" style="19" customWidth="1"/>
    <col min="10244" max="10244" width="27" style="19" customWidth="1"/>
    <col min="10245" max="10245" width="30.5703125" style="19" customWidth="1"/>
    <col min="10246" max="10246" width="1.7109375" style="19" customWidth="1"/>
    <col min="10247" max="10496" width="9.140625" style="19"/>
    <col min="10497" max="10497" width="24.140625" style="19" customWidth="1"/>
    <col min="10498" max="10498" width="29.85546875" style="19" customWidth="1"/>
    <col min="10499" max="10499" width="28.140625" style="19" customWidth="1"/>
    <col min="10500" max="10500" width="27" style="19" customWidth="1"/>
    <col min="10501" max="10501" width="30.5703125" style="19" customWidth="1"/>
    <col min="10502" max="10502" width="1.7109375" style="19" customWidth="1"/>
    <col min="10503" max="10752" width="9.140625" style="19"/>
    <col min="10753" max="10753" width="24.140625" style="19" customWidth="1"/>
    <col min="10754" max="10754" width="29.85546875" style="19" customWidth="1"/>
    <col min="10755" max="10755" width="28.140625" style="19" customWidth="1"/>
    <col min="10756" max="10756" width="27" style="19" customWidth="1"/>
    <col min="10757" max="10757" width="30.5703125" style="19" customWidth="1"/>
    <col min="10758" max="10758" width="1.7109375" style="19" customWidth="1"/>
    <col min="10759" max="11008" width="9.140625" style="19"/>
    <col min="11009" max="11009" width="24.140625" style="19" customWidth="1"/>
    <col min="11010" max="11010" width="29.85546875" style="19" customWidth="1"/>
    <col min="11011" max="11011" width="28.140625" style="19" customWidth="1"/>
    <col min="11012" max="11012" width="27" style="19" customWidth="1"/>
    <col min="11013" max="11013" width="30.5703125" style="19" customWidth="1"/>
    <col min="11014" max="11014" width="1.7109375" style="19" customWidth="1"/>
    <col min="11015" max="11264" width="9.140625" style="19"/>
    <col min="11265" max="11265" width="24.140625" style="19" customWidth="1"/>
    <col min="11266" max="11266" width="29.85546875" style="19" customWidth="1"/>
    <col min="11267" max="11267" width="28.140625" style="19" customWidth="1"/>
    <col min="11268" max="11268" width="27" style="19" customWidth="1"/>
    <col min="11269" max="11269" width="30.5703125" style="19" customWidth="1"/>
    <col min="11270" max="11270" width="1.7109375" style="19" customWidth="1"/>
    <col min="11271" max="11520" width="9.140625" style="19"/>
    <col min="11521" max="11521" width="24.140625" style="19" customWidth="1"/>
    <col min="11522" max="11522" width="29.85546875" style="19" customWidth="1"/>
    <col min="11523" max="11523" width="28.140625" style="19" customWidth="1"/>
    <col min="11524" max="11524" width="27" style="19" customWidth="1"/>
    <col min="11525" max="11525" width="30.5703125" style="19" customWidth="1"/>
    <col min="11526" max="11526" width="1.7109375" style="19" customWidth="1"/>
    <col min="11527" max="11776" width="9.140625" style="19"/>
    <col min="11777" max="11777" width="24.140625" style="19" customWidth="1"/>
    <col min="11778" max="11778" width="29.85546875" style="19" customWidth="1"/>
    <col min="11779" max="11779" width="28.140625" style="19" customWidth="1"/>
    <col min="11780" max="11780" width="27" style="19" customWidth="1"/>
    <col min="11781" max="11781" width="30.5703125" style="19" customWidth="1"/>
    <col min="11782" max="11782" width="1.7109375" style="19" customWidth="1"/>
    <col min="11783" max="12032" width="9.140625" style="19"/>
    <col min="12033" max="12033" width="24.140625" style="19" customWidth="1"/>
    <col min="12034" max="12034" width="29.85546875" style="19" customWidth="1"/>
    <col min="12035" max="12035" width="28.140625" style="19" customWidth="1"/>
    <col min="12036" max="12036" width="27" style="19" customWidth="1"/>
    <col min="12037" max="12037" width="30.5703125" style="19" customWidth="1"/>
    <col min="12038" max="12038" width="1.7109375" style="19" customWidth="1"/>
    <col min="12039" max="12288" width="9.140625" style="19"/>
    <col min="12289" max="12289" width="24.140625" style="19" customWidth="1"/>
    <col min="12290" max="12290" width="29.85546875" style="19" customWidth="1"/>
    <col min="12291" max="12291" width="28.140625" style="19" customWidth="1"/>
    <col min="12292" max="12292" width="27" style="19" customWidth="1"/>
    <col min="12293" max="12293" width="30.5703125" style="19" customWidth="1"/>
    <col min="12294" max="12294" width="1.7109375" style="19" customWidth="1"/>
    <col min="12295" max="12544" width="9.140625" style="19"/>
    <col min="12545" max="12545" width="24.140625" style="19" customWidth="1"/>
    <col min="12546" max="12546" width="29.85546875" style="19" customWidth="1"/>
    <col min="12547" max="12547" width="28.140625" style="19" customWidth="1"/>
    <col min="12548" max="12548" width="27" style="19" customWidth="1"/>
    <col min="12549" max="12549" width="30.5703125" style="19" customWidth="1"/>
    <col min="12550" max="12550" width="1.7109375" style="19" customWidth="1"/>
    <col min="12551" max="12800" width="9.140625" style="19"/>
    <col min="12801" max="12801" width="24.140625" style="19" customWidth="1"/>
    <col min="12802" max="12802" width="29.85546875" style="19" customWidth="1"/>
    <col min="12803" max="12803" width="28.140625" style="19" customWidth="1"/>
    <col min="12804" max="12804" width="27" style="19" customWidth="1"/>
    <col min="12805" max="12805" width="30.5703125" style="19" customWidth="1"/>
    <col min="12806" max="12806" width="1.7109375" style="19" customWidth="1"/>
    <col min="12807" max="13056" width="9.140625" style="19"/>
    <col min="13057" max="13057" width="24.140625" style="19" customWidth="1"/>
    <col min="13058" max="13058" width="29.85546875" style="19" customWidth="1"/>
    <col min="13059" max="13059" width="28.140625" style="19" customWidth="1"/>
    <col min="13060" max="13060" width="27" style="19" customWidth="1"/>
    <col min="13061" max="13061" width="30.5703125" style="19" customWidth="1"/>
    <col min="13062" max="13062" width="1.7109375" style="19" customWidth="1"/>
    <col min="13063" max="13312" width="9.140625" style="19"/>
    <col min="13313" max="13313" width="24.140625" style="19" customWidth="1"/>
    <col min="13314" max="13314" width="29.85546875" style="19" customWidth="1"/>
    <col min="13315" max="13315" width="28.140625" style="19" customWidth="1"/>
    <col min="13316" max="13316" width="27" style="19" customWidth="1"/>
    <col min="13317" max="13317" width="30.5703125" style="19" customWidth="1"/>
    <col min="13318" max="13318" width="1.7109375" style="19" customWidth="1"/>
    <col min="13319" max="13568" width="9.140625" style="19"/>
    <col min="13569" max="13569" width="24.140625" style="19" customWidth="1"/>
    <col min="13570" max="13570" width="29.85546875" style="19" customWidth="1"/>
    <col min="13571" max="13571" width="28.140625" style="19" customWidth="1"/>
    <col min="13572" max="13572" width="27" style="19" customWidth="1"/>
    <col min="13573" max="13573" width="30.5703125" style="19" customWidth="1"/>
    <col min="13574" max="13574" width="1.7109375" style="19" customWidth="1"/>
    <col min="13575" max="13824" width="9.140625" style="19"/>
    <col min="13825" max="13825" width="24.140625" style="19" customWidth="1"/>
    <col min="13826" max="13826" width="29.85546875" style="19" customWidth="1"/>
    <col min="13827" max="13827" width="28.140625" style="19" customWidth="1"/>
    <col min="13828" max="13828" width="27" style="19" customWidth="1"/>
    <col min="13829" max="13829" width="30.5703125" style="19" customWidth="1"/>
    <col min="13830" max="13830" width="1.7109375" style="19" customWidth="1"/>
    <col min="13831" max="14080" width="9.140625" style="19"/>
    <col min="14081" max="14081" width="24.140625" style="19" customWidth="1"/>
    <col min="14082" max="14082" width="29.85546875" style="19" customWidth="1"/>
    <col min="14083" max="14083" width="28.140625" style="19" customWidth="1"/>
    <col min="14084" max="14084" width="27" style="19" customWidth="1"/>
    <col min="14085" max="14085" width="30.5703125" style="19" customWidth="1"/>
    <col min="14086" max="14086" width="1.7109375" style="19" customWidth="1"/>
    <col min="14087" max="14336" width="9.140625" style="19"/>
    <col min="14337" max="14337" width="24.140625" style="19" customWidth="1"/>
    <col min="14338" max="14338" width="29.85546875" style="19" customWidth="1"/>
    <col min="14339" max="14339" width="28.140625" style="19" customWidth="1"/>
    <col min="14340" max="14340" width="27" style="19" customWidth="1"/>
    <col min="14341" max="14341" width="30.5703125" style="19" customWidth="1"/>
    <col min="14342" max="14342" width="1.7109375" style="19" customWidth="1"/>
    <col min="14343" max="14592" width="9.140625" style="19"/>
    <col min="14593" max="14593" width="24.140625" style="19" customWidth="1"/>
    <col min="14594" max="14594" width="29.85546875" style="19" customWidth="1"/>
    <col min="14595" max="14595" width="28.140625" style="19" customWidth="1"/>
    <col min="14596" max="14596" width="27" style="19" customWidth="1"/>
    <col min="14597" max="14597" width="30.5703125" style="19" customWidth="1"/>
    <col min="14598" max="14598" width="1.7109375" style="19" customWidth="1"/>
    <col min="14599" max="14848" width="9.140625" style="19"/>
    <col min="14849" max="14849" width="24.140625" style="19" customWidth="1"/>
    <col min="14850" max="14850" width="29.85546875" style="19" customWidth="1"/>
    <col min="14851" max="14851" width="28.140625" style="19" customWidth="1"/>
    <col min="14852" max="14852" width="27" style="19" customWidth="1"/>
    <col min="14853" max="14853" width="30.5703125" style="19" customWidth="1"/>
    <col min="14854" max="14854" width="1.7109375" style="19" customWidth="1"/>
    <col min="14855" max="15104" width="9.140625" style="19"/>
    <col min="15105" max="15105" width="24.140625" style="19" customWidth="1"/>
    <col min="15106" max="15106" width="29.85546875" style="19" customWidth="1"/>
    <col min="15107" max="15107" width="28.140625" style="19" customWidth="1"/>
    <col min="15108" max="15108" width="27" style="19" customWidth="1"/>
    <col min="15109" max="15109" width="30.5703125" style="19" customWidth="1"/>
    <col min="15110" max="15110" width="1.7109375" style="19" customWidth="1"/>
    <col min="15111" max="15360" width="9.140625" style="19"/>
    <col min="15361" max="15361" width="24.140625" style="19" customWidth="1"/>
    <col min="15362" max="15362" width="29.85546875" style="19" customWidth="1"/>
    <col min="15363" max="15363" width="28.140625" style="19" customWidth="1"/>
    <col min="15364" max="15364" width="27" style="19" customWidth="1"/>
    <col min="15365" max="15365" width="30.5703125" style="19" customWidth="1"/>
    <col min="15366" max="15366" width="1.7109375" style="19" customWidth="1"/>
    <col min="15367" max="15616" width="9.140625" style="19"/>
    <col min="15617" max="15617" width="24.140625" style="19" customWidth="1"/>
    <col min="15618" max="15618" width="29.85546875" style="19" customWidth="1"/>
    <col min="15619" max="15619" width="28.140625" style="19" customWidth="1"/>
    <col min="15620" max="15620" width="27" style="19" customWidth="1"/>
    <col min="15621" max="15621" width="30.5703125" style="19" customWidth="1"/>
    <col min="15622" max="15622" width="1.7109375" style="19" customWidth="1"/>
    <col min="15623" max="15872" width="9.140625" style="19"/>
    <col min="15873" max="15873" width="24.140625" style="19" customWidth="1"/>
    <col min="15874" max="15874" width="29.85546875" style="19" customWidth="1"/>
    <col min="15875" max="15875" width="28.140625" style="19" customWidth="1"/>
    <col min="15876" max="15876" width="27" style="19" customWidth="1"/>
    <col min="15877" max="15877" width="30.5703125" style="19" customWidth="1"/>
    <col min="15878" max="15878" width="1.7109375" style="19" customWidth="1"/>
    <col min="15879" max="16128" width="9.140625" style="19"/>
    <col min="16129" max="16129" width="24.140625" style="19" customWidth="1"/>
    <col min="16130" max="16130" width="29.85546875" style="19" customWidth="1"/>
    <col min="16131" max="16131" width="28.140625" style="19" customWidth="1"/>
    <col min="16132" max="16132" width="27" style="19" customWidth="1"/>
    <col min="16133" max="16133" width="30.5703125" style="19" customWidth="1"/>
    <col min="16134" max="16134" width="1.7109375" style="19" customWidth="1"/>
    <col min="16135" max="16384" width="9.140625" style="19"/>
  </cols>
  <sheetData>
    <row r="1" spans="1:9" s="7" customFormat="1" ht="21" customHeight="1" x14ac:dyDescent="0.25">
      <c r="A1" s="144" t="s">
        <v>4</v>
      </c>
      <c r="B1" s="144"/>
      <c r="C1" s="145" t="str">
        <f>Copertina!C7</f>
        <v>Scheda nr. 20 - Avvocatura SIES Sede</v>
      </c>
      <c r="D1" s="145"/>
      <c r="E1" s="145"/>
      <c r="F1" s="14"/>
      <c r="G1" s="15"/>
      <c r="H1" s="6"/>
    </row>
    <row r="2" spans="1:9" s="7" customFormat="1" ht="20.25" customHeight="1" thickBot="1" x14ac:dyDescent="0.3">
      <c r="A2" s="112" t="s">
        <v>12</v>
      </c>
      <c r="B2" s="112"/>
      <c r="C2" s="115" t="str">
        <f>Copertina!C3</f>
        <v>SIUT-SIE-CT-1.0-20200407-Allegato-al-piano-test AVVOCATURA.xlsx</v>
      </c>
      <c r="D2" s="115"/>
      <c r="E2" s="115"/>
      <c r="F2" s="16"/>
      <c r="G2" s="17"/>
      <c r="H2" s="8"/>
    </row>
    <row r="3" spans="1:9" s="18" customFormat="1" ht="27" customHeight="1" thickBot="1" x14ac:dyDescent="0.3">
      <c r="A3" s="154" t="s">
        <v>20</v>
      </c>
      <c r="B3" s="155"/>
      <c r="C3" s="155"/>
      <c r="D3" s="155"/>
      <c r="E3" s="156"/>
      <c r="G3" s="157" t="s">
        <v>21</v>
      </c>
      <c r="H3" s="158"/>
      <c r="I3" s="159"/>
    </row>
    <row r="4" spans="1:9" ht="23.25" customHeight="1" thickBot="1" x14ac:dyDescent="0.25">
      <c r="A4" s="166" t="s">
        <v>22</v>
      </c>
      <c r="B4" s="167" t="s">
        <v>23</v>
      </c>
      <c r="C4" s="168"/>
      <c r="D4" s="168"/>
      <c r="E4" s="169"/>
      <c r="G4" s="160"/>
      <c r="H4" s="161"/>
      <c r="I4" s="162"/>
    </row>
    <row r="5" spans="1:9" ht="26.25" customHeight="1" thickBot="1" x14ac:dyDescent="0.25">
      <c r="A5" s="150"/>
      <c r="B5" s="20">
        <v>1</v>
      </c>
      <c r="C5" s="20">
        <v>2</v>
      </c>
      <c r="D5" s="20">
        <v>3</v>
      </c>
      <c r="E5" s="21">
        <v>4</v>
      </c>
      <c r="G5" s="160"/>
      <c r="H5" s="161"/>
      <c r="I5" s="162"/>
    </row>
    <row r="6" spans="1:9" ht="15.75" thickBot="1" x14ac:dyDescent="0.25">
      <c r="A6" s="22" t="s">
        <v>24</v>
      </c>
      <c r="B6" s="23">
        <f>COUNTIFS(TabellaTest!$H$4:$H$338,1,TabellaTest!$I$4:$I$338,"A",TabellaTest!$J$4:$J$338,"KO")</f>
        <v>0</v>
      </c>
      <c r="C6" s="23">
        <f>COUNTIFS(TabellaTest!$H$4:$H$338,2,TabellaTest!$I$4:$I$338,"A",TabellaTest!$J$4:$J$338,"KO")</f>
        <v>0</v>
      </c>
      <c r="D6" s="23">
        <f>COUNTIFS(TabellaTest!$H$4:$H$338,3,TabellaTest!$I$4:$I$338,"A",TabellaTest!$J$4:$J$338,"KO")</f>
        <v>0</v>
      </c>
      <c r="E6" s="23">
        <f>COUNTIFS(TabellaTest!$H$4:$H$338,4,TabellaTest!$I$4:$I$338,"A",TabellaTest!$J$4:$J$338,"KO")</f>
        <v>0</v>
      </c>
      <c r="G6" s="160"/>
      <c r="H6" s="161"/>
      <c r="I6" s="162"/>
    </row>
    <row r="7" spans="1:9" ht="15.75" thickBot="1" x14ac:dyDescent="0.25">
      <c r="A7" s="24" t="s">
        <v>25</v>
      </c>
      <c r="B7" s="23">
        <f>COUNTIFS(TabellaTest!$H$4:$H$338,1,TabellaTest!$I$4:$I$338,"B",TabellaTest!$J$4:$J$338,"KO")</f>
        <v>0</v>
      </c>
      <c r="C7" s="23">
        <f>COUNTIFS(TabellaTest!$H$4:$H$338,2,TabellaTest!$I$4:$I$338,"B",TabellaTest!$J$4:$J$338,"KO")</f>
        <v>0</v>
      </c>
      <c r="D7" s="23">
        <f>COUNTIFS(TabellaTest!$H$4:$H$338,3,TabellaTest!$I$4:$I$338,"B",TabellaTest!$J$4:$J$338,"KO")</f>
        <v>0</v>
      </c>
      <c r="E7" s="23">
        <f>COUNTIFS(TabellaTest!$H$4:$H$338,4,TabellaTest!$I$4:$I$338,"B",TabellaTest!$J$4:$J$338,"KO")</f>
        <v>0</v>
      </c>
      <c r="G7" s="160"/>
      <c r="H7" s="161"/>
      <c r="I7" s="162"/>
    </row>
    <row r="8" spans="1:9" ht="15.75" thickBot="1" x14ac:dyDescent="0.25">
      <c r="A8" s="25" t="s">
        <v>26</v>
      </c>
      <c r="B8" s="23">
        <f>COUNTIFS(TabellaTest!$H$4:$H$338,1,TabellaTest!$I$4:$I$338,"C",TabellaTest!$J$4:$J$338,"KO")</f>
        <v>0</v>
      </c>
      <c r="C8" s="23">
        <f>COUNTIFS(TabellaTest!$H$4:$H$338,2,TabellaTest!$I$4:$I$338,"C",TabellaTest!$J$4:$J$338,"KO")</f>
        <v>0</v>
      </c>
      <c r="D8" s="23">
        <f>COUNTIFS(TabellaTest!$H$4:$H$338,3,TabellaTest!$I$4:$I$338,"C",TabellaTest!$J$4:$J$338,"KO")</f>
        <v>0</v>
      </c>
      <c r="E8" s="23">
        <f>COUNTIFS(TabellaTest!$H$4:$H$338,4,TabellaTest!$I$4:$I$338,"C",TabellaTest!$J$4:$J$338,"KO")</f>
        <v>0</v>
      </c>
      <c r="G8" s="163"/>
      <c r="H8" s="164"/>
      <c r="I8" s="165"/>
    </row>
    <row r="9" spans="1:9" x14ac:dyDescent="0.2">
      <c r="G9" s="26"/>
      <c r="H9" s="27"/>
      <c r="I9" s="27"/>
    </row>
    <row r="12" spans="1:9" ht="10.5" customHeight="1" thickBot="1" x14ac:dyDescent="0.25"/>
    <row r="13" spans="1:9" ht="13.5" hidden="1" thickBot="1" x14ac:dyDescent="0.25"/>
    <row r="14" spans="1:9" s="18" customFormat="1" ht="28.5" customHeight="1" x14ac:dyDescent="0.25">
      <c r="A14" s="146" t="s">
        <v>27</v>
      </c>
      <c r="B14" s="147"/>
      <c r="C14" s="147"/>
      <c r="D14" s="147"/>
      <c r="E14" s="148"/>
      <c r="G14" s="29"/>
    </row>
    <row r="15" spans="1:9" ht="15.75" thickBot="1" x14ac:dyDescent="0.25">
      <c r="A15" s="149" t="s">
        <v>22</v>
      </c>
      <c r="B15" s="151" t="s">
        <v>23</v>
      </c>
      <c r="C15" s="152"/>
      <c r="D15" s="152"/>
      <c r="E15" s="153"/>
    </row>
    <row r="16" spans="1:9" ht="15.75" thickBot="1" x14ac:dyDescent="0.25">
      <c r="A16" s="150"/>
      <c r="B16" s="30">
        <v>1</v>
      </c>
      <c r="C16" s="30">
        <v>2</v>
      </c>
      <c r="D16" s="30">
        <v>3</v>
      </c>
      <c r="E16" s="31">
        <v>4</v>
      </c>
    </row>
    <row r="17" spans="1:5" ht="15.75" thickBot="1" x14ac:dyDescent="0.25">
      <c r="A17" s="32" t="s">
        <v>24</v>
      </c>
      <c r="B17" s="33">
        <f>COUNTIFS(TabellaTest!$H$4:$H$338,1,TabellaTest!$I$4:$I$338,"A")</f>
        <v>0</v>
      </c>
      <c r="C17" s="33">
        <f>COUNTIFS(TabellaTest!$H$4:$H$338,2,TabellaTest!$I$4:$I$338,"A")</f>
        <v>0</v>
      </c>
      <c r="D17" s="33">
        <f>COUNTIFS(TabellaTest!$H$4:$H$338,3,TabellaTest!$I$4:$I$338,"A")</f>
        <v>0</v>
      </c>
      <c r="E17" s="33">
        <f>COUNTIFS(TabellaTest!$H$4:$H$338,4,TabellaTest!$I$4:$I$338,"A")</f>
        <v>0</v>
      </c>
    </row>
    <row r="18" spans="1:5" ht="15.75" thickBot="1" x14ac:dyDescent="0.25">
      <c r="A18" s="34" t="s">
        <v>25</v>
      </c>
      <c r="B18" s="33">
        <f>COUNTIFS(TabellaTest!$H$4:$H$338,1,TabellaTest!$I$4:$I$338,"B")</f>
        <v>0</v>
      </c>
      <c r="C18" s="33">
        <f>COUNTIFS(TabellaTest!$H$4:$H$338,2,TabellaTest!$I$4:$I$338,"B")</f>
        <v>0</v>
      </c>
      <c r="D18" s="33">
        <f>COUNTIFS(TabellaTest!$H$4:$H$338,3,TabellaTest!$I$4:$I$338,"B")</f>
        <v>0</v>
      </c>
      <c r="E18" s="33">
        <f>COUNTIFS(TabellaTest!$H$4:$H$338,4,TabellaTest!$I$4:$I$338,"B")</f>
        <v>0</v>
      </c>
    </row>
    <row r="19" spans="1:5" ht="15.75" thickBot="1" x14ac:dyDescent="0.25">
      <c r="A19" s="35" t="s">
        <v>26</v>
      </c>
      <c r="B19" s="33">
        <f>COUNTIFS(TabellaTest!$H$4:$H$338,1,TabellaTest!$I$4:$I$338,"C")</f>
        <v>0</v>
      </c>
      <c r="C19" s="33">
        <f>COUNTIFS(TabellaTest!$H$4:$H$338,2,TabellaTest!$I$4:$I$338,"C")</f>
        <v>2</v>
      </c>
      <c r="D19" s="33">
        <f>COUNTIFS(TabellaTest!$H$4:$H$338,3,TabellaTest!$I$4:$I$338,"C")</f>
        <v>4</v>
      </c>
      <c r="E19" s="33">
        <f>COUNTIFS(TabellaTest!$H$4:$H$338,4,TabellaTest!$I$4:$I$338,"C")</f>
        <v>5</v>
      </c>
    </row>
  </sheetData>
  <sheetProtection algorithmName="SHA-512" hashValue="yK4t762dsqdaSNJbIJdXYOJ9V6yhJPk90M8BFw4lbAyBYOqkLwUcsAp6Hzt1n+PAyjFA1QcVZEWzBN39IMR6Og==" saltValue="SATjaK3ZpVyROTc4J1W+8Q==" spinCount="100000" sheet="1" selectLockedCells="1" selectUnlockedCells="1"/>
  <mergeCells count="11">
    <mergeCell ref="A15:A16"/>
    <mergeCell ref="B15:E15"/>
    <mergeCell ref="A3:E3"/>
    <mergeCell ref="G3:I8"/>
    <mergeCell ref="A4:A5"/>
    <mergeCell ref="B4:E4"/>
    <mergeCell ref="A1:B1"/>
    <mergeCell ref="A2:B2"/>
    <mergeCell ref="C1:E1"/>
    <mergeCell ref="C2:E2"/>
    <mergeCell ref="A14:E14"/>
  </mergeCells>
  <conditionalFormatting sqref="B6:E8">
    <cfRule type="expression" dxfId="3" priority="1" stopIfTrue="1">
      <formula>$E$6&gt;$E$17</formula>
    </cfRule>
    <cfRule type="expression" dxfId="2" priority="2" stopIfTrue="1">
      <formula>$D$6&gt;$D$17</formula>
    </cfRule>
    <cfRule type="expression" dxfId="1" priority="3" stopIfTrue="1">
      <formula>$C$6&gt;$C$17</formula>
    </cfRule>
    <cfRule type="expression" dxfId="0" priority="4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637F1D28401F4E9309B338650987D9" ma:contentTypeVersion="10" ma:contentTypeDescription="Creare un nuovo documento." ma:contentTypeScope="" ma:versionID="6e68582ca45cee34772eca177e0e6347">
  <xsd:schema xmlns:xsd="http://www.w3.org/2001/XMLSchema" xmlns:xs="http://www.w3.org/2001/XMLSchema" xmlns:p="http://schemas.microsoft.com/office/2006/metadata/properties" xmlns:ns3="a3ae56ea-36dd-4ec5-b67e-65253cb58edc" xmlns:ns4="05f6d153-fdd9-4ea0-9d5e-dbae83f18a55" targetNamespace="http://schemas.microsoft.com/office/2006/metadata/properties" ma:root="true" ma:fieldsID="0e64261cf123f0820c518166c1aafef0" ns3:_="" ns4:_="">
    <xsd:import namespace="a3ae56ea-36dd-4ec5-b67e-65253cb58edc"/>
    <xsd:import namespace="05f6d153-fdd9-4ea0-9d5e-dbae83f18a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e56ea-36dd-4ec5-b67e-65253cb58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6d153-fdd9-4ea0-9d5e-dbae83f18a5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A223A0-14F8-4CF7-B03D-5B8241C56AE5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3ae56ea-36dd-4ec5-b67e-65253cb58edc"/>
    <ds:schemaRef ds:uri="http://purl.org/dc/terms/"/>
    <ds:schemaRef ds:uri="http://schemas.openxmlformats.org/package/2006/metadata/core-properties"/>
    <ds:schemaRef ds:uri="05f6d153-fdd9-4ea0-9d5e-dbae83f18a5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17AF078-23A2-4F08-B5B5-1283EC9C5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e56ea-36dd-4ec5-b67e-65253cb58edc"/>
    <ds:schemaRef ds:uri="05f6d153-fdd9-4ea0-9d5e-dbae83f18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Copertina</vt:lpstr>
      <vt:lpstr>TabellaTest</vt:lpstr>
      <vt:lpstr>SpecificaTest</vt:lpstr>
      <vt:lpstr>VerificheConformità</vt:lpstr>
      <vt:lpstr>SogliaAccettazione</vt:lpstr>
      <vt:lpstr>VerificheConformità!Area_stampa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Salvaggio</dc:creator>
  <cp:lastModifiedBy>Grippa Monia</cp:lastModifiedBy>
  <cp:lastPrinted>2019-11-08T14:17:06Z</cp:lastPrinted>
  <dcterms:created xsi:type="dcterms:W3CDTF">2019-11-07T09:38:15Z</dcterms:created>
  <dcterms:modified xsi:type="dcterms:W3CDTF">2020-04-03T15:34:35Z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0x0101009B637F1D28401F4E9309B338650987D9</vt:lpwstr>
  </property>
</Properties>
</file>