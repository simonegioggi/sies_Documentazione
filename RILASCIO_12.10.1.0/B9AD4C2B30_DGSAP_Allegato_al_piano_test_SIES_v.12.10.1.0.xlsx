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0730" windowHeight="11760"/>
  </bookViews>
  <sheets>
    <sheet name="Copertina" sheetId="1" r:id="rId1"/>
    <sheet name="TabellaTest" sheetId="2" r:id="rId2"/>
    <sheet name="SpecificaTest" sheetId="3" r:id="rId3"/>
  </sheets>
  <externalReferences>
    <externalReference r:id="rId4"/>
    <externalReference r:id="rId5"/>
  </externalReferences>
  <definedNames>
    <definedName name="_xlnm._FilterDatabase" localSheetId="2" hidden="1">SpecificaTest!$A$3:$G$3</definedName>
    <definedName name="_Toc217052696" localSheetId="1">TabellaTest!#REF!</definedName>
    <definedName name="_Toc217052698" localSheetId="1">TabellaTest!#REF!</definedName>
    <definedName name="AllUserNames">#REF!</definedName>
    <definedName name="DecisionLastCategory">'[1]Test Decision'!$P$3409</definedName>
    <definedName name="DecisionLastSize">'[1]Test Decision'!$Q$3409</definedName>
    <definedName name="QACP_Project_Setup">#REF!</definedName>
    <definedName name="QACPRiskFactorWeights">#REF!</definedName>
    <definedName name="Raw_Data_In">#REF!</definedName>
    <definedName name="sfsfd">[2]Users!$A$2:$A$5</definedName>
    <definedName name="TempUsers">#REF!</definedName>
    <definedName name="UserIDs">#REF!</definedName>
    <definedName name="UserList">#REF!</definedName>
    <definedName name="UserNames">#REF!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3" l="1"/>
  <c r="F4" i="3"/>
  <c r="D4" i="3"/>
  <c r="B4" i="3"/>
  <c r="D2" i="2" l="1"/>
  <c r="D1" i="2"/>
  <c r="H5" i="2"/>
  <c r="A4" i="3" s="1"/>
  <c r="G5" i="2"/>
  <c r="D5" i="2"/>
  <c r="D2" i="3" l="1"/>
</calcChain>
</file>

<file path=xl/sharedStrings.xml><?xml version="1.0" encoding="utf-8"?>
<sst xmlns="http://schemas.openxmlformats.org/spreadsheetml/2006/main" count="68" uniqueCount="61">
  <si>
    <t>Nome del file</t>
  </si>
  <si>
    <t xml:space="preserve">Piano di test </t>
  </si>
  <si>
    <t>Versione</t>
  </si>
  <si>
    <t>Data</t>
  </si>
  <si>
    <t>Intervento</t>
  </si>
  <si>
    <t>Area Applicativa</t>
  </si>
  <si>
    <t>Allegato al Piano dei Test</t>
  </si>
  <si>
    <t>Codice Appl.</t>
  </si>
  <si>
    <t>ID</t>
  </si>
  <si>
    <t>Esito</t>
  </si>
  <si>
    <t xml:space="preserve">Codifica Piano di test </t>
  </si>
  <si>
    <t xml:space="preserve"> ID caso di test</t>
  </si>
  <si>
    <t>Requisito</t>
  </si>
  <si>
    <t>Scenario di test</t>
  </si>
  <si>
    <t>Caso d'uso</t>
  </si>
  <si>
    <t>Step</t>
  </si>
  <si>
    <t>Tipo</t>
  </si>
  <si>
    <t>Istruzioni
(test)</t>
  </si>
  <si>
    <t>Dati di input
(Associated Data)</t>
  </si>
  <si>
    <t>Risultati attesi
(Expected Result)</t>
  </si>
  <si>
    <t>P</t>
  </si>
  <si>
    <t>Attività Preliminari e/o Precondizioni</t>
  </si>
  <si>
    <t>Stato Base</t>
  </si>
  <si>
    <t>Navigazione</t>
  </si>
  <si>
    <t>Azione</t>
  </si>
  <si>
    <t>Penale</t>
  </si>
  <si>
    <t>V</t>
  </si>
  <si>
    <t>Verifica</t>
  </si>
  <si>
    <t>v1.0</t>
  </si>
  <si>
    <r>
      <t xml:space="preserve">  Via Crescenzio, 17/C – 00193 Roma
          </t>
    </r>
    <r>
      <rPr>
        <b/>
        <u/>
        <sz val="11"/>
        <color rgb="FF0070C0"/>
        <rFont val="Calibri"/>
        <family val="2"/>
        <scheme val="minor"/>
      </rPr>
      <t>prot.dit@giustiziacert.it</t>
    </r>
  </si>
  <si>
    <t>Ministero della Giustizia
Dipartimento per l’innovazione tecnologica della giustizia
ALLEGATO AL PIANO DEI TEST
INTERVENTI CORRETTIVI SULL’APPLICAZIONE SIES</t>
  </si>
  <si>
    <t>SIES v.12.10.1.0</t>
  </si>
  <si>
    <t>Applicazione</t>
  </si>
  <si>
    <t xml:space="preserve">  Funzionalità / Requisiti non funzionali</t>
  </si>
  <si>
    <t xml:space="preserve">Codice Area </t>
  </si>
  <si>
    <t>ID. Requisito</t>
  </si>
  <si>
    <t>Primo Livello</t>
  </si>
  <si>
    <t>Secondo livello</t>
  </si>
  <si>
    <t>Nome del caso di test</t>
  </si>
  <si>
    <t>Descrizione e note</t>
  </si>
  <si>
    <t>SIUT</t>
  </si>
  <si>
    <t>SIES</t>
  </si>
  <si>
    <t>1.0</t>
  </si>
  <si>
    <t>Caso di test</t>
  </si>
  <si>
    <r>
      <rPr>
        <b/>
        <i/>
        <sz val="11"/>
        <rFont val="Calibri"/>
        <family val="2"/>
        <scheme val="minor"/>
      </rPr>
      <t>B9AD4C2B30_DGSAP_Allegato_al_piano_test_SIES_v.12.10.1.0</t>
    </r>
    <r>
      <rPr>
        <i/>
        <sz val="11"/>
        <rFont val="Calibri"/>
        <family val="2"/>
        <scheme val="minor"/>
      </rPr>
      <t>.xlsx</t>
    </r>
  </si>
  <si>
    <r>
      <rPr>
        <b/>
        <i/>
        <sz val="11"/>
        <rFont val="Calibri"/>
        <family val="2"/>
        <scheme val="minor"/>
      </rPr>
      <t>B9AD4C2B30_DGSAP_Piano_dei_Test_SIES_v.12.10.1.0</t>
    </r>
    <r>
      <rPr>
        <i/>
        <sz val="11"/>
        <rFont val="Calibri"/>
        <family val="2"/>
        <scheme val="minor"/>
      </rPr>
      <t>.pdf</t>
    </r>
  </si>
  <si>
    <t>Eliminazione sentenza dal SIGE</t>
  </si>
  <si>
    <t>SIGE</t>
  </si>
  <si>
    <t>Errore de-assegnazione procedimento SIEP</t>
  </si>
  <si>
    <t>Verifica: Verificare il corretto funzionamento della de-assegnazione del procedimento SIEP dal fascicolo SIGE in caso di comune ambiguo</t>
  </si>
  <si>
    <t>L'utente effettua l'accesso al sistema SIGE come Tribunale Ordinario</t>
  </si>
  <si>
    <t>Txxxxx (Tribunale Ordinario)</t>
  </si>
  <si>
    <t>L'utente crea (o ricerca) un fascicolo SIGE partendo da un fascicolo SIEP (iscrizione manuale)</t>
  </si>
  <si>
    <t>selezionare la voce "De-assegnazione procedimento SIEP"</t>
  </si>
  <si>
    <r>
      <t>L'utente clicca sul tasto "</t>
    </r>
    <r>
      <rPr>
        <b/>
        <sz val="11"/>
        <rFont val="Calibri"/>
        <family val="2"/>
        <scheme val="minor"/>
      </rPr>
      <t>Conferma</t>
    </r>
    <r>
      <rPr>
        <sz val="11"/>
        <rFont val="Calibri"/>
        <family val="2"/>
        <scheme val="minor"/>
      </rPr>
      <t>"</t>
    </r>
  </si>
  <si>
    <t>Verificare che non compaia più il messaggio sull'omonimia dei comuni</t>
  </si>
  <si>
    <r>
      <t>Visualizzazione pagina "</t>
    </r>
    <r>
      <rPr>
        <b/>
        <sz val="11"/>
        <color theme="1"/>
        <rFont val="Calibri"/>
        <family val="2"/>
        <scheme val="minor"/>
      </rPr>
      <t>Dettaglio Procedimento SIGE</t>
    </r>
    <r>
      <rPr>
        <sz val="11"/>
        <color theme="1"/>
        <rFont val="Calibri"/>
        <family val="2"/>
        <scheme val="minor"/>
      </rPr>
      <t>"</t>
    </r>
  </si>
  <si>
    <r>
      <t>Visualizzazione pagina "</t>
    </r>
    <r>
      <rPr>
        <b/>
        <sz val="11"/>
        <rFont val="Calibri"/>
        <family val="2"/>
        <scheme val="minor"/>
      </rPr>
      <t>De-assegnazione Procedimento SIEP</t>
    </r>
    <r>
      <rPr>
        <sz val="11"/>
        <rFont val="Calibri"/>
        <family val="2"/>
        <scheme val="minor"/>
      </rPr>
      <t>"</t>
    </r>
  </si>
  <si>
    <r>
      <t>L'utente scrive "</t>
    </r>
    <r>
      <rPr>
        <b/>
        <sz val="11"/>
        <rFont val="Calibri"/>
        <family val="2"/>
        <scheme val="minor"/>
      </rPr>
      <t>ANDRIA</t>
    </r>
    <r>
      <rPr>
        <sz val="11"/>
        <rFont val="Calibri"/>
        <family val="2"/>
        <scheme val="minor"/>
      </rPr>
      <t>" (o un comune che ha più occorrenze nel database) nel campo "</t>
    </r>
    <r>
      <rPr>
        <b/>
        <sz val="11"/>
        <rFont val="Calibri"/>
        <family val="2"/>
        <scheme val="minor"/>
      </rPr>
      <t>Comune Nascita</t>
    </r>
    <r>
      <rPr>
        <sz val="11"/>
        <rFont val="Calibri"/>
        <family val="2"/>
        <scheme val="minor"/>
      </rPr>
      <t>"</t>
    </r>
  </si>
  <si>
    <t>Selezionare la seguente casella di controllo</t>
  </si>
  <si>
    <t>Si conferma la De-assegnazione del Procedimento SIEP?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</si>
</sst>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1" fillId="0" borderId="0"/>
  </cellStyleXfs>
  <cellXfs count="77">
    <xf numFmtId="0" fontId="0" fillId="0" borderId="0" xfId="0"/>
    <xf numFmtId="0" fontId="0" fillId="0" borderId="0" xfId="0" applyAlignment="1">
      <alignment horizontal="center" vertical="center"/>
    </xf>
    <xf numFmtId="0" fontId="10" fillId="9" borderId="3" xfId="0" applyFont="1" applyFill="1" applyBorder="1" applyAlignment="1">
      <alignment horizontal="center" vertical="center" wrapText="1"/>
    </xf>
    <xf numFmtId="0" fontId="10" fillId="9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3" fillId="10" borderId="3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3" fillId="10" borderId="2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49" fontId="3" fillId="11" borderId="13" xfId="0" applyNumberFormat="1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0" fontId="3" fillId="1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 wrapText="1"/>
    </xf>
    <xf numFmtId="49" fontId="6" fillId="3" borderId="14" xfId="0" applyNumberFormat="1" applyFont="1" applyFill="1" applyBorder="1" applyAlignment="1">
      <alignment horizontal="center" vertical="center" wrapText="1"/>
    </xf>
    <xf numFmtId="49" fontId="6" fillId="4" borderId="14" xfId="0" applyNumberFormat="1" applyFont="1" applyFill="1" applyBorder="1" applyAlignment="1">
      <alignment horizontal="center" vertical="center" wrapText="1"/>
    </xf>
    <xf numFmtId="0" fontId="6" fillId="5" borderId="14" xfId="0" applyNumberFormat="1" applyFont="1" applyFill="1" applyBorder="1" applyAlignment="1">
      <alignment horizontal="center" vertical="center" wrapText="1"/>
    </xf>
    <xf numFmtId="49" fontId="6" fillId="5" borderId="14" xfId="0" applyNumberFormat="1" applyFont="1" applyFill="1" applyBorder="1" applyAlignment="1">
      <alignment horizontal="center" vertical="center" wrapText="1"/>
    </xf>
    <xf numFmtId="1" fontId="8" fillId="0" borderId="14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49" fontId="8" fillId="14" borderId="14" xfId="0" applyNumberFormat="1" applyFont="1" applyFill="1" applyBorder="1" applyAlignment="1">
      <alignment horizontal="center" vertical="center" wrapText="1"/>
    </xf>
    <xf numFmtId="0" fontId="16" fillId="0" borderId="14" xfId="2" applyFont="1" applyBorder="1" applyAlignment="1">
      <alignment horizontal="center" vertical="center" wrapText="1"/>
    </xf>
    <xf numFmtId="0" fontId="8" fillId="0" borderId="14" xfId="0" applyNumberFormat="1" applyFont="1" applyBorder="1" applyAlignment="1">
      <alignment horizontal="center" vertical="center" wrapText="1"/>
    </xf>
    <xf numFmtId="0" fontId="8" fillId="0" borderId="1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0" borderId="0" xfId="3" applyFont="1" applyAlignment="1">
      <alignment horizontal="center" vertical="center" wrapText="1"/>
    </xf>
    <xf numFmtId="49" fontId="15" fillId="2" borderId="15" xfId="0" applyNumberFormat="1" applyFont="1" applyFill="1" applyBorder="1" applyAlignment="1" applyProtection="1">
      <alignment horizontal="center" vertical="center" wrapText="1"/>
      <protection locked="0"/>
    </xf>
    <xf numFmtId="49" fontId="15" fillId="2" borderId="16" xfId="0" applyNumberFormat="1" applyFont="1" applyFill="1" applyBorder="1" applyAlignment="1" applyProtection="1">
      <alignment horizontal="center" vertical="center" wrapText="1"/>
      <protection locked="0"/>
    </xf>
    <xf numFmtId="49" fontId="15" fillId="2" borderId="17" xfId="0" applyNumberFormat="1" applyFont="1" applyFill="1" applyBorder="1" applyAlignment="1" applyProtection="1">
      <alignment horizontal="center" vertical="center" wrapText="1"/>
      <protection locked="0"/>
    </xf>
    <xf numFmtId="49" fontId="15" fillId="2" borderId="14" xfId="0" applyNumberFormat="1" applyFont="1" applyFill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14" fontId="4" fillId="0" borderId="14" xfId="0" applyNumberFormat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2" borderId="14" xfId="0" applyFont="1" applyFill="1" applyBorder="1" applyAlignment="1" applyProtection="1">
      <alignment horizontal="center" vertical="center" wrapText="1"/>
      <protection locked="0"/>
    </xf>
    <xf numFmtId="0" fontId="10" fillId="7" borderId="7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 applyProtection="1">
      <alignment horizontal="center" vertical="center" wrapText="1"/>
      <protection locked="0"/>
    </xf>
    <xf numFmtId="49" fontId="0" fillId="0" borderId="12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4" fontId="4" fillId="0" borderId="12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3" fillId="10" borderId="12" xfId="0" applyFont="1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1" fontId="0" fillId="8" borderId="12" xfId="0" applyNumberFormat="1" applyFill="1" applyBorder="1" applyAlignment="1">
      <alignment horizontal="center" vertical="center" wrapText="1"/>
    </xf>
    <xf numFmtId="49" fontId="0" fillId="8" borderId="12" xfId="0" applyNumberForma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0" fontId="3" fillId="12" borderId="19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10" fillId="7" borderId="20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</cellXfs>
  <cellStyles count="4">
    <cellStyle name="Normale" xfId="0" builtinId="0"/>
    <cellStyle name="Normale 2" xfId="1"/>
    <cellStyle name="Normale 3" xfId="2"/>
    <cellStyle name="Normale 4" xfId="3"/>
  </cellStyles>
  <dxfs count="0"/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3962400</xdr:colOff>
      <xdr:row>0</xdr:row>
      <xdr:rowOff>123825</xdr:rowOff>
    </xdr:from>
    <xdr:to>
      <xdr:col>2</xdr:col>
      <xdr:colOff>3448050</xdr:colOff>
      <xdr:row>0</xdr:row>
      <xdr:rowOff>419100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xmlns="" id="{BE6E059E-EBBA-4582-A85D-A320D8B73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3962400</xdr:colOff>
      <xdr:row>0</xdr:row>
      <xdr:rowOff>123825</xdr:rowOff>
    </xdr:from>
    <xdr:to>
      <xdr:col>2</xdr:col>
      <xdr:colOff>3448050</xdr:colOff>
      <xdr:row>0</xdr:row>
      <xdr:rowOff>419100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xmlns="" id="{A433206B-F0DA-431B-8027-14A3EAB8C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3962400</xdr:colOff>
      <xdr:row>0</xdr:row>
      <xdr:rowOff>123825</xdr:rowOff>
    </xdr:from>
    <xdr:to>
      <xdr:col>2</xdr:col>
      <xdr:colOff>3448050</xdr:colOff>
      <xdr:row>0</xdr:row>
      <xdr:rowOff>419100</xdr:rowOff>
    </xdr:to>
    <xdr:pic>
      <xdr:nvPicPr>
        <xdr:cNvPr id="4" name="Picture 7">
          <a:extLst>
            <a:ext uri="{FF2B5EF4-FFF2-40B4-BE49-F238E27FC236}">
              <a16:creationId xmlns:a16="http://schemas.microsoft.com/office/drawing/2014/main" xmlns="" id="{5A98800D-9369-472C-98BF-839009E35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3343275</xdr:colOff>
      <xdr:row>0</xdr:row>
      <xdr:rowOff>180975</xdr:rowOff>
    </xdr:from>
    <xdr:to>
      <xdr:col>1</xdr:col>
      <xdr:colOff>5772150</xdr:colOff>
      <xdr:row>0</xdr:row>
      <xdr:rowOff>600075</xdr:rowOff>
    </xdr:to>
    <xdr:pic>
      <xdr:nvPicPr>
        <xdr:cNvPr id="13" name="Picture 4" descr="Text&#10;&#10;Description automatically generated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1150" y="180975"/>
          <a:ext cx="242887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438150</xdr:colOff>
      <xdr:row>0</xdr:row>
      <xdr:rowOff>123825</xdr:rowOff>
    </xdr:from>
    <xdr:to>
      <xdr:col>1</xdr:col>
      <xdr:colOff>847725</xdr:colOff>
      <xdr:row>0</xdr:row>
      <xdr:rowOff>657225</xdr:rowOff>
    </xdr:to>
    <xdr:pic>
      <xdr:nvPicPr>
        <xdr:cNvPr id="14" name="Picture 6" descr="Graphical user interface, text&#10;&#10;Description automatically generated with medium confidence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23825"/>
          <a:ext cx="245745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1562100</xdr:colOff>
      <xdr:row>0</xdr:row>
      <xdr:rowOff>28575</xdr:rowOff>
    </xdr:from>
    <xdr:to>
      <xdr:col>1</xdr:col>
      <xdr:colOff>2714625</xdr:colOff>
      <xdr:row>0</xdr:row>
      <xdr:rowOff>742950</xdr:rowOff>
    </xdr:to>
    <xdr:pic>
      <xdr:nvPicPr>
        <xdr:cNvPr id="15" name="Picture 5" descr="A picture containing text&#10;&#10;Description automatically generated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28575"/>
          <a:ext cx="1152525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714375</xdr:colOff>
      <xdr:row>10</xdr:row>
      <xdr:rowOff>57149</xdr:rowOff>
    </xdr:from>
    <xdr:to>
      <xdr:col>0</xdr:col>
      <xdr:colOff>1133475</xdr:colOff>
      <xdr:row>10</xdr:row>
      <xdr:rowOff>1476375</xdr:rowOff>
    </xdr:to>
    <xdr:pic>
      <xdr:nvPicPr>
        <xdr:cNvPr id="19" name="Immagine 18" descr="A blue and white circular logo&#10;&#10;Description automatically generated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819649"/>
          <a:ext cx="419100" cy="1419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Program%20Files\Compuware\QACenter%20Portal\qacenterportal\Planning\Templates\AQW%20Workbench_TDT_8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&amp;&amp;%20Progetti%20in%20corso\CONSIP\Documento%20Standard%20metodologia%20di%20test\CONSIP%20Allegato%201%20Tabella%20dei%20Test%20-%20Codice%20di%20Test%20070315_02%20con%20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abSelected="1" workbookViewId="0">
      <selection sqref="A1:XFD1048576"/>
    </sheetView>
  </sheetViews>
  <sheetFormatPr defaultRowHeight="120.75" customHeight="1" x14ac:dyDescent="0.25"/>
  <cols>
    <col min="1" max="1" width="30.7109375" style="1" customWidth="1"/>
    <col min="2" max="2" width="90.7109375" style="1" customWidth="1"/>
    <col min="3" max="3" width="51.7109375" style="1" customWidth="1"/>
    <col min="4" max="253" width="9.140625" style="1"/>
    <col min="254" max="254" width="1.42578125" style="1" customWidth="1"/>
    <col min="255" max="255" width="31.28515625" style="1" customWidth="1"/>
    <col min="256" max="256" width="83.5703125" style="1" bestFit="1" customWidth="1"/>
    <col min="257" max="257" width="51.7109375" style="1" customWidth="1"/>
    <col min="258" max="509" width="9.140625" style="1"/>
    <col min="510" max="510" width="1.42578125" style="1" customWidth="1"/>
    <col min="511" max="511" width="31.28515625" style="1" customWidth="1"/>
    <col min="512" max="512" width="83.5703125" style="1" bestFit="1" customWidth="1"/>
    <col min="513" max="513" width="51.7109375" style="1" customWidth="1"/>
    <col min="514" max="765" width="9.140625" style="1"/>
    <col min="766" max="766" width="1.42578125" style="1" customWidth="1"/>
    <col min="767" max="767" width="31.28515625" style="1" customWidth="1"/>
    <col min="768" max="768" width="83.5703125" style="1" bestFit="1" customWidth="1"/>
    <col min="769" max="769" width="51.7109375" style="1" customWidth="1"/>
    <col min="770" max="1021" width="9.140625" style="1"/>
    <col min="1022" max="1022" width="1.42578125" style="1" customWidth="1"/>
    <col min="1023" max="1023" width="31.28515625" style="1" customWidth="1"/>
    <col min="1024" max="1024" width="83.5703125" style="1" bestFit="1" customWidth="1"/>
    <col min="1025" max="1025" width="51.7109375" style="1" customWidth="1"/>
    <col min="1026" max="1277" width="9.140625" style="1"/>
    <col min="1278" max="1278" width="1.42578125" style="1" customWidth="1"/>
    <col min="1279" max="1279" width="31.28515625" style="1" customWidth="1"/>
    <col min="1280" max="1280" width="83.5703125" style="1" bestFit="1" customWidth="1"/>
    <col min="1281" max="1281" width="51.7109375" style="1" customWidth="1"/>
    <col min="1282" max="1533" width="9.140625" style="1"/>
    <col min="1534" max="1534" width="1.42578125" style="1" customWidth="1"/>
    <col min="1535" max="1535" width="31.28515625" style="1" customWidth="1"/>
    <col min="1536" max="1536" width="83.5703125" style="1" bestFit="1" customWidth="1"/>
    <col min="1537" max="1537" width="51.7109375" style="1" customWidth="1"/>
    <col min="1538" max="1789" width="9.140625" style="1"/>
    <col min="1790" max="1790" width="1.42578125" style="1" customWidth="1"/>
    <col min="1791" max="1791" width="31.28515625" style="1" customWidth="1"/>
    <col min="1792" max="1792" width="83.5703125" style="1" bestFit="1" customWidth="1"/>
    <col min="1793" max="1793" width="51.7109375" style="1" customWidth="1"/>
    <col min="1794" max="2045" width="9.140625" style="1"/>
    <col min="2046" max="2046" width="1.42578125" style="1" customWidth="1"/>
    <col min="2047" max="2047" width="31.28515625" style="1" customWidth="1"/>
    <col min="2048" max="2048" width="83.5703125" style="1" bestFit="1" customWidth="1"/>
    <col min="2049" max="2049" width="51.7109375" style="1" customWidth="1"/>
    <col min="2050" max="2301" width="9.140625" style="1"/>
    <col min="2302" max="2302" width="1.42578125" style="1" customWidth="1"/>
    <col min="2303" max="2303" width="31.28515625" style="1" customWidth="1"/>
    <col min="2304" max="2304" width="83.5703125" style="1" bestFit="1" customWidth="1"/>
    <col min="2305" max="2305" width="51.7109375" style="1" customWidth="1"/>
    <col min="2306" max="2557" width="9.140625" style="1"/>
    <col min="2558" max="2558" width="1.42578125" style="1" customWidth="1"/>
    <col min="2559" max="2559" width="31.28515625" style="1" customWidth="1"/>
    <col min="2560" max="2560" width="83.5703125" style="1" bestFit="1" customWidth="1"/>
    <col min="2561" max="2561" width="51.7109375" style="1" customWidth="1"/>
    <col min="2562" max="2813" width="9.140625" style="1"/>
    <col min="2814" max="2814" width="1.42578125" style="1" customWidth="1"/>
    <col min="2815" max="2815" width="31.28515625" style="1" customWidth="1"/>
    <col min="2816" max="2816" width="83.5703125" style="1" bestFit="1" customWidth="1"/>
    <col min="2817" max="2817" width="51.7109375" style="1" customWidth="1"/>
    <col min="2818" max="3069" width="9.140625" style="1"/>
    <col min="3070" max="3070" width="1.42578125" style="1" customWidth="1"/>
    <col min="3071" max="3071" width="31.28515625" style="1" customWidth="1"/>
    <col min="3072" max="3072" width="83.5703125" style="1" bestFit="1" customWidth="1"/>
    <col min="3073" max="3073" width="51.7109375" style="1" customWidth="1"/>
    <col min="3074" max="3325" width="9.140625" style="1"/>
    <col min="3326" max="3326" width="1.42578125" style="1" customWidth="1"/>
    <col min="3327" max="3327" width="31.28515625" style="1" customWidth="1"/>
    <col min="3328" max="3328" width="83.5703125" style="1" bestFit="1" customWidth="1"/>
    <col min="3329" max="3329" width="51.7109375" style="1" customWidth="1"/>
    <col min="3330" max="3581" width="9.140625" style="1"/>
    <col min="3582" max="3582" width="1.42578125" style="1" customWidth="1"/>
    <col min="3583" max="3583" width="31.28515625" style="1" customWidth="1"/>
    <col min="3584" max="3584" width="83.5703125" style="1" bestFit="1" customWidth="1"/>
    <col min="3585" max="3585" width="51.7109375" style="1" customWidth="1"/>
    <col min="3586" max="3837" width="9.140625" style="1"/>
    <col min="3838" max="3838" width="1.42578125" style="1" customWidth="1"/>
    <col min="3839" max="3839" width="31.28515625" style="1" customWidth="1"/>
    <col min="3840" max="3840" width="83.5703125" style="1" bestFit="1" customWidth="1"/>
    <col min="3841" max="3841" width="51.7109375" style="1" customWidth="1"/>
    <col min="3842" max="4093" width="9.140625" style="1"/>
    <col min="4094" max="4094" width="1.42578125" style="1" customWidth="1"/>
    <col min="4095" max="4095" width="31.28515625" style="1" customWidth="1"/>
    <col min="4096" max="4096" width="83.5703125" style="1" bestFit="1" customWidth="1"/>
    <col min="4097" max="4097" width="51.7109375" style="1" customWidth="1"/>
    <col min="4098" max="4349" width="9.140625" style="1"/>
    <col min="4350" max="4350" width="1.42578125" style="1" customWidth="1"/>
    <col min="4351" max="4351" width="31.28515625" style="1" customWidth="1"/>
    <col min="4352" max="4352" width="83.5703125" style="1" bestFit="1" customWidth="1"/>
    <col min="4353" max="4353" width="51.7109375" style="1" customWidth="1"/>
    <col min="4354" max="4605" width="9.140625" style="1"/>
    <col min="4606" max="4606" width="1.42578125" style="1" customWidth="1"/>
    <col min="4607" max="4607" width="31.28515625" style="1" customWidth="1"/>
    <col min="4608" max="4608" width="83.5703125" style="1" bestFit="1" customWidth="1"/>
    <col min="4609" max="4609" width="51.7109375" style="1" customWidth="1"/>
    <col min="4610" max="4861" width="9.140625" style="1"/>
    <col min="4862" max="4862" width="1.42578125" style="1" customWidth="1"/>
    <col min="4863" max="4863" width="31.28515625" style="1" customWidth="1"/>
    <col min="4864" max="4864" width="83.5703125" style="1" bestFit="1" customWidth="1"/>
    <col min="4865" max="4865" width="51.7109375" style="1" customWidth="1"/>
    <col min="4866" max="5117" width="9.140625" style="1"/>
    <col min="5118" max="5118" width="1.42578125" style="1" customWidth="1"/>
    <col min="5119" max="5119" width="31.28515625" style="1" customWidth="1"/>
    <col min="5120" max="5120" width="83.5703125" style="1" bestFit="1" customWidth="1"/>
    <col min="5121" max="5121" width="51.7109375" style="1" customWidth="1"/>
    <col min="5122" max="5373" width="9.140625" style="1"/>
    <col min="5374" max="5374" width="1.42578125" style="1" customWidth="1"/>
    <col min="5375" max="5375" width="31.28515625" style="1" customWidth="1"/>
    <col min="5376" max="5376" width="83.5703125" style="1" bestFit="1" customWidth="1"/>
    <col min="5377" max="5377" width="51.7109375" style="1" customWidth="1"/>
    <col min="5378" max="5629" width="9.140625" style="1"/>
    <col min="5630" max="5630" width="1.42578125" style="1" customWidth="1"/>
    <col min="5631" max="5631" width="31.28515625" style="1" customWidth="1"/>
    <col min="5632" max="5632" width="83.5703125" style="1" bestFit="1" customWidth="1"/>
    <col min="5633" max="5633" width="51.7109375" style="1" customWidth="1"/>
    <col min="5634" max="5885" width="9.140625" style="1"/>
    <col min="5886" max="5886" width="1.42578125" style="1" customWidth="1"/>
    <col min="5887" max="5887" width="31.28515625" style="1" customWidth="1"/>
    <col min="5888" max="5888" width="83.5703125" style="1" bestFit="1" customWidth="1"/>
    <col min="5889" max="5889" width="51.7109375" style="1" customWidth="1"/>
    <col min="5890" max="6141" width="9.140625" style="1"/>
    <col min="6142" max="6142" width="1.42578125" style="1" customWidth="1"/>
    <col min="6143" max="6143" width="31.28515625" style="1" customWidth="1"/>
    <col min="6144" max="6144" width="83.5703125" style="1" bestFit="1" customWidth="1"/>
    <col min="6145" max="6145" width="51.7109375" style="1" customWidth="1"/>
    <col min="6146" max="6397" width="9.140625" style="1"/>
    <col min="6398" max="6398" width="1.42578125" style="1" customWidth="1"/>
    <col min="6399" max="6399" width="31.28515625" style="1" customWidth="1"/>
    <col min="6400" max="6400" width="83.5703125" style="1" bestFit="1" customWidth="1"/>
    <col min="6401" max="6401" width="51.7109375" style="1" customWidth="1"/>
    <col min="6402" max="6653" width="9.140625" style="1"/>
    <col min="6654" max="6654" width="1.42578125" style="1" customWidth="1"/>
    <col min="6655" max="6655" width="31.28515625" style="1" customWidth="1"/>
    <col min="6656" max="6656" width="83.5703125" style="1" bestFit="1" customWidth="1"/>
    <col min="6657" max="6657" width="51.7109375" style="1" customWidth="1"/>
    <col min="6658" max="6909" width="9.140625" style="1"/>
    <col min="6910" max="6910" width="1.42578125" style="1" customWidth="1"/>
    <col min="6911" max="6911" width="31.28515625" style="1" customWidth="1"/>
    <col min="6912" max="6912" width="83.5703125" style="1" bestFit="1" customWidth="1"/>
    <col min="6913" max="6913" width="51.7109375" style="1" customWidth="1"/>
    <col min="6914" max="7165" width="9.140625" style="1"/>
    <col min="7166" max="7166" width="1.42578125" style="1" customWidth="1"/>
    <col min="7167" max="7167" width="31.28515625" style="1" customWidth="1"/>
    <col min="7168" max="7168" width="83.5703125" style="1" bestFit="1" customWidth="1"/>
    <col min="7169" max="7169" width="51.7109375" style="1" customWidth="1"/>
    <col min="7170" max="7421" width="9.140625" style="1"/>
    <col min="7422" max="7422" width="1.42578125" style="1" customWidth="1"/>
    <col min="7423" max="7423" width="31.28515625" style="1" customWidth="1"/>
    <col min="7424" max="7424" width="83.5703125" style="1" bestFit="1" customWidth="1"/>
    <col min="7425" max="7425" width="51.7109375" style="1" customWidth="1"/>
    <col min="7426" max="7677" width="9.140625" style="1"/>
    <col min="7678" max="7678" width="1.42578125" style="1" customWidth="1"/>
    <col min="7679" max="7679" width="31.28515625" style="1" customWidth="1"/>
    <col min="7680" max="7680" width="83.5703125" style="1" bestFit="1" customWidth="1"/>
    <col min="7681" max="7681" width="51.7109375" style="1" customWidth="1"/>
    <col min="7682" max="7933" width="9.140625" style="1"/>
    <col min="7934" max="7934" width="1.42578125" style="1" customWidth="1"/>
    <col min="7935" max="7935" width="31.28515625" style="1" customWidth="1"/>
    <col min="7936" max="7936" width="83.5703125" style="1" bestFit="1" customWidth="1"/>
    <col min="7937" max="7937" width="51.7109375" style="1" customWidth="1"/>
    <col min="7938" max="8189" width="9.140625" style="1"/>
    <col min="8190" max="8190" width="1.42578125" style="1" customWidth="1"/>
    <col min="8191" max="8191" width="31.28515625" style="1" customWidth="1"/>
    <col min="8192" max="8192" width="83.5703125" style="1" bestFit="1" customWidth="1"/>
    <col min="8193" max="8193" width="51.7109375" style="1" customWidth="1"/>
    <col min="8194" max="8445" width="9.140625" style="1"/>
    <col min="8446" max="8446" width="1.42578125" style="1" customWidth="1"/>
    <col min="8447" max="8447" width="31.28515625" style="1" customWidth="1"/>
    <col min="8448" max="8448" width="83.5703125" style="1" bestFit="1" customWidth="1"/>
    <col min="8449" max="8449" width="51.7109375" style="1" customWidth="1"/>
    <col min="8450" max="8701" width="9.140625" style="1"/>
    <col min="8702" max="8702" width="1.42578125" style="1" customWidth="1"/>
    <col min="8703" max="8703" width="31.28515625" style="1" customWidth="1"/>
    <col min="8704" max="8704" width="83.5703125" style="1" bestFit="1" customWidth="1"/>
    <col min="8705" max="8705" width="51.7109375" style="1" customWidth="1"/>
    <col min="8706" max="8957" width="9.140625" style="1"/>
    <col min="8958" max="8958" width="1.42578125" style="1" customWidth="1"/>
    <col min="8959" max="8959" width="31.28515625" style="1" customWidth="1"/>
    <col min="8960" max="8960" width="83.5703125" style="1" bestFit="1" customWidth="1"/>
    <col min="8961" max="8961" width="51.7109375" style="1" customWidth="1"/>
    <col min="8962" max="9213" width="9.140625" style="1"/>
    <col min="9214" max="9214" width="1.42578125" style="1" customWidth="1"/>
    <col min="9215" max="9215" width="31.28515625" style="1" customWidth="1"/>
    <col min="9216" max="9216" width="83.5703125" style="1" bestFit="1" customWidth="1"/>
    <col min="9217" max="9217" width="51.7109375" style="1" customWidth="1"/>
    <col min="9218" max="9469" width="9.140625" style="1"/>
    <col min="9470" max="9470" width="1.42578125" style="1" customWidth="1"/>
    <col min="9471" max="9471" width="31.28515625" style="1" customWidth="1"/>
    <col min="9472" max="9472" width="83.5703125" style="1" bestFit="1" customWidth="1"/>
    <col min="9473" max="9473" width="51.7109375" style="1" customWidth="1"/>
    <col min="9474" max="9725" width="9.140625" style="1"/>
    <col min="9726" max="9726" width="1.42578125" style="1" customWidth="1"/>
    <col min="9727" max="9727" width="31.28515625" style="1" customWidth="1"/>
    <col min="9728" max="9728" width="83.5703125" style="1" bestFit="1" customWidth="1"/>
    <col min="9729" max="9729" width="51.7109375" style="1" customWidth="1"/>
    <col min="9730" max="9981" width="9.140625" style="1"/>
    <col min="9982" max="9982" width="1.42578125" style="1" customWidth="1"/>
    <col min="9983" max="9983" width="31.28515625" style="1" customWidth="1"/>
    <col min="9984" max="9984" width="83.5703125" style="1" bestFit="1" customWidth="1"/>
    <col min="9985" max="9985" width="51.7109375" style="1" customWidth="1"/>
    <col min="9986" max="10237" width="9.140625" style="1"/>
    <col min="10238" max="10238" width="1.42578125" style="1" customWidth="1"/>
    <col min="10239" max="10239" width="31.28515625" style="1" customWidth="1"/>
    <col min="10240" max="10240" width="83.5703125" style="1" bestFit="1" customWidth="1"/>
    <col min="10241" max="10241" width="51.7109375" style="1" customWidth="1"/>
    <col min="10242" max="10493" width="9.140625" style="1"/>
    <col min="10494" max="10494" width="1.42578125" style="1" customWidth="1"/>
    <col min="10495" max="10495" width="31.28515625" style="1" customWidth="1"/>
    <col min="10496" max="10496" width="83.5703125" style="1" bestFit="1" customWidth="1"/>
    <col min="10497" max="10497" width="51.7109375" style="1" customWidth="1"/>
    <col min="10498" max="10749" width="9.140625" style="1"/>
    <col min="10750" max="10750" width="1.42578125" style="1" customWidth="1"/>
    <col min="10751" max="10751" width="31.28515625" style="1" customWidth="1"/>
    <col min="10752" max="10752" width="83.5703125" style="1" bestFit="1" customWidth="1"/>
    <col min="10753" max="10753" width="51.7109375" style="1" customWidth="1"/>
    <col min="10754" max="11005" width="9.140625" style="1"/>
    <col min="11006" max="11006" width="1.42578125" style="1" customWidth="1"/>
    <col min="11007" max="11007" width="31.28515625" style="1" customWidth="1"/>
    <col min="11008" max="11008" width="83.5703125" style="1" bestFit="1" customWidth="1"/>
    <col min="11009" max="11009" width="51.7109375" style="1" customWidth="1"/>
    <col min="11010" max="11261" width="9.140625" style="1"/>
    <col min="11262" max="11262" width="1.42578125" style="1" customWidth="1"/>
    <col min="11263" max="11263" width="31.28515625" style="1" customWidth="1"/>
    <col min="11264" max="11264" width="83.5703125" style="1" bestFit="1" customWidth="1"/>
    <col min="11265" max="11265" width="51.7109375" style="1" customWidth="1"/>
    <col min="11266" max="11517" width="9.140625" style="1"/>
    <col min="11518" max="11518" width="1.42578125" style="1" customWidth="1"/>
    <col min="11519" max="11519" width="31.28515625" style="1" customWidth="1"/>
    <col min="11520" max="11520" width="83.5703125" style="1" bestFit="1" customWidth="1"/>
    <col min="11521" max="11521" width="51.7109375" style="1" customWidth="1"/>
    <col min="11522" max="11773" width="9.140625" style="1"/>
    <col min="11774" max="11774" width="1.42578125" style="1" customWidth="1"/>
    <col min="11775" max="11775" width="31.28515625" style="1" customWidth="1"/>
    <col min="11776" max="11776" width="83.5703125" style="1" bestFit="1" customWidth="1"/>
    <col min="11777" max="11777" width="51.7109375" style="1" customWidth="1"/>
    <col min="11778" max="12029" width="9.140625" style="1"/>
    <col min="12030" max="12030" width="1.42578125" style="1" customWidth="1"/>
    <col min="12031" max="12031" width="31.28515625" style="1" customWidth="1"/>
    <col min="12032" max="12032" width="83.5703125" style="1" bestFit="1" customWidth="1"/>
    <col min="12033" max="12033" width="51.7109375" style="1" customWidth="1"/>
    <col min="12034" max="12285" width="9.140625" style="1"/>
    <col min="12286" max="12286" width="1.42578125" style="1" customWidth="1"/>
    <col min="12287" max="12287" width="31.28515625" style="1" customWidth="1"/>
    <col min="12288" max="12288" width="83.5703125" style="1" bestFit="1" customWidth="1"/>
    <col min="12289" max="12289" width="51.7109375" style="1" customWidth="1"/>
    <col min="12290" max="12541" width="9.140625" style="1"/>
    <col min="12542" max="12542" width="1.42578125" style="1" customWidth="1"/>
    <col min="12543" max="12543" width="31.28515625" style="1" customWidth="1"/>
    <col min="12544" max="12544" width="83.5703125" style="1" bestFit="1" customWidth="1"/>
    <col min="12545" max="12545" width="51.7109375" style="1" customWidth="1"/>
    <col min="12546" max="12797" width="9.140625" style="1"/>
    <col min="12798" max="12798" width="1.42578125" style="1" customWidth="1"/>
    <col min="12799" max="12799" width="31.28515625" style="1" customWidth="1"/>
    <col min="12800" max="12800" width="83.5703125" style="1" bestFit="1" customWidth="1"/>
    <col min="12801" max="12801" width="51.7109375" style="1" customWidth="1"/>
    <col min="12802" max="13053" width="9.140625" style="1"/>
    <col min="13054" max="13054" width="1.42578125" style="1" customWidth="1"/>
    <col min="13055" max="13055" width="31.28515625" style="1" customWidth="1"/>
    <col min="13056" max="13056" width="83.5703125" style="1" bestFit="1" customWidth="1"/>
    <col min="13057" max="13057" width="51.7109375" style="1" customWidth="1"/>
    <col min="13058" max="13309" width="9.140625" style="1"/>
    <col min="13310" max="13310" width="1.42578125" style="1" customWidth="1"/>
    <col min="13311" max="13311" width="31.28515625" style="1" customWidth="1"/>
    <col min="13312" max="13312" width="83.5703125" style="1" bestFit="1" customWidth="1"/>
    <col min="13313" max="13313" width="51.7109375" style="1" customWidth="1"/>
    <col min="13314" max="13565" width="9.140625" style="1"/>
    <col min="13566" max="13566" width="1.42578125" style="1" customWidth="1"/>
    <col min="13567" max="13567" width="31.28515625" style="1" customWidth="1"/>
    <col min="13568" max="13568" width="83.5703125" style="1" bestFit="1" customWidth="1"/>
    <col min="13569" max="13569" width="51.7109375" style="1" customWidth="1"/>
    <col min="13570" max="13821" width="9.140625" style="1"/>
    <col min="13822" max="13822" width="1.42578125" style="1" customWidth="1"/>
    <col min="13823" max="13823" width="31.28515625" style="1" customWidth="1"/>
    <col min="13824" max="13824" width="83.5703125" style="1" bestFit="1" customWidth="1"/>
    <col min="13825" max="13825" width="51.7109375" style="1" customWidth="1"/>
    <col min="13826" max="14077" width="9.140625" style="1"/>
    <col min="14078" max="14078" width="1.42578125" style="1" customWidth="1"/>
    <col min="14079" max="14079" width="31.28515625" style="1" customWidth="1"/>
    <col min="14080" max="14080" width="83.5703125" style="1" bestFit="1" customWidth="1"/>
    <col min="14081" max="14081" width="51.7109375" style="1" customWidth="1"/>
    <col min="14082" max="14333" width="9.140625" style="1"/>
    <col min="14334" max="14334" width="1.42578125" style="1" customWidth="1"/>
    <col min="14335" max="14335" width="31.28515625" style="1" customWidth="1"/>
    <col min="14336" max="14336" width="83.5703125" style="1" bestFit="1" customWidth="1"/>
    <col min="14337" max="14337" width="51.7109375" style="1" customWidth="1"/>
    <col min="14338" max="14589" width="9.140625" style="1"/>
    <col min="14590" max="14590" width="1.42578125" style="1" customWidth="1"/>
    <col min="14591" max="14591" width="31.28515625" style="1" customWidth="1"/>
    <col min="14592" max="14592" width="83.5703125" style="1" bestFit="1" customWidth="1"/>
    <col min="14593" max="14593" width="51.7109375" style="1" customWidth="1"/>
    <col min="14594" max="14845" width="9.140625" style="1"/>
    <col min="14846" max="14846" width="1.42578125" style="1" customWidth="1"/>
    <col min="14847" max="14847" width="31.28515625" style="1" customWidth="1"/>
    <col min="14848" max="14848" width="83.5703125" style="1" bestFit="1" customWidth="1"/>
    <col min="14849" max="14849" width="51.7109375" style="1" customWidth="1"/>
    <col min="14850" max="15101" width="9.140625" style="1"/>
    <col min="15102" max="15102" width="1.42578125" style="1" customWidth="1"/>
    <col min="15103" max="15103" width="31.28515625" style="1" customWidth="1"/>
    <col min="15104" max="15104" width="83.5703125" style="1" bestFit="1" customWidth="1"/>
    <col min="15105" max="15105" width="51.7109375" style="1" customWidth="1"/>
    <col min="15106" max="15357" width="9.140625" style="1"/>
    <col min="15358" max="15358" width="1.42578125" style="1" customWidth="1"/>
    <col min="15359" max="15359" width="31.28515625" style="1" customWidth="1"/>
    <col min="15360" max="15360" width="83.5703125" style="1" bestFit="1" customWidth="1"/>
    <col min="15361" max="15361" width="51.7109375" style="1" customWidth="1"/>
    <col min="15362" max="15613" width="9.140625" style="1"/>
    <col min="15614" max="15614" width="1.42578125" style="1" customWidth="1"/>
    <col min="15615" max="15615" width="31.28515625" style="1" customWidth="1"/>
    <col min="15616" max="15616" width="83.5703125" style="1" bestFit="1" customWidth="1"/>
    <col min="15617" max="15617" width="51.7109375" style="1" customWidth="1"/>
    <col min="15618" max="15869" width="9.140625" style="1"/>
    <col min="15870" max="15870" width="1.42578125" style="1" customWidth="1"/>
    <col min="15871" max="15871" width="31.28515625" style="1" customWidth="1"/>
    <col min="15872" max="15872" width="83.5703125" style="1" bestFit="1" customWidth="1"/>
    <col min="15873" max="15873" width="51.7109375" style="1" customWidth="1"/>
    <col min="15874" max="16125" width="9.140625" style="1"/>
    <col min="16126" max="16126" width="1.42578125" style="1" customWidth="1"/>
    <col min="16127" max="16127" width="31.28515625" style="1" customWidth="1"/>
    <col min="16128" max="16128" width="83.5703125" style="1" bestFit="1" customWidth="1"/>
    <col min="16129" max="16129" width="51.7109375" style="1" customWidth="1"/>
    <col min="16130" max="16384" width="9.140625" style="1"/>
  </cols>
  <sheetData>
    <row r="1" spans="1:14" ht="60" customHeight="1" x14ac:dyDescent="0.25">
      <c r="A1" s="43"/>
      <c r="B1" s="43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4" ht="60" customHeight="1" x14ac:dyDescent="0.25">
      <c r="A2" s="47" t="s">
        <v>30</v>
      </c>
      <c r="B2" s="47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</row>
    <row r="3" spans="1:14" ht="15" customHeight="1" x14ac:dyDescent="0.25">
      <c r="A3" s="47"/>
      <c r="B3" s="47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15" customHeight="1" x14ac:dyDescent="0.25">
      <c r="A4" s="4" t="s">
        <v>0</v>
      </c>
      <c r="B4" s="16" t="s">
        <v>44</v>
      </c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</row>
    <row r="5" spans="1:14" ht="15" customHeight="1" x14ac:dyDescent="0.25">
      <c r="A5" s="4" t="s">
        <v>1</v>
      </c>
      <c r="B5" s="16" t="s">
        <v>45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ht="15" customHeight="1" x14ac:dyDescent="0.25">
      <c r="A6" s="4" t="s">
        <v>2</v>
      </c>
      <c r="B6" s="5" t="s">
        <v>28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</row>
    <row r="7" spans="1:14" ht="15" customHeight="1" x14ac:dyDescent="0.25">
      <c r="A7" s="4" t="s">
        <v>3</v>
      </c>
      <c r="B7" s="6">
        <v>46262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</row>
    <row r="8" spans="1:14" s="26" customFormat="1" ht="15" customHeight="1" x14ac:dyDescent="0.25">
      <c r="A8" s="4" t="s">
        <v>4</v>
      </c>
      <c r="B8" s="6" t="s">
        <v>31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</row>
    <row r="9" spans="1:14" ht="15" customHeight="1" x14ac:dyDescent="0.25">
      <c r="A9" s="4" t="s">
        <v>5</v>
      </c>
      <c r="B9" s="5" t="s">
        <v>25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</row>
    <row r="10" spans="1:14" ht="90" customHeight="1" x14ac:dyDescent="0.25">
      <c r="A10" s="42" t="s">
        <v>6</v>
      </c>
      <c r="B10" s="42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120" customHeight="1" x14ac:dyDescent="0.25">
      <c r="A11" s="44" t="s">
        <v>29</v>
      </c>
      <c r="B11" s="45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14" ht="120.75" customHeight="1" x14ac:dyDescent="0.25">
      <c r="A12" s="43"/>
      <c r="B12" s="43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</row>
    <row r="61" ht="15" x14ac:dyDescent="0.25"/>
  </sheetData>
  <mergeCells count="6">
    <mergeCell ref="A10:B10"/>
    <mergeCell ref="A1:B1"/>
    <mergeCell ref="A11:B11"/>
    <mergeCell ref="C1:N12"/>
    <mergeCell ref="A12:B12"/>
    <mergeCell ref="A2:B3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zoomScaleNormal="100" workbookViewId="0">
      <selection sqref="A1:XFD1048576"/>
    </sheetView>
  </sheetViews>
  <sheetFormatPr defaultColWidth="9.140625" defaultRowHeight="15" x14ac:dyDescent="0.25"/>
  <cols>
    <col min="1" max="2" width="10.7109375" style="17" customWidth="1"/>
    <col min="3" max="4" width="12.7109375" style="17" customWidth="1"/>
    <col min="5" max="5" width="30.7109375" style="17" customWidth="1"/>
    <col min="6" max="6" width="10.7109375" style="17" customWidth="1"/>
    <col min="7" max="7" width="30.7109375" style="17" customWidth="1"/>
    <col min="8" max="8" width="10.7109375" style="17" customWidth="1"/>
    <col min="9" max="9" width="30.7109375" style="17" customWidth="1"/>
    <col min="10" max="10" width="45.7109375" style="17" customWidth="1"/>
    <col min="11" max="11" width="10.7109375" style="17" customWidth="1"/>
    <col min="12" max="12" width="9.7109375" style="17" bestFit="1" customWidth="1"/>
    <col min="13" max="16384" width="9.140625" style="17"/>
  </cols>
  <sheetData>
    <row r="1" spans="1:11" ht="30" customHeight="1" thickTop="1" thickBot="1" x14ac:dyDescent="0.3">
      <c r="A1" s="55" t="s">
        <v>4</v>
      </c>
      <c r="B1" s="55"/>
      <c r="C1" s="55"/>
      <c r="D1" s="53" t="str">
        <f>Copertina!B8</f>
        <v>SIES v.12.10.1.0</v>
      </c>
      <c r="E1" s="53"/>
      <c r="F1" s="53"/>
      <c r="G1" s="53"/>
      <c r="H1" s="53"/>
      <c r="I1" s="53"/>
      <c r="J1" s="53"/>
      <c r="K1" s="53"/>
    </row>
    <row r="2" spans="1:11" ht="30" customHeight="1" thickTop="1" thickBot="1" x14ac:dyDescent="0.3">
      <c r="A2" s="55" t="s">
        <v>10</v>
      </c>
      <c r="B2" s="55"/>
      <c r="C2" s="55"/>
      <c r="D2" s="54" t="str">
        <f>Copertina!B4</f>
        <v>B9AD4C2B30_DGSAP_Allegato_al_piano_test_SIES_v.12.10.1.0.xlsx</v>
      </c>
      <c r="E2" s="54"/>
      <c r="F2" s="54"/>
      <c r="G2" s="54"/>
      <c r="H2" s="54"/>
      <c r="I2" s="54"/>
      <c r="J2" s="54"/>
      <c r="K2" s="54"/>
    </row>
    <row r="3" spans="1:11" s="27" customFormat="1" ht="30" customHeight="1" thickTop="1" thickBot="1" x14ac:dyDescent="0.3">
      <c r="A3" s="51" t="s">
        <v>32</v>
      </c>
      <c r="B3" s="52"/>
      <c r="C3" s="52"/>
      <c r="D3" s="48" t="s">
        <v>33</v>
      </c>
      <c r="E3" s="49"/>
      <c r="F3" s="49"/>
      <c r="G3" s="50"/>
      <c r="H3" s="48" t="s">
        <v>43</v>
      </c>
      <c r="I3" s="49"/>
      <c r="J3" s="49"/>
      <c r="K3" s="50"/>
    </row>
    <row r="4" spans="1:11" s="27" customFormat="1" ht="30" customHeight="1" thickTop="1" thickBot="1" x14ac:dyDescent="0.3">
      <c r="A4" s="31" t="s">
        <v>34</v>
      </c>
      <c r="B4" s="31" t="s">
        <v>7</v>
      </c>
      <c r="C4" s="31" t="s">
        <v>35</v>
      </c>
      <c r="D4" s="32" t="s">
        <v>8</v>
      </c>
      <c r="E4" s="32" t="s">
        <v>36</v>
      </c>
      <c r="F4" s="32" t="s">
        <v>8</v>
      </c>
      <c r="G4" s="32" t="s">
        <v>37</v>
      </c>
      <c r="H4" s="33" t="s">
        <v>8</v>
      </c>
      <c r="I4" s="34" t="s">
        <v>38</v>
      </c>
      <c r="J4" s="33" t="s">
        <v>39</v>
      </c>
      <c r="K4" s="34" t="s">
        <v>2</v>
      </c>
    </row>
    <row r="5" spans="1:11" s="28" customFormat="1" ht="45" customHeight="1" thickTop="1" thickBot="1" x14ac:dyDescent="0.3">
      <c r="A5" s="29" t="s">
        <v>40</v>
      </c>
      <c r="B5" s="29" t="s">
        <v>41</v>
      </c>
      <c r="C5" s="35">
        <v>20260806014</v>
      </c>
      <c r="D5" s="35">
        <f>C5</f>
        <v>20260806014</v>
      </c>
      <c r="E5" s="36" t="s">
        <v>46</v>
      </c>
      <c r="F5" s="37" t="s">
        <v>47</v>
      </c>
      <c r="G5" s="38" t="str">
        <f>CONCATENATE(F5," - ",E5)</f>
        <v>SIGE - Eliminazione sentenza dal SIGE</v>
      </c>
      <c r="H5" s="39" t="str">
        <f>CONCATENATE("TF001.",F5)</f>
        <v>TF001.SIGE</v>
      </c>
      <c r="I5" s="30" t="s">
        <v>48</v>
      </c>
      <c r="J5" s="39" t="s">
        <v>49</v>
      </c>
      <c r="K5" s="40" t="s">
        <v>42</v>
      </c>
    </row>
    <row r="6" spans="1:11" ht="15.75" thickTop="1" x14ac:dyDescent="0.25"/>
  </sheetData>
  <mergeCells count="7">
    <mergeCell ref="H3:K3"/>
    <mergeCell ref="A3:C3"/>
    <mergeCell ref="D3:G3"/>
    <mergeCell ref="D1:K1"/>
    <mergeCell ref="D2:K2"/>
    <mergeCell ref="A1:C1"/>
    <mergeCell ref="A2:C2"/>
  </mergeCells>
  <phoneticPr fontId="12" type="noConversion"/>
  <pageMargins left="0.7" right="0.7" top="0.75" bottom="0.75" header="0.3" footer="0.3"/>
  <pageSetup paperSize="9" scale="7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"/>
  <sheetViews>
    <sheetView zoomScaleNormal="100" workbookViewId="0">
      <selection sqref="A1:XFD1048576"/>
    </sheetView>
  </sheetViews>
  <sheetFormatPr defaultColWidth="5.7109375" defaultRowHeight="30" customHeight="1" x14ac:dyDescent="0.25"/>
  <cols>
    <col min="1" max="1" width="15.7109375" style="17" customWidth="1"/>
    <col min="2" max="2" width="10.7109375" style="17" customWidth="1"/>
    <col min="3" max="3" width="20.7109375" style="17" customWidth="1"/>
    <col min="4" max="4" width="55.7109375" style="17" customWidth="1"/>
    <col min="5" max="5" width="30.7109375" style="17" customWidth="1"/>
    <col min="6" max="6" width="45.7109375" style="17" customWidth="1"/>
    <col min="7" max="7" width="5.7109375" style="17" customWidth="1"/>
    <col min="8" max="16384" width="5.7109375" style="17"/>
  </cols>
  <sheetData>
    <row r="1" spans="1:7" ht="30" customHeight="1" thickBot="1" x14ac:dyDescent="0.35">
      <c r="A1" s="59" t="s">
        <v>4</v>
      </c>
      <c r="B1" s="60"/>
      <c r="C1" s="61"/>
      <c r="D1" s="62" t="str">
        <f>Copertina!B8</f>
        <v>SIES v.12.10.1.0</v>
      </c>
      <c r="E1" s="63"/>
      <c r="F1" s="63"/>
      <c r="G1" s="63"/>
    </row>
    <row r="2" spans="1:7" ht="30" customHeight="1" thickBot="1" x14ac:dyDescent="0.35">
      <c r="A2" s="59" t="s">
        <v>10</v>
      </c>
      <c r="B2" s="64"/>
      <c r="C2" s="65"/>
      <c r="D2" s="63" t="str">
        <f>Copertina!B4</f>
        <v>B9AD4C2B30_DGSAP_Allegato_al_piano_test_SIES_v.12.10.1.0.xlsx</v>
      </c>
      <c r="E2" s="63"/>
      <c r="F2" s="63"/>
      <c r="G2" s="63"/>
    </row>
    <row r="3" spans="1:7" ht="30" customHeight="1" thickBot="1" x14ac:dyDescent="0.35">
      <c r="A3" s="15" t="s">
        <v>11</v>
      </c>
      <c r="B3" s="66" t="s">
        <v>12</v>
      </c>
      <c r="C3" s="66"/>
      <c r="D3" s="66" t="s">
        <v>14</v>
      </c>
      <c r="E3" s="66"/>
      <c r="F3" s="66" t="s">
        <v>13</v>
      </c>
      <c r="G3" s="66"/>
    </row>
    <row r="4" spans="1:7" ht="45" customHeight="1" thickBot="1" x14ac:dyDescent="0.3">
      <c r="A4" s="20" t="str">
        <f>TabellaTest!H5</f>
        <v>TF001.SIGE</v>
      </c>
      <c r="B4" s="68">
        <f>TabellaTest!C5</f>
        <v>20260806014</v>
      </c>
      <c r="C4" s="67"/>
      <c r="D4" s="69" t="str">
        <f>TabellaTest!I5</f>
        <v>Errore de-assegnazione procedimento SIEP</v>
      </c>
      <c r="E4" s="61"/>
      <c r="F4" s="67" t="str">
        <f>TabellaTest!J5</f>
        <v>Verifica: Verificare il corretto funzionamento della de-assegnazione del procedimento SIEP dal fascicolo SIGE in caso di comune ambiguo</v>
      </c>
      <c r="G4" s="61"/>
    </row>
    <row r="5" spans="1:7" ht="30" customHeight="1" x14ac:dyDescent="0.25">
      <c r="A5" s="56"/>
      <c r="B5" s="18" t="s">
        <v>15</v>
      </c>
      <c r="C5" s="7" t="s">
        <v>16</v>
      </c>
      <c r="D5" s="2" t="s">
        <v>17</v>
      </c>
      <c r="E5" s="2" t="s">
        <v>18</v>
      </c>
      <c r="F5" s="2" t="s">
        <v>19</v>
      </c>
      <c r="G5" s="3" t="s">
        <v>9</v>
      </c>
    </row>
    <row r="6" spans="1:7" s="1" customFormat="1" ht="30" customHeight="1" x14ac:dyDescent="0.25">
      <c r="A6" s="57"/>
      <c r="B6" s="22" t="s">
        <v>20</v>
      </c>
      <c r="C6" s="8" t="s">
        <v>21</v>
      </c>
      <c r="D6" s="9" t="s">
        <v>50</v>
      </c>
      <c r="E6" s="9" t="s">
        <v>51</v>
      </c>
      <c r="F6" s="9"/>
      <c r="G6" s="10"/>
    </row>
    <row r="7" spans="1:7" s="1" customFormat="1" ht="30" customHeight="1" x14ac:dyDescent="0.25">
      <c r="A7" s="57"/>
      <c r="B7" s="22" t="s">
        <v>20</v>
      </c>
      <c r="C7" s="8" t="s">
        <v>22</v>
      </c>
      <c r="D7" s="9" t="s">
        <v>52</v>
      </c>
      <c r="E7" s="9"/>
      <c r="F7" s="19" t="s">
        <v>56</v>
      </c>
      <c r="G7" s="10"/>
    </row>
    <row r="8" spans="1:7" s="1" customFormat="1" ht="30" customHeight="1" x14ac:dyDescent="0.25">
      <c r="A8" s="57"/>
      <c r="B8" s="23">
        <v>1</v>
      </c>
      <c r="C8" s="11" t="s">
        <v>23</v>
      </c>
      <c r="D8" s="12" t="s">
        <v>53</v>
      </c>
      <c r="E8" s="13"/>
      <c r="F8" s="9" t="s">
        <v>57</v>
      </c>
      <c r="G8" s="10"/>
    </row>
    <row r="9" spans="1:7" s="41" customFormat="1" ht="30" customHeight="1" x14ac:dyDescent="0.25">
      <c r="A9" s="57"/>
      <c r="B9" s="70">
        <v>2</v>
      </c>
      <c r="C9" s="71" t="s">
        <v>24</v>
      </c>
      <c r="D9" s="72" t="s">
        <v>58</v>
      </c>
      <c r="E9" s="76" t="s">
        <v>59</v>
      </c>
      <c r="F9" s="72"/>
      <c r="G9" s="73"/>
    </row>
    <row r="10" spans="1:7" s="1" customFormat="1" ht="30" customHeight="1" thickBot="1" x14ac:dyDescent="0.3">
      <c r="A10" s="58"/>
      <c r="B10" s="24" t="s">
        <v>26</v>
      </c>
      <c r="C10" s="25" t="s">
        <v>27</v>
      </c>
      <c r="D10" s="21" t="s">
        <v>54</v>
      </c>
      <c r="E10" s="75" t="s">
        <v>60</v>
      </c>
      <c r="F10" s="74" t="s">
        <v>55</v>
      </c>
      <c r="G10" s="14"/>
    </row>
  </sheetData>
  <autoFilter ref="A3:G3">
    <filterColumn colId="1" showButton="0"/>
    <filterColumn colId="3" showButton="0"/>
    <filterColumn colId="5" showButton="0"/>
  </autoFilter>
  <mergeCells count="11">
    <mergeCell ref="A5:A10"/>
    <mergeCell ref="A1:C1"/>
    <mergeCell ref="D1:G1"/>
    <mergeCell ref="A2:C2"/>
    <mergeCell ref="D2:G2"/>
    <mergeCell ref="B3:C3"/>
    <mergeCell ref="D3:E3"/>
    <mergeCell ref="F3:G3"/>
    <mergeCell ref="F4:G4"/>
    <mergeCell ref="B4:C4"/>
    <mergeCell ref="D4:E4"/>
  </mergeCells>
  <phoneticPr fontId="12" type="noConversion"/>
  <pageMargins left="0.70866141732283472" right="0.70866141732283472" top="0.74803149606299213" bottom="0.74803149606299213" header="0.31496062992125984" footer="0.31496062992125984"/>
  <pageSetup paperSize="9" scale="9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661A27DDB5564DB260D886781D2EAA" ma:contentTypeVersion="11" ma:contentTypeDescription="Creare un nuovo documento." ma:contentTypeScope="" ma:versionID="18792330a02ec04c91ad73c241055c66">
  <xsd:schema xmlns:xsd="http://www.w3.org/2001/XMLSchema" xmlns:xs="http://www.w3.org/2001/XMLSchema" xmlns:p="http://schemas.microsoft.com/office/2006/metadata/properties" xmlns:ns2="75e085f0-8718-4866-8354-8788ce640d21" xmlns:ns3="f725a5e7-e092-40ab-9dcc-515fa0d4e97d" targetNamespace="http://schemas.microsoft.com/office/2006/metadata/properties" ma:root="true" ma:fieldsID="d7bf31fac48d061536d5445345bac2c5" ns2:_="" ns3:_="">
    <xsd:import namespace="75e085f0-8718-4866-8354-8788ce640d21"/>
    <xsd:import namespace="f725a5e7-e092-40ab-9dcc-515fa0d4e9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085f0-8718-4866-8354-8788ce640d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Tag immagine" ma:readOnly="false" ma:fieldId="{5cf76f15-5ced-4ddc-b409-7134ff3c332f}" ma:taxonomyMulti="true" ma:sspId="b722dba8-3084-4906-8dc6-75cf808513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5a5e7-e092-40ab-9dcc-515fa0d4e97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943caba-b22c-4483-8ea5-f3a8d07f480f}" ma:internalName="TaxCatchAll" ma:showField="CatchAllData" ma:web="f725a5e7-e092-40ab-9dcc-515fa0d4e9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e085f0-8718-4866-8354-8788ce640d21">
      <Terms xmlns="http://schemas.microsoft.com/office/infopath/2007/PartnerControls"/>
    </lcf76f155ced4ddcb4097134ff3c332f>
    <TaxCatchAll xmlns="f725a5e7-e092-40ab-9dcc-515fa0d4e97d"/>
  </documentManagement>
</p:properties>
</file>

<file path=customXml/itemProps1.xml><?xml version="1.0" encoding="utf-8"?>
<ds:datastoreItem xmlns:ds="http://schemas.openxmlformats.org/officeDocument/2006/customXml" ds:itemID="{5455A0B3-A4AD-4E08-9E6A-60A20509E2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e085f0-8718-4866-8354-8788ce640d21"/>
    <ds:schemaRef ds:uri="f725a5e7-e092-40ab-9dcc-515fa0d4e9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C65E7D-62B2-458A-867B-AE3870757B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4AF41E-29B3-43BC-B98B-31320DADB270}">
  <ds:schemaRefs>
    <ds:schemaRef ds:uri="http://schemas.microsoft.com/office/2006/metadata/properties"/>
    <ds:schemaRef ds:uri="75e085f0-8718-4866-8354-8788ce640d21"/>
    <ds:schemaRef ds:uri="http://purl.org/dc/terms/"/>
    <ds:schemaRef ds:uri="f725a5e7-e092-40ab-9dcc-515fa0d4e97d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Copertina</vt:lpstr>
      <vt:lpstr>TabellaTest</vt:lpstr>
      <vt:lpstr>SpecificaTest</vt:lpstr>
    </vt:vector>
  </TitlesOfParts>
  <Manager>Vito NIcola Bufi</Manager>
  <Company>Engineering Ingegneria Informatica S.p.A.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Allegato al Piano di Test</dc:title>
  <dc:subject>Piano dei test</dc:subject>
  <dc:creator>Umberto Mignogna</dc:creator>
  <cp:keywords>PT</cp:keywords>
  <dc:description>Piano dei Test per v.12.10.1.0</dc:description>
  <cp:lastModifiedBy>Simone Gioggi</cp:lastModifiedBy>
  <cp:revision>1</cp:revision>
  <cp:lastPrinted>2019-11-08T14:17:06Z</cp:lastPrinted>
  <dcterms:created xsi:type="dcterms:W3CDTF">2019-11-07T09:38:15Z</dcterms:created>
  <dcterms:modified xsi:type="dcterms:W3CDTF">2026-08-12T09:50:48Z</dcterms:modified>
  <cp:category>Documentazione</cp:category>
  <cp:version>1.0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0x010100E8661A27DDB5564DB260D886781D2EAA</vt:lpwstr>
  </property>
</Properties>
</file>