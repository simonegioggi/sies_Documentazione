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C20" i="182" l="1"/>
  <c r="B20" i="182"/>
  <c r="G20" i="182"/>
  <c r="E20" i="182"/>
  <c r="A20" i="182"/>
  <c r="K6" i="209"/>
  <c r="J6" i="209"/>
  <c r="F6" i="209"/>
  <c r="C12" i="182" l="1"/>
  <c r="B12" i="182"/>
  <c r="G12" i="182"/>
  <c r="E12" i="182"/>
  <c r="A12" i="182"/>
  <c r="K5" i="209"/>
  <c r="J5" i="209"/>
  <c r="F5" i="209"/>
  <c r="K4" i="209" l="1"/>
  <c r="C4" i="182" l="1"/>
  <c r="B4" i="182"/>
  <c r="G4" i="182"/>
  <c r="E4" i="182"/>
  <c r="A4" i="182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<sst xmlns="http://schemas.openxmlformats.org/spreadsheetml/2006/main" count="1240" uniqueCount="654">
  <si>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</si>
  <si>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</si>
  <si>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</si>
  <si>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</si>
  <si>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</si>
  <si>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</si>
  <si>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</si>
  <si>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</si>
  <si>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</si>
  <si>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</si>
  <si>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</si>
  <si>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</si>
  <si>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</si>
  <si>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</si>
  <si>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</si>
  <si>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</si>
  <si>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</si>
  <si>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</si>
  <si>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</si>
  <si>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</si>
  <si>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</si>
  <si>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</si>
  <si>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</si>
  <si>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</si>
  <si>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</si>
  <si>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</si>
  <si>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</si>
  <si>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</si>
  <si>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</si>
  <si>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</si>
  <si>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</si>
  <si>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</si>
  <si>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</si>
  <si>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</si>
  <si>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</si>
  <si>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</si>
  <si>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</si>
  <si>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</si>
  <si>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</si>
  <si>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</si>
  <si>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</si>
  <si>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</si>
  <si>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</si>
  <si>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</si>
  <si>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</si>
  <si>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</si>
  <si>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</si>
  <si>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</si>
  <si>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</si>
  <si>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</si>
  <si>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</si>
  <si>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</si>
  <si>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</si>
  <si>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</si>
  <si>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</si>
  <si>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</si>
  <si>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</si>
  <si>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</si>
  <si>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</si>
  <si>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</si>
  <si>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</si>
  <si>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</si>
  <si>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</si>
  <si>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</si>
  <si>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</si>
  <si>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</si>
  <si>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</si>
  <si>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</si>
  <si>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</si>
  <si>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</si>
  <si>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</si>
  <si>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</si>
  <si>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</si>
  <si>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</si>
  <si>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</si>
  <si>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</si>
  <si>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</si>
  <si>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</si>
  <si>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</si>
  <si>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</si>
  <si>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</si>
  <si>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</si>
  <si>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</si>
  <si>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</si>
  <si>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</si>
  <si>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</si>
  <si>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</si>
  <si>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</si>
  <si>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</si>
  <si>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</si>
  <si>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</si>
  <si>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</si>
  <si>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</si>
  <si>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</si>
  <si>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</si>
  <si>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</si>
  <si>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</si>
  <si>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</si>
  <si>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</si>
  <si>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</si>
  <si>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</si>
  <si>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</si>
  <si>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</si>
  <si>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</si>
  <si>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</si>
  <si>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</si>
  <si>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</si>
  <si>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</si>
  <si>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</si>
  <si>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</si>
  <si>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</si>
  <si>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</si>
  <si>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</si>
  <si>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</si>
  <si>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</si>
  <si>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</si>
  <si>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</si>
  <si>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</si>
  <si>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</si>
  <si>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</si>
  <si>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</si>
  <si>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</si>
  <si>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</si>
  <si>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</si>
  <si>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</si>
  <si>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</si>
  <si>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</si>
  <si>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</si>
  <si>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</si>
  <si>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</si>
  <si>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</si>
  <si>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</si>
  <si>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</si>
  <si>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</si>
  <si>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</si>
  <si>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</si>
  <si>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</si>
  <si>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</si>
  <si>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</si>
  <si>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</si>
  <si>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</si>
  <si>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</si>
  <si>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</si>
  <si>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</si>
  <si>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</si>
  <si>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</si>
  <si>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</si>
  <si>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</si>
  <si>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</si>
  <si>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</si>
  <si>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</si>
  <si>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</si>
  <si>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</si>
  <si>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</si>
  <si>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</si>
  <si>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</si>
  <si>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</si>
  <si>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</si>
  <si>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</si>
  <si>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</si>
  <si>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</si>
  <si>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</si>
  <si>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</si>
  <si>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</si>
  <si>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</si>
  <si>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</si>
  <si>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</si>
  <si>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</si>
  <si>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</si>
  <si>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</si>
  <si>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</si>
  <si>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</si>
  <si>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</si>
  <si>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</si>
  <si>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</si>
  <si>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</si>
  <si>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</si>
  <si>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</si>
  <si>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</si>
  <si>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</si>
  <si>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</si>
  <si>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</si>
  <si>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</si>
  <si>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</si>
  <si>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</si>
  <si>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</si>
  <si>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</si>
  <si>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</si>
  <si>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</si>
  <si>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</si>
  <si>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</si>
  <si>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</si>
  <si>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</si>
  <si>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</si>
  <si>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</si>
  <si>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</si>
  <si>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</si>
  <si>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</si>
  <si>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</si>
  <si>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</si>
  <si>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</si>
  <si>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</si>
  <si>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</si>
  <si>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</si>
  <si>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</si>
  <si>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</si>
  <si>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</si>
  <si>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</si>
  <si>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</si>
  <si>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</si>
  <si>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</si>
  <si>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</si>
  <si>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</si>
  <si>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</si>
  <si>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</si>
  <si>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</si>
  <si>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</si>
  <si>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</si>
  <si>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</si>
  <si>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</si>
  <si>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</si>
  <si>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</si>
  <si>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</si>
  <si>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</si>
  <si>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</si>
  <si>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</si>
  <si>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</si>
  <si>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</si>
  <si>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</si>
  <si>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</si>
  <si>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</si>
  <si>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</si>
  <si>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</si>
  <si>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</si>
  <si>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</si>
  <si>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</si>
  <si>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</si>
  <si>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</si>
  <si>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</si>
  <si>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</si>
  <si>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</si>
  <si>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</si>
  <si>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</si>
  <si>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</si>
  <si>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</si>
  <si>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</si>
  <si>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</si>
  <si>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</si>
  <si>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</si>
  <si>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</si>
  <si>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</si>
  <si>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</si>
  <si>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</si>
  <si>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</si>
  <si>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</si>
  <si>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</si>
  <si>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</si>
  <si>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</si>
  <si>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</si>
  <si>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</si>
  <si>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</si>
  <si>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</si>
  <si>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</si>
  <si>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</si>
  <si>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</si>
  <si>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</si>
  <si>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</si>
  <si>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</si>
  <si>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</si>
  <si>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</si>
  <si>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</si>
  <si>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</si>
  <si>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</si>
  <si>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</si>
  <si>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</si>
  <si>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</si>
  <si>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</si>
  <si>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</si>
  <si>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</si>
  <si>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</si>
  <si>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</si>
  <si>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</si>
  <si>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</si>
  <si>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</si>
  <si>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</si>
  <si>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</si>
  <si>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</si>
  <si>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</si>
  <si>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</si>
  <si>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</si>
  <si>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</si>
  <si>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</si>
  <si>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</si>
  <si>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</si>
  <si>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</si>
  <si>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</si>
  <si>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</si>
  <si>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</si>
  <si>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</si>
  <si>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</si>
  <si>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</si>
  <si>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</si>
  <si>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</si>
  <si>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</si>
  <si>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</si>
  <si>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</si>
  <si>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</si>
  <si>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</si>
  <si>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</si>
  <si>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</si>
  <si>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</si>
  <si>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</si>
  <si>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</si>
  <si>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</si>
  <si>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</si>
  <si>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</si>
  <si>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</si>
  <si>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</si>
  <si>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</si>
  <si>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</si>
  <si>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</si>
  <si>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</si>
  <si>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</si>
  <si>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</si>
  <si>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</si>
  <si>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</si>
  <si>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</si>
  <si>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</si>
  <si>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</si>
  <si>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</si>
  <si>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</si>
  <si>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</si>
  <si>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</si>
  <si>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</si>
  <si>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</si>
  <si>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</si>
  <si>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</si>
  <si>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</si>
  <si>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</si>
  <si>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</si>
  <si>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</si>
  <si>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</si>
  <si>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</si>
  <si>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</si>
  <si>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</si>
  <si>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</si>
  <si>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</si>
  <si>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</si>
  <si>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</si>
  <si>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</si>
  <si>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</si>
  <si>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</si>
  <si>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</si>
  <si>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</si>
  <si>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</si>
  <si>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</si>
  <si>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</si>
  <si>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</si>
  <si>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</si>
  <si>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</si>
  <si>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</si>
  <si>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</si>
  <si>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</si>
  <si>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</si>
  <si>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</si>
  <si>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</si>
  <si>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</si>
  <si>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</si>
  <si>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</si>
  <si>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</si>
  <si>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</si>
  <si>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</si>
  <si>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</si>
  <si>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</si>
  <si>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</si>
  <si>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</si>
  <si>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</si>
  <si>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</si>
  <si>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</si>
  <si>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</si>
  <si>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</si>
  <si>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</si>
  <si>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</si>
  <si>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</si>
  <si>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</si>
  <si>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</si>
  <si>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</si>
  <si>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</si>
  <si>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</si>
  <si>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</si>
  <si>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</si>
  <si>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</si>
  <si>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</si>
  <si>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</si>
  <si>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</si>
  <si>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</si>
  <si>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</si>
  <si>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</si>
  <si>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</si>
  <si>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</si>
  <si>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</si>
  <si>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</si>
  <si>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</si>
  <si>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</si>
  <si>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</si>
  <si>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</si>
  <si>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</si>
  <si>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</si>
  <si>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</si>
  <si>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</si>
  <si>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</si>
  <si>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</si>
  <si>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</si>
  <si>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</si>
  <si>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</si>
  <si>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</si>
  <si>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</si>
  <si>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</si>
  <si>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</si>
  <si>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</si>
  <si>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</si>
  <si>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</si>
  <si>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</si>
  <si>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</si>
  <si>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</si>
  <si>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</si>
  <si>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</si>
  <si>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</si>
  <si>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</si>
  <si>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</si>
  <si>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</si>
  <si>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</si>
  <si>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</si>
  <si>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</si>
  <si>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</si>
  <si>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</si>
  <si>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</si>
  <si>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</si>
  <si>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</si>
  <si>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</si>
  <si>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</si>
  <si>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</si>
  <si>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</si>
  <si>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</si>
  <si>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</si>
  <si>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</si>
  <si>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</si>
  <si>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</si>
  <si>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</si>
  <si>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</si>
  <si>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</si>
  <si>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</si>
  <si>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</si>
  <si>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</si>
  <si>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</si>
  <si>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</si>
  <si>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</si>
  <si>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</si>
  <si>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</si>
  <si>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</si>
  <si>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</si>
  <si>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</si>
  <si>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</si>
  <si>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</si>
  <si>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</si>
  <si>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</si>
  <si>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</si>
  <si>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</si>
  <si>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</si>
  <si>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</si>
  <si>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</si>
  <si>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</si>
  <si>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</si>
  <si>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</si>
  <si>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</si>
  <si>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</si>
  <si>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</si>
  <si>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</si>
  <si>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</si>
  <si>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</si>
  <si>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</si>
  <si>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</si>
  <si>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</si>
  <si>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</si>
  <si>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</si>
  <si>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</si>
  <si>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</si>
  <si>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</si>
  <si>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</si>
  <si>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</si>
  <si>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</si>
  <si>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</si>
  <si>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</si>
  <si>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</si>
  <si>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</si>
  <si>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</si>
  <si>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</si>
  <si>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</si>
  <si>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</si>
  <si>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</si>
  <si>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</si>
  <si>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</si>
  <si>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</si>
  <si>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</si>
  <si>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</si>
  <si>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</si>
  <si>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</si>
  <si>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</si>
  <si>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</si>
  <si>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</si>
  <si>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</si>
  <si>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</si>
  <si>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</si>
  <si>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</si>
  <si>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</si>
  <si>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</si>
  <si>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</si>
  <si>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</si>
  <si>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</si>
  <si>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</si>
  <si>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</si>
  <si>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</si>
  <si>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</si>
  <si>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</si>
  <si>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</si>
  <si>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</si>
  <si>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</si>
  <si>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</si>
  <si>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</si>
  <si>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</si>
  <si>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</si>
  <si>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</si>
  <si>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</si>
  <si>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</si>
  <si>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</si>
  <si>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</si>
  <si>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</si>
  <si>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</si>
  <si>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</si>
  <si>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</si>
  <si>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</si>
  <si>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</si>
  <si>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</si>
  <si>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</si>
  <si>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</si>
  <si>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</si>
  <si>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</si>
  <si>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</si>
  <si>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</si>
  <si>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</si>
  <si>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</si>
  <si>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</si>
  <si>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</si>
  <si>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</si>
  <si>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</si>
  <si>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</si>
  <si>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</si>
  <si>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</si>
  <si>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</si>
  <si>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</si>
  <si>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</si>
  <si>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</si>
  <si>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</si>
  <si>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</si>
  <si>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</si>
  <si>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</si>
  <si>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</si>
  <si>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</si>
  <si>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</si>
  <si>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</si>
  <si>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</si>
  <si>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</si>
  <si>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</si>
  <si>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</si>
  <si>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</si>
  <si>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</si>
  <si>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</si>
  <si>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</si>
  <si>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</si>
  <si>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</si>
  <si>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</si>
  <si>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</si>
  <si>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</si>
  <si>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</si>
  <si>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</si>
  <si>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</si>
  <si>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</si>
  <si>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</si>
  <si>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</si>
  <si>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</si>
  <si>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</si>
  <si>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</si>
  <si>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</si>
  <si>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</si>
  <si>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</si>
  <si>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</si>
  <si>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</si>
  <si>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</si>
  <si>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</si>
  <si>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</si>
  <si>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</si>
  <si>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</si>
  <si>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</si>
  <si>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</si>
  <si>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</si>
  <si>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</si>
  <si>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</si>
  <si>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</si>
  <si>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r>
      <t>Produzione template "</t>
    </r>
    <r>
      <rPr>
        <b/>
        <sz val="10"/>
        <rFont val="Arial"/>
        <family val="2"/>
      </rPr>
      <t>SIEP_PP_OI_PAGAMENTO_UN.rtf</t>
    </r>
    <r>
      <rPr>
        <sz val="10"/>
        <rFont val="Arial"/>
        <family val="2"/>
      </rPr>
      <t>"</t>
    </r>
  </si>
  <si>
    <t>SIUT-SIES-CT-1.0-20240927-Allegato_al_piano_test_SIES_v.12.6.4.0.xlsx</t>
  </si>
  <si>
    <t>SIUT-SIES-PT-1.0-20240927-Piano_dei_Test_SIES_v.12.6.4.0.docx</t>
  </si>
  <si>
    <t>SIES v.12.6.4.0</t>
  </si>
  <si>
    <t>SIUS</t>
  </si>
  <si>
    <t>Errore nella decodifica esito tenore</t>
  </si>
  <si>
    <t>STATISTICA SIUS - SORVEGLIANZA DI CAMPOBASSO</t>
  </si>
  <si>
    <t>Verifica: Verificare che dopo l'elaborazione della statistica l'esito del tenore sia codificato correttamente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</si>
  <si>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Ufficio di Sorveglianza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</si>
  <si>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E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Ufficio di Sorveglianza</t>
    </r>
    <r>
      <rPr>
        <sz val="10"/>
        <rFont val="Arial"/>
        <family val="2"/>
      </rPr>
      <t>)</t>
    </r>
  </si>
  <si>
    <t>Statistiche/Monitoraggio » Monitoraggio Provvedimenti » Per intervalli temporali</t>
  </si>
  <si>
    <r>
      <t>Visualizzazione pagina "</t>
    </r>
    <r>
      <rPr>
        <b/>
        <sz val="10"/>
        <rFont val="Arial"/>
        <family val="2"/>
      </rPr>
      <t>STATISTICHE - NUMERO PROVVEDIMENTI PER PRINCIPALI INTERVALLI</t>
    </r>
    <r>
      <rPr>
        <sz val="10"/>
        <rFont val="Arial"/>
        <family val="2"/>
      </rPr>
      <t>"</t>
    </r>
  </si>
  <si>
    <r>
      <t>L'utente riempe i campi obbligatori e preme il tasto "</t>
    </r>
    <r>
      <rPr>
        <b/>
        <sz val="10"/>
        <rFont val="Arial"/>
        <family val="2"/>
      </rPr>
      <t>Caricamento</t>
    </r>
    <r>
      <rPr>
        <sz val="10"/>
        <rFont val="Arial"/>
        <family val="2"/>
      </rPr>
      <t>"</t>
    </r>
  </si>
  <si>
    <t>Il sistema ha prodotto la statistica richiesta in formato Excel</t>
  </si>
  <si>
    <t>Documento.xls</t>
  </si>
  <si>
    <r>
      <t>Il risultato atteso è che nella colonna "</t>
    </r>
    <r>
      <rPr>
        <b/>
        <sz val="10"/>
        <color rgb="FFFF0000"/>
        <rFont val="Arial"/>
        <family val="2"/>
      </rPr>
      <t>Esito</t>
    </r>
    <r>
      <rPr>
        <sz val="10"/>
        <color rgb="FFFF0000"/>
        <rFont val="Arial"/>
        <family val="2"/>
      </rPr>
      <t>" del foglio "</t>
    </r>
    <r>
      <rPr>
        <b/>
        <sz val="10"/>
        <color rgb="FFFF0000"/>
        <rFont val="Arial"/>
        <family val="2"/>
      </rPr>
      <t>ElencoProc.GG.Intercorsi</t>
    </r>
    <r>
      <rPr>
        <sz val="10"/>
        <color rgb="FFFF0000"/>
        <rFont val="Arial"/>
        <family val="2"/>
      </rPr>
      <t>" vi siano valori compatibili con quanto riportato nei provvedimenti</t>
    </r>
  </si>
  <si>
    <t>siep Procura Generale di Napoli</t>
  </si>
  <si>
    <t>SIEP</t>
  </si>
  <si>
    <t>Errore sulla dimensione dei campi multa ed ammenda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</si>
  <si>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Generale della Repubblica presso la Corte d’Appello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</si>
  <si>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C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Generale della Repubblica presso la Corte d’Appello</t>
    </r>
    <r>
      <rPr>
        <sz val="10"/>
        <rFont val="Arial"/>
        <family val="2"/>
      </rPr>
      <t>)</t>
    </r>
  </si>
  <si>
    <t>Ricercare un fascicolo con cumulo aperto</t>
  </si>
  <si>
    <r>
      <t>Visualizzazione pagina "</t>
    </r>
    <r>
      <rPr>
        <b/>
        <sz val="10"/>
        <rFont val="Arial"/>
        <family val="2"/>
      </rPr>
      <t>Ricerca Istruttoria Cumulo</t>
    </r>
    <r>
      <rPr>
        <sz val="10"/>
        <rFont val="Arial"/>
        <family val="2"/>
      </rPr>
      <t>"</t>
    </r>
  </si>
  <si>
    <t>Dati Finali Cumulo</t>
  </si>
  <si>
    <r>
      <t>Visualizzazione pagina "</t>
    </r>
    <r>
      <rPr>
        <b/>
        <sz val="10"/>
        <rFont val="Arial"/>
        <family val="2"/>
      </rPr>
      <t>Dati Finali Cumulo</t>
    </r>
    <r>
      <rPr>
        <sz val="10"/>
        <rFont val="Arial"/>
        <family val="2"/>
      </rPr>
      <t>"</t>
    </r>
  </si>
  <si>
    <t>Tabulatore "Dati Finali"</t>
  </si>
  <si>
    <t>Tabulatore "Pene Rideterminate"</t>
  </si>
  <si>
    <r>
      <t>Visualizzazione pagina "</t>
    </r>
    <r>
      <rPr>
        <b/>
        <sz val="10"/>
        <rFont val="Arial"/>
        <family val="2"/>
      </rPr>
      <t>Dati Finali Cumulo - Pene Determinate in cumulo</t>
    </r>
    <r>
      <rPr>
        <sz val="10"/>
        <rFont val="Arial"/>
        <family val="2"/>
      </rPr>
      <t>"</t>
    </r>
  </si>
  <si>
    <r>
      <t>L'utente riempie i campi "</t>
    </r>
    <r>
      <rPr>
        <b/>
        <sz val="10"/>
        <rFont val="Arial"/>
        <family val="2"/>
      </rPr>
      <t>Multa</t>
    </r>
    <r>
      <rPr>
        <sz val="10"/>
        <rFont val="Arial"/>
        <family val="2"/>
      </rPr>
      <t>" e "</t>
    </r>
    <r>
      <rPr>
        <b/>
        <sz val="10"/>
        <rFont val="Arial"/>
        <family val="2"/>
      </rPr>
      <t>Ammenda</t>
    </r>
    <r>
      <rPr>
        <sz val="10"/>
        <rFont val="Arial"/>
        <family val="2"/>
      </rPr>
      <t>" inserendo valori fino a 14 interi e 2 decimali,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</si>
  <si>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Verifica: Verificare che per i campi multa ed ammenda nella rideterminazione pena del cumulo si possano inserire valori fino a 14 interi e 2 decimali</t>
  </si>
  <si>
    <t>SIEP - Nuova dicitura</t>
  </si>
  <si>
    <t>Errore nella decodifica del sesso del condannato/a</t>
  </si>
  <si>
    <t>Verifica: Verificare che nella stampa del template sia diversificata la decodifica del sesso del condannato/a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</si>
  <si>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</si>
  <si>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)</t>
    </r>
  </si>
  <si>
    <t>inserire un OI per ciascun provvedimento e stampare. Verificare che .</t>
  </si>
  <si>
    <t>Il risultato atteso è che il sistema consente l'ìinserimento di importi fino a 14 cifre intere e 2 decimali</t>
  </si>
  <si>
    <r>
      <t>Ricercare o creare 4 fascicoli di pena pecuniaria con modalità di pagamento in unica soluzione e con rateizzazione, con soggetto con posizione giuridica "</t>
    </r>
    <r>
      <rPr>
        <b/>
        <sz val="10"/>
        <color rgb="FFFF0000"/>
        <rFont val="Arial"/>
        <family val="2"/>
      </rPr>
      <t>Libero</t>
    </r>
    <r>
      <rPr>
        <sz val="10"/>
        <color rgb="FFFF0000"/>
        <rFont val="Arial"/>
        <family val="2"/>
      </rPr>
      <t>" o "</t>
    </r>
    <r>
      <rPr>
        <b/>
        <sz val="10"/>
        <color rgb="FFFF0000"/>
        <rFont val="Arial"/>
        <family val="2"/>
      </rPr>
      <t>Detenuto</t>
    </r>
    <r>
      <rPr>
        <sz val="10"/>
        <color rgb="FFFF0000"/>
        <rFont val="Arial"/>
        <family val="2"/>
      </rPr>
      <t>"</t>
    </r>
  </si>
  <si>
    <t>1)   Pagamento con Rata Unica e Soggetto Libero;
2)   Pagamento con Rata Unica e Soggetto Detenuto;
3)   Pagamento con Rateizzazione e Soggetto Libero;
4)   Pagamento con Rateizzazione e Soggetto Detenuto;</t>
  </si>
  <si>
    <t>Gestione Altre Sanzioni » Riscossione Pene Pecuniarie » Ordine Ingiunzione / Altri Provvedimenti » Ordine Ingiunzione</t>
  </si>
  <si>
    <r>
      <t>Visualizzazione pagina "</t>
    </r>
    <r>
      <rPr>
        <b/>
        <sz val="10"/>
        <rFont val="Arial"/>
        <family val="2"/>
      </rPr>
      <t>Ordine di Ingiunzione al Pagamento Pena Pecuniaria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</si>
  <si>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Ordine di Ingiunzione al Pagamento Pena Pecuniaria</t>
    </r>
    <r>
      <rPr>
        <sz val="10"/>
        <rFont val="Arial"/>
        <family val="2"/>
      </rPr>
      <t>"</t>
    </r>
  </si>
  <si>
    <r>
      <t>L'utente clicca sull'icona di "</t>
    </r>
    <r>
      <rPr>
        <b/>
        <sz val="10"/>
        <rFont val="Arial"/>
        <family val="2"/>
      </rPr>
      <t>Generazione Stampa</t>
    </r>
    <r>
      <rPr>
        <sz val="10"/>
        <rFont val="Arial"/>
        <family val="2"/>
      </rPr>
      <t>"</t>
    </r>
  </si>
  <si>
    <t>L'utente ha stampato il template interessato dall'evento</t>
  </si>
  <si>
    <t>Il risultato atteso è che nel template prodotto siano presenti le correzioni indicate</t>
  </si>
  <si>
    <t>1)   Produzione template "SIEP_PP_OI_PAGAMENTO_UN.rtf"
2)   Produzione template "SIEP_PP_OI_PAGAMENTO_UN_DET.rtf"
3)   Produzione template "SIEP_PP_OI_PAGAMENTO_RR.rtf"
4)   Produzione template "SIEP_PP_OI_PAGAMENTO_RR_DET.rtf"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</si>
</sst>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8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Arial"/>
    </font>
    <font>
      <b/>
      <sz val="8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65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3" fillId="6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2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13" borderId="16" xfId="0" applyNumberFormat="1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/>
    </xf>
    <xf numFmtId="0" fontId="0" fillId="0" borderId="7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3" fillId="0" borderId="35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1" fillId="11" borderId="74" xfId="0" applyNumberFormat="1" applyFont="1" applyFill="1" applyBorder="1" applyAlignment="1">
      <alignment horizontal="center" vertical="center" wrapText="1"/>
    </xf>
    <xf numFmtId="4" fontId="63" fillId="0" borderId="35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vertical="center"/>
    </xf>
    <xf numFmtId="0" fontId="63" fillId="0" borderId="40" xfId="0" applyFont="1" applyBorder="1" applyAlignment="1">
      <alignment horizontal="left" vertical="center" wrapText="1"/>
    </xf>
    <xf numFmtId="0" fontId="61" fillId="0" borderId="12" xfId="0" applyFont="1" applyBorder="1" applyAlignment="1">
      <alignment horizontal="center" vertical="center" wrapText="1"/>
    </xf>
    <xf numFmtId="0" fontId="67" fillId="0" borderId="40" xfId="0" applyFont="1" applyBorder="1" applyAlignment="1">
      <alignment horizontal="left" vertical="center" wrapText="1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4" fillId="0" borderId="0" xfId="0" applyFont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49" fontId="5" fillId="11" borderId="57" xfId="0" applyNumberFormat="1" applyFont="1" applyFill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8" fillId="2" borderId="2" xfId="0" applyFont="1" applyFill="1" applyBorder="1" applyAlignment="1">
      <alignment horizontal="center"/>
    </xf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0" fillId="0" borderId="80" xfId="0" applyBorder="1" applyAlignment="1"/>
    <xf numFmtId="0" fontId="6" fillId="9" borderId="4" xfId="1" applyFill="1" applyBorder="1" applyAlignment="1" applyProtection="1">
      <alignment horizontal="center" vertical="center"/>
    </xf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4.jpeg"/><Relationship Id="rId4" Type="http://schemas.openxmlformats.org/officeDocument/2006/relationships/image" Target="../media/image1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0.emf"/><Relationship Id="rId1" Type="http://schemas.openxmlformats.org/officeDocument/2006/relationships/image" Target="../media/image19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6.emf"/><Relationship Id="rId1" Type="http://schemas.openxmlformats.org/officeDocument/2006/relationships/image" Target="../media/image22.emf"/><Relationship Id="rId6" Type="http://schemas.openxmlformats.org/officeDocument/2006/relationships/image" Target="../media/image25.emf"/><Relationship Id="rId5" Type="http://schemas.openxmlformats.org/officeDocument/2006/relationships/image" Target="../media/image24.emf"/><Relationship Id="rId4" Type="http://schemas.openxmlformats.org/officeDocument/2006/relationships/image" Target="../media/image2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0</xdr:colOff>
      <xdr:row>0</xdr:row>
      <xdr:rowOff>2133600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210550" cy="2133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0</xdr:row>
      <xdr:rowOff>495300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59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6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5.emf"/><Relationship Id="rId4" Type="http://schemas.openxmlformats.org/officeDocument/2006/relationships/control" Target="../activeX/activeX7.xml"/><Relationship Id="rId9" Type="http://schemas.openxmlformats.org/officeDocument/2006/relationships/image" Target="../media/image17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20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9.emf"/><Relationship Id="rId4" Type="http://schemas.openxmlformats.org/officeDocument/2006/relationships/control" Target="../activeX/activeX10.xml"/><Relationship Id="rId9" Type="http://schemas.openxmlformats.org/officeDocument/2006/relationships/image" Target="../media/image2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6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3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5.emf"/><Relationship Id="rId5" Type="http://schemas.openxmlformats.org/officeDocument/2006/relationships/image" Target="../media/image22.emf"/><Relationship Id="rId15" Type="http://schemas.openxmlformats.org/officeDocument/2006/relationships/image" Target="../media/image27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4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67" t="s">
        <v>560</v>
      </c>
      <c r="B3" s="367"/>
    </row>
    <row r="4" spans="1:2" ht="16.899999999999999" customHeight="1">
      <c r="A4" s="367" t="s">
        <v>460</v>
      </c>
      <c r="B4" s="368"/>
    </row>
    <row r="5" spans="1:2" ht="18.600000000000001" customHeight="1">
      <c r="A5" s="367" t="s">
        <v>461</v>
      </c>
      <c r="B5" s="368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66" t="s">
        <v>67</v>
      </c>
      <c r="B15" s="366"/>
    </row>
    <row r="16" spans="1:2" ht="19.899999999999999" customHeight="1">
      <c r="A16" s="366" t="s">
        <v>564</v>
      </c>
      <c r="B16" s="366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69" t="s">
        <v>50</v>
      </c>
      <c r="B4" s="370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69" t="s">
        <v>56</v>
      </c>
      <c r="B9" s="370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73"/>
      <c r="E1" s="373"/>
      <c r="F1" s="373"/>
      <c r="G1" s="373"/>
      <c r="H1" s="373"/>
      <c r="I1" s="373"/>
      <c r="J1" s="373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  <c r="AA1" s="373"/>
      <c r="AB1" s="373"/>
      <c r="AC1" s="373"/>
      <c r="AD1" s="373"/>
      <c r="AE1" s="373"/>
      <c r="AF1" s="373"/>
      <c r="AG1" s="373"/>
      <c r="AH1" s="373"/>
      <c r="AI1" s="373"/>
      <c r="AJ1" s="373"/>
      <c r="AK1" s="373"/>
      <c r="AL1" s="373"/>
      <c r="AM1" s="373"/>
      <c r="AN1" s="373"/>
      <c r="AO1" s="373"/>
      <c r="AP1" s="373"/>
      <c r="AQ1" s="373"/>
      <c r="AR1" s="373"/>
      <c r="AS1" s="373"/>
      <c r="AT1" s="373"/>
      <c r="AU1" s="373"/>
      <c r="AV1" s="373"/>
      <c r="AW1" s="373"/>
      <c r="AX1" s="373"/>
      <c r="AY1" s="373"/>
      <c r="AZ1" s="373"/>
    </row>
    <row r="2" spans="1:52" ht="75" customHeight="1">
      <c r="A2" s="306"/>
      <c r="B2" s="371" t="s">
        <v>594</v>
      </c>
      <c r="C2" s="371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</row>
    <row r="3" spans="1:52" ht="17.45" customHeight="1">
      <c r="A3" s="306"/>
      <c r="B3" s="308" t="s">
        <v>601</v>
      </c>
      <c r="C3" s="307" t="s">
        <v>609</v>
      </c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73"/>
      <c r="AK3" s="373"/>
      <c r="AL3" s="373"/>
      <c r="AM3" s="373"/>
      <c r="AN3" s="373"/>
      <c r="AO3" s="373"/>
      <c r="AP3" s="373"/>
      <c r="AQ3" s="373"/>
      <c r="AR3" s="373"/>
      <c r="AS3" s="373"/>
      <c r="AT3" s="373"/>
      <c r="AU3" s="373"/>
      <c r="AV3" s="373"/>
      <c r="AW3" s="373"/>
      <c r="AX3" s="373"/>
      <c r="AY3" s="373"/>
      <c r="AZ3" s="373"/>
    </row>
    <row r="4" spans="1:52" ht="16.149999999999999" customHeight="1">
      <c r="A4" s="306"/>
      <c r="B4" s="308" t="s">
        <v>574</v>
      </c>
      <c r="C4" s="307" t="s">
        <v>610</v>
      </c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  <c r="AF4" s="373"/>
      <c r="AG4" s="373"/>
      <c r="AH4" s="373"/>
      <c r="AI4" s="373"/>
      <c r="AJ4" s="373"/>
      <c r="AK4" s="373"/>
      <c r="AL4" s="373"/>
      <c r="AM4" s="373"/>
      <c r="AN4" s="373"/>
      <c r="AO4" s="373"/>
      <c r="AP4" s="373"/>
      <c r="AQ4" s="373"/>
      <c r="AR4" s="373"/>
      <c r="AS4" s="373"/>
      <c r="AT4" s="373"/>
      <c r="AU4" s="373"/>
      <c r="AV4" s="373"/>
      <c r="AW4" s="373"/>
      <c r="AX4" s="373"/>
      <c r="AY4" s="373"/>
      <c r="AZ4" s="373"/>
    </row>
    <row r="5" spans="1:52" ht="16.149999999999999" customHeight="1">
      <c r="A5" s="306"/>
      <c r="B5" s="308" t="s">
        <v>174</v>
      </c>
      <c r="C5" s="307" t="s">
        <v>337</v>
      </c>
      <c r="D5" s="373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</row>
    <row r="6" spans="1:52" ht="16.149999999999999" customHeight="1">
      <c r="A6" s="306"/>
      <c r="B6" s="308" t="s">
        <v>602</v>
      </c>
      <c r="C6" s="309">
        <v>45562</v>
      </c>
      <c r="D6" s="373"/>
      <c r="E6" s="373"/>
      <c r="F6" s="373"/>
      <c r="G6" s="373"/>
      <c r="H6" s="373"/>
      <c r="I6" s="373"/>
      <c r="J6" s="373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</row>
    <row r="7" spans="1:52" ht="16.149999999999999" customHeight="1">
      <c r="A7" s="306"/>
      <c r="B7" s="308" t="s">
        <v>603</v>
      </c>
      <c r="C7" s="307" t="s">
        <v>611</v>
      </c>
      <c r="D7" s="373"/>
      <c r="E7" s="373"/>
      <c r="F7" s="373"/>
      <c r="G7" s="373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  <c r="AE7" s="373"/>
      <c r="AF7" s="373"/>
      <c r="AG7" s="373"/>
      <c r="AH7" s="373"/>
      <c r="AI7" s="373"/>
      <c r="AJ7" s="373"/>
      <c r="AK7" s="373"/>
      <c r="AL7" s="373"/>
      <c r="AM7" s="373"/>
      <c r="AN7" s="373"/>
      <c r="AO7" s="373"/>
      <c r="AP7" s="373"/>
      <c r="AQ7" s="373"/>
      <c r="AR7" s="373"/>
      <c r="AS7" s="373"/>
      <c r="AT7" s="373"/>
      <c r="AU7" s="373"/>
      <c r="AV7" s="373"/>
      <c r="AW7" s="373"/>
      <c r="AX7" s="373"/>
      <c r="AY7" s="373"/>
      <c r="AZ7" s="373"/>
    </row>
    <row r="8" spans="1:52" ht="16.149999999999999" customHeight="1">
      <c r="A8" s="306"/>
      <c r="B8" s="308" t="s">
        <v>604</v>
      </c>
      <c r="C8" s="307" t="s">
        <v>605</v>
      </c>
      <c r="D8" s="373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3"/>
      <c r="AE8" s="373"/>
      <c r="AF8" s="373"/>
      <c r="AG8" s="373"/>
      <c r="AH8" s="373"/>
      <c r="AI8" s="373"/>
      <c r="AJ8" s="373"/>
      <c r="AK8" s="373"/>
      <c r="AL8" s="373"/>
      <c r="AM8" s="373"/>
      <c r="AN8" s="373"/>
      <c r="AO8" s="373"/>
      <c r="AP8" s="373"/>
      <c r="AQ8" s="373"/>
      <c r="AR8" s="373"/>
      <c r="AS8" s="373"/>
      <c r="AT8" s="373"/>
      <c r="AU8" s="373"/>
      <c r="AV8" s="373"/>
      <c r="AW8" s="373"/>
      <c r="AX8" s="373"/>
      <c r="AY8" s="373"/>
      <c r="AZ8" s="373"/>
    </row>
    <row r="9" spans="1:52" ht="111.75" customHeight="1">
      <c r="A9" s="306"/>
      <c r="B9" s="372" t="s">
        <v>575</v>
      </c>
      <c r="C9" s="372"/>
      <c r="D9" s="373"/>
      <c r="E9" s="373"/>
      <c r="F9" s="373"/>
      <c r="G9" s="373"/>
      <c r="H9" s="373"/>
      <c r="I9" s="373"/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373"/>
      <c r="AE9" s="373"/>
      <c r="AF9" s="373"/>
      <c r="AG9" s="373"/>
      <c r="AH9" s="373"/>
      <c r="AI9" s="373"/>
      <c r="AJ9" s="373"/>
      <c r="AK9" s="373"/>
      <c r="AL9" s="373"/>
      <c r="AM9" s="373"/>
      <c r="AN9" s="373"/>
      <c r="AO9" s="373"/>
      <c r="AP9" s="373"/>
      <c r="AQ9" s="373"/>
      <c r="AR9" s="373"/>
      <c r="AS9" s="373"/>
      <c r="AT9" s="373"/>
      <c r="AU9" s="373"/>
      <c r="AV9" s="373"/>
      <c r="AW9" s="373"/>
      <c r="AX9" s="373"/>
      <c r="AY9" s="373"/>
      <c r="AZ9" s="373"/>
    </row>
    <row r="10" spans="1:52" ht="16.149999999999999" customHeight="1">
      <c r="B10" s="373"/>
      <c r="C10" s="373"/>
      <c r="D10" s="373"/>
      <c r="E10" s="373"/>
      <c r="F10" s="373"/>
      <c r="G10" s="373"/>
      <c r="H10" s="373"/>
      <c r="I10" s="373"/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  <c r="AE10" s="373"/>
      <c r="AF10" s="373"/>
      <c r="AG10" s="373"/>
      <c r="AH10" s="373"/>
      <c r="AI10" s="373"/>
      <c r="AJ10" s="373"/>
      <c r="AK10" s="373"/>
      <c r="AL10" s="373"/>
      <c r="AM10" s="373"/>
      <c r="AN10" s="373"/>
      <c r="AO10" s="373"/>
      <c r="AP10" s="373"/>
      <c r="AQ10" s="373"/>
      <c r="AR10" s="373"/>
      <c r="AS10" s="373"/>
      <c r="AT10" s="373"/>
      <c r="AU10" s="373"/>
      <c r="AV10" s="373"/>
      <c r="AW10" s="373"/>
      <c r="AX10" s="373"/>
      <c r="AY10" s="373"/>
      <c r="AZ10" s="373"/>
    </row>
    <row r="11" spans="1:52">
      <c r="B11" s="373"/>
      <c r="C11" s="373"/>
      <c r="D11" s="373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/>
      <c r="AK11" s="373"/>
      <c r="AL11" s="373"/>
      <c r="AM11" s="373"/>
      <c r="AN11" s="373"/>
      <c r="AO11" s="373"/>
      <c r="AP11" s="373"/>
      <c r="AQ11" s="373"/>
      <c r="AR11" s="373"/>
      <c r="AS11" s="373"/>
      <c r="AT11" s="373"/>
      <c r="AU11" s="373"/>
      <c r="AV11" s="373"/>
      <c r="AW11" s="373"/>
      <c r="AX11" s="373"/>
      <c r="AY11" s="373"/>
      <c r="AZ11" s="373"/>
    </row>
    <row r="12" spans="1:52"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M12" s="373"/>
      <c r="AN12" s="373"/>
      <c r="AO12" s="373"/>
      <c r="AP12" s="373"/>
      <c r="AQ12" s="373"/>
      <c r="AR12" s="373"/>
      <c r="AS12" s="373"/>
      <c r="AT12" s="373"/>
      <c r="AU12" s="373"/>
      <c r="AV12" s="373"/>
      <c r="AW12" s="373"/>
      <c r="AX12" s="373"/>
      <c r="AY12" s="373"/>
      <c r="AZ12" s="373"/>
    </row>
    <row r="13" spans="1:52">
      <c r="B13" s="373"/>
      <c r="C13" s="373"/>
      <c r="D13" s="373"/>
      <c r="E13" s="373"/>
      <c r="F13" s="373"/>
      <c r="G13" s="373"/>
      <c r="H13" s="373"/>
      <c r="I13" s="373"/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O13" s="373"/>
      <c r="AP13" s="373"/>
      <c r="AQ13" s="373"/>
      <c r="AR13" s="373"/>
      <c r="AS13" s="373"/>
      <c r="AT13" s="373"/>
      <c r="AU13" s="373"/>
      <c r="AV13" s="373"/>
      <c r="AW13" s="373"/>
      <c r="AX13" s="373"/>
      <c r="AY13" s="373"/>
      <c r="AZ13" s="373"/>
    </row>
    <row r="14" spans="1:52">
      <c r="B14" s="373"/>
      <c r="C14" s="373"/>
      <c r="D14" s="373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  <c r="AA14" s="373"/>
      <c r="AB14" s="373"/>
      <c r="AC14" s="373"/>
      <c r="AD14" s="373"/>
      <c r="AE14" s="373"/>
      <c r="AF14" s="373"/>
      <c r="AG14" s="373"/>
      <c r="AH14" s="373"/>
      <c r="AI14" s="373"/>
      <c r="AJ14" s="373"/>
      <c r="AK14" s="373"/>
      <c r="AL14" s="373"/>
      <c r="AM14" s="373"/>
      <c r="AN14" s="373"/>
      <c r="AO14" s="373"/>
      <c r="AP14" s="373"/>
      <c r="AQ14" s="373"/>
      <c r="AR14" s="373"/>
      <c r="AS14" s="373"/>
      <c r="AT14" s="373"/>
      <c r="AU14" s="373"/>
      <c r="AV14" s="373"/>
      <c r="AW14" s="373"/>
      <c r="AX14" s="373"/>
      <c r="AY14" s="373"/>
      <c r="AZ14" s="373"/>
    </row>
    <row r="15" spans="1:52">
      <c r="B15" s="373"/>
      <c r="C15" s="373"/>
      <c r="D15" s="373"/>
      <c r="E15" s="373"/>
      <c r="F15" s="373"/>
      <c r="G15" s="373"/>
      <c r="H15" s="373"/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  <c r="AA15" s="373"/>
      <c r="AB15" s="373"/>
      <c r="AC15" s="373"/>
      <c r="AD15" s="373"/>
      <c r="AE15" s="373"/>
      <c r="AF15" s="373"/>
      <c r="AG15" s="373"/>
      <c r="AH15" s="373"/>
      <c r="AI15" s="373"/>
      <c r="AJ15" s="373"/>
      <c r="AK15" s="373"/>
      <c r="AL15" s="373"/>
      <c r="AM15" s="373"/>
      <c r="AN15" s="373"/>
      <c r="AO15" s="373"/>
      <c r="AP15" s="373"/>
      <c r="AQ15" s="373"/>
      <c r="AR15" s="373"/>
      <c r="AS15" s="373"/>
      <c r="AT15" s="373"/>
      <c r="AU15" s="373"/>
      <c r="AV15" s="373"/>
      <c r="AW15" s="373"/>
      <c r="AX15" s="373"/>
      <c r="AY15" s="373"/>
      <c r="AZ15" s="373"/>
    </row>
    <row r="16" spans="1:52">
      <c r="B16" s="373"/>
      <c r="C16" s="373"/>
      <c r="D16" s="373"/>
      <c r="E16" s="373"/>
      <c r="F16" s="373"/>
      <c r="G16" s="373"/>
      <c r="H16" s="373"/>
      <c r="I16" s="373"/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  <c r="Z16" s="373"/>
      <c r="AA16" s="373"/>
      <c r="AB16" s="373"/>
      <c r="AC16" s="373"/>
      <c r="AD16" s="373"/>
      <c r="AE16" s="373"/>
      <c r="AF16" s="373"/>
      <c r="AG16" s="373"/>
      <c r="AH16" s="373"/>
      <c r="AI16" s="373"/>
      <c r="AJ16" s="373"/>
      <c r="AK16" s="373"/>
      <c r="AL16" s="373"/>
      <c r="AM16" s="373"/>
      <c r="AN16" s="373"/>
      <c r="AO16" s="373"/>
      <c r="AP16" s="373"/>
      <c r="AQ16" s="373"/>
      <c r="AR16" s="373"/>
      <c r="AS16" s="373"/>
      <c r="AT16" s="373"/>
      <c r="AU16" s="373"/>
      <c r="AV16" s="373"/>
      <c r="AW16" s="373"/>
      <c r="AX16" s="373"/>
      <c r="AY16" s="373"/>
      <c r="AZ16" s="373"/>
    </row>
    <row r="17" spans="2:52"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  <c r="AD17" s="373"/>
      <c r="AE17" s="373"/>
      <c r="AF17" s="373"/>
      <c r="AG17" s="373"/>
      <c r="AH17" s="3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373"/>
      <c r="AT17" s="373"/>
      <c r="AU17" s="373"/>
      <c r="AV17" s="373"/>
      <c r="AW17" s="373"/>
      <c r="AX17" s="373"/>
      <c r="AY17" s="373"/>
      <c r="AZ17" s="373"/>
    </row>
    <row r="18" spans="2:52">
      <c r="B18" s="373"/>
      <c r="C18" s="373"/>
      <c r="D18" s="373"/>
      <c r="E18" s="373"/>
      <c r="F18" s="373"/>
      <c r="G18" s="373"/>
      <c r="H18" s="373"/>
      <c r="I18" s="373"/>
      <c r="J18" s="373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  <c r="AA18" s="373"/>
      <c r="AB18" s="373"/>
      <c r="AC18" s="373"/>
      <c r="AD18" s="373"/>
      <c r="AE18" s="373"/>
      <c r="AF18" s="373"/>
      <c r="AG18" s="373"/>
      <c r="AH18" s="373"/>
      <c r="AI18" s="373"/>
      <c r="AJ18" s="373"/>
      <c r="AK18" s="373"/>
      <c r="AL18" s="373"/>
      <c r="AM18" s="373"/>
      <c r="AN18" s="373"/>
      <c r="AO18" s="373"/>
      <c r="AP18" s="373"/>
      <c r="AQ18" s="373"/>
      <c r="AR18" s="373"/>
      <c r="AS18" s="373"/>
      <c r="AT18" s="373"/>
      <c r="AU18" s="373"/>
      <c r="AV18" s="373"/>
      <c r="AW18" s="373"/>
      <c r="AX18" s="373"/>
      <c r="AY18" s="373"/>
      <c r="AZ18" s="373"/>
    </row>
    <row r="19" spans="2:52"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  <c r="AA19" s="373"/>
      <c r="AB19" s="373"/>
      <c r="AC19" s="373"/>
      <c r="AD19" s="373"/>
      <c r="AE19" s="373"/>
      <c r="AF19" s="373"/>
      <c r="AG19" s="373"/>
      <c r="AH19" s="373"/>
      <c r="AI19" s="373"/>
      <c r="AJ19" s="373"/>
      <c r="AK19" s="373"/>
      <c r="AL19" s="373"/>
      <c r="AM19" s="373"/>
      <c r="AN19" s="373"/>
      <c r="AO19" s="373"/>
      <c r="AP19" s="373"/>
      <c r="AQ19" s="373"/>
      <c r="AR19" s="373"/>
      <c r="AS19" s="373"/>
      <c r="AT19" s="373"/>
      <c r="AU19" s="373"/>
      <c r="AV19" s="373"/>
      <c r="AW19" s="373"/>
      <c r="AX19" s="373"/>
      <c r="AY19" s="373"/>
      <c r="AZ19" s="373"/>
    </row>
    <row r="20" spans="2:52">
      <c r="B20" s="373"/>
      <c r="C20" s="373"/>
      <c r="D20" s="373"/>
      <c r="E20" s="373"/>
      <c r="F20" s="373"/>
      <c r="G20" s="373"/>
      <c r="H20" s="373"/>
      <c r="I20" s="373"/>
      <c r="J20" s="373"/>
      <c r="K20" s="373"/>
      <c r="L20" s="373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  <c r="Z20" s="373"/>
      <c r="AA20" s="373"/>
      <c r="AB20" s="373"/>
      <c r="AC20" s="373"/>
      <c r="AD20" s="373"/>
      <c r="AE20" s="373"/>
      <c r="AF20" s="373"/>
      <c r="AG20" s="373"/>
      <c r="AH20" s="373"/>
      <c r="AI20" s="373"/>
      <c r="AJ20" s="373"/>
      <c r="AK20" s="373"/>
      <c r="AL20" s="373"/>
      <c r="AM20" s="373"/>
      <c r="AN20" s="373"/>
      <c r="AO20" s="373"/>
      <c r="AP20" s="373"/>
      <c r="AQ20" s="373"/>
      <c r="AR20" s="373"/>
      <c r="AS20" s="373"/>
      <c r="AT20" s="373"/>
      <c r="AU20" s="373"/>
      <c r="AV20" s="373"/>
      <c r="AW20" s="373"/>
      <c r="AX20" s="373"/>
      <c r="AY20" s="373"/>
      <c r="AZ20" s="373"/>
    </row>
    <row r="21" spans="2:52">
      <c r="B21" s="373"/>
      <c r="C21" s="373"/>
      <c r="D21" s="373"/>
      <c r="E21" s="373"/>
      <c r="F21" s="373"/>
      <c r="G21" s="373"/>
      <c r="H21" s="373"/>
      <c r="I21" s="373"/>
      <c r="J21" s="373"/>
      <c r="K21" s="373"/>
      <c r="L21" s="373"/>
      <c r="M21" s="373"/>
      <c r="N21" s="373"/>
      <c r="O21" s="373"/>
      <c r="P21" s="373"/>
      <c r="Q21" s="373"/>
      <c r="R21" s="373"/>
      <c r="S21" s="373"/>
      <c r="T21" s="373"/>
      <c r="U21" s="373"/>
      <c r="V21" s="373"/>
      <c r="W21" s="373"/>
      <c r="X21" s="373"/>
      <c r="Y21" s="373"/>
      <c r="Z21" s="373"/>
      <c r="AA21" s="373"/>
      <c r="AB21" s="373"/>
      <c r="AC21" s="373"/>
      <c r="AD21" s="373"/>
      <c r="AE21" s="373"/>
      <c r="AF21" s="373"/>
      <c r="AG21" s="373"/>
      <c r="AH21" s="373"/>
      <c r="AI21" s="373"/>
      <c r="AJ21" s="373"/>
      <c r="AK21" s="373"/>
      <c r="AL21" s="373"/>
      <c r="AM21" s="373"/>
      <c r="AN21" s="373"/>
      <c r="AO21" s="373"/>
      <c r="AP21" s="373"/>
      <c r="AQ21" s="373"/>
      <c r="AR21" s="373"/>
      <c r="AS21" s="373"/>
      <c r="AT21" s="373"/>
      <c r="AU21" s="373"/>
      <c r="AV21" s="373"/>
      <c r="AW21" s="373"/>
      <c r="AX21" s="373"/>
      <c r="AY21" s="373"/>
      <c r="AZ21" s="373"/>
    </row>
    <row r="22" spans="2:52">
      <c r="B22" s="373"/>
      <c r="C22" s="373"/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  <c r="AA22" s="373"/>
      <c r="AB22" s="373"/>
      <c r="AC22" s="373"/>
      <c r="AD22" s="373"/>
      <c r="AE22" s="373"/>
      <c r="AF22" s="373"/>
      <c r="AG22" s="373"/>
      <c r="AH22" s="373"/>
      <c r="AI22" s="373"/>
      <c r="AJ22" s="373"/>
      <c r="AK22" s="373"/>
      <c r="AL22" s="373"/>
      <c r="AM22" s="373"/>
      <c r="AN22" s="373"/>
      <c r="AO22" s="373"/>
      <c r="AP22" s="373"/>
      <c r="AQ22" s="373"/>
      <c r="AR22" s="373"/>
      <c r="AS22" s="373"/>
      <c r="AT22" s="373"/>
      <c r="AU22" s="373"/>
      <c r="AV22" s="373"/>
      <c r="AW22" s="373"/>
      <c r="AX22" s="373"/>
      <c r="AY22" s="373"/>
      <c r="AZ22" s="373"/>
    </row>
    <row r="23" spans="2:52">
      <c r="B23" s="373"/>
      <c r="C23" s="373"/>
      <c r="D23" s="373"/>
      <c r="E23" s="373"/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  <c r="Z23" s="373"/>
      <c r="AA23" s="373"/>
      <c r="AB23" s="373"/>
      <c r="AC23" s="373"/>
      <c r="AD23" s="373"/>
      <c r="AE23" s="373"/>
      <c r="AF23" s="373"/>
      <c r="AG23" s="373"/>
      <c r="AH23" s="373"/>
      <c r="AI23" s="373"/>
      <c r="AJ23" s="373"/>
      <c r="AK23" s="373"/>
      <c r="AL23" s="373"/>
      <c r="AM23" s="373"/>
      <c r="AN23" s="373"/>
      <c r="AO23" s="373"/>
      <c r="AP23" s="373"/>
      <c r="AQ23" s="373"/>
      <c r="AR23" s="373"/>
      <c r="AS23" s="373"/>
      <c r="AT23" s="373"/>
      <c r="AU23" s="373"/>
      <c r="AV23" s="373"/>
      <c r="AW23" s="373"/>
      <c r="AX23" s="373"/>
      <c r="AY23" s="373"/>
      <c r="AZ23" s="373"/>
    </row>
    <row r="24" spans="2:52">
      <c r="B24" s="373"/>
      <c r="C24" s="373"/>
      <c r="D24" s="373"/>
      <c r="E24" s="373"/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  <c r="AA24" s="373"/>
      <c r="AB24" s="373"/>
      <c r="AC24" s="373"/>
      <c r="AD24" s="373"/>
      <c r="AE24" s="373"/>
      <c r="AF24" s="373"/>
      <c r="AG24" s="373"/>
      <c r="AH24" s="373"/>
      <c r="AI24" s="373"/>
      <c r="AJ24" s="373"/>
      <c r="AK24" s="373"/>
      <c r="AL24" s="373"/>
      <c r="AM24" s="373"/>
      <c r="AN24" s="373"/>
      <c r="AO24" s="373"/>
      <c r="AP24" s="373"/>
      <c r="AQ24" s="373"/>
      <c r="AR24" s="373"/>
      <c r="AS24" s="373"/>
      <c r="AT24" s="373"/>
      <c r="AU24" s="373"/>
      <c r="AV24" s="373"/>
      <c r="AW24" s="373"/>
      <c r="AX24" s="373"/>
      <c r="AY24" s="373"/>
      <c r="AZ24" s="373"/>
    </row>
    <row r="25" spans="2:52">
      <c r="B25" s="373"/>
      <c r="C25" s="373"/>
      <c r="D25" s="373"/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  <c r="AA25" s="373"/>
      <c r="AB25" s="373"/>
      <c r="AC25" s="373"/>
      <c r="AD25" s="373"/>
      <c r="AE25" s="373"/>
      <c r="AF25" s="373"/>
      <c r="AG25" s="373"/>
      <c r="AH25" s="373"/>
      <c r="AI25" s="373"/>
      <c r="AJ25" s="373"/>
      <c r="AK25" s="373"/>
      <c r="AL25" s="373"/>
      <c r="AM25" s="373"/>
      <c r="AN25" s="373"/>
      <c r="AO25" s="373"/>
      <c r="AP25" s="373"/>
      <c r="AQ25" s="373"/>
      <c r="AR25" s="373"/>
      <c r="AS25" s="373"/>
      <c r="AT25" s="373"/>
      <c r="AU25" s="373"/>
      <c r="AV25" s="373"/>
      <c r="AW25" s="373"/>
      <c r="AX25" s="373"/>
      <c r="AY25" s="373"/>
      <c r="AZ25" s="373"/>
    </row>
    <row r="26" spans="2:52">
      <c r="B26" s="373"/>
      <c r="C26" s="373"/>
      <c r="D26" s="373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73"/>
      <c r="R26" s="373"/>
      <c r="S26" s="373"/>
      <c r="T26" s="373"/>
      <c r="U26" s="373"/>
      <c r="V26" s="373"/>
      <c r="W26" s="373"/>
      <c r="X26" s="373"/>
      <c r="Y26" s="373"/>
      <c r="Z26" s="373"/>
      <c r="AA26" s="373"/>
      <c r="AB26" s="373"/>
      <c r="AC26" s="373"/>
      <c r="AD26" s="373"/>
      <c r="AE26" s="373"/>
      <c r="AF26" s="373"/>
      <c r="AG26" s="373"/>
      <c r="AH26" s="373"/>
      <c r="AI26" s="373"/>
      <c r="AJ26" s="373"/>
      <c r="AK26" s="373"/>
      <c r="AL26" s="373"/>
      <c r="AM26" s="373"/>
      <c r="AN26" s="373"/>
      <c r="AO26" s="373"/>
      <c r="AP26" s="373"/>
      <c r="AQ26" s="373"/>
      <c r="AR26" s="373"/>
      <c r="AS26" s="373"/>
      <c r="AT26" s="373"/>
      <c r="AU26" s="373"/>
      <c r="AV26" s="373"/>
      <c r="AW26" s="373"/>
      <c r="AX26" s="373"/>
      <c r="AY26" s="373"/>
      <c r="AZ26" s="373"/>
    </row>
    <row r="27" spans="2:52">
      <c r="B27" s="373"/>
      <c r="C27" s="373"/>
      <c r="D27" s="373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3"/>
      <c r="X27" s="373"/>
      <c r="Y27" s="373"/>
      <c r="Z27" s="373"/>
      <c r="AA27" s="373"/>
      <c r="AB27" s="373"/>
      <c r="AC27" s="373"/>
      <c r="AD27" s="373"/>
      <c r="AE27" s="373"/>
      <c r="AF27" s="373"/>
      <c r="AG27" s="373"/>
      <c r="AH27" s="373"/>
      <c r="AI27" s="373"/>
      <c r="AJ27" s="373"/>
      <c r="AK27" s="373"/>
      <c r="AL27" s="373"/>
      <c r="AM27" s="373"/>
      <c r="AN27" s="373"/>
      <c r="AO27" s="373"/>
      <c r="AP27" s="373"/>
      <c r="AQ27" s="373"/>
      <c r="AR27" s="373"/>
      <c r="AS27" s="373"/>
      <c r="AT27" s="373"/>
      <c r="AU27" s="373"/>
      <c r="AV27" s="373"/>
      <c r="AW27" s="373"/>
      <c r="AX27" s="373"/>
      <c r="AY27" s="373"/>
      <c r="AZ27" s="373"/>
    </row>
    <row r="28" spans="2:52">
      <c r="B28" s="373"/>
      <c r="C28" s="373"/>
      <c r="D28" s="373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373"/>
      <c r="Q28" s="373"/>
      <c r="R28" s="373"/>
      <c r="S28" s="373"/>
      <c r="T28" s="373"/>
      <c r="U28" s="373"/>
      <c r="V28" s="373"/>
      <c r="W28" s="373"/>
      <c r="X28" s="373"/>
      <c r="Y28" s="373"/>
      <c r="Z28" s="373"/>
      <c r="AA28" s="373"/>
      <c r="AB28" s="373"/>
      <c r="AC28" s="373"/>
      <c r="AD28" s="373"/>
      <c r="AE28" s="373"/>
      <c r="AF28" s="373"/>
      <c r="AG28" s="373"/>
      <c r="AH28" s="373"/>
      <c r="AI28" s="373"/>
      <c r="AJ28" s="373"/>
      <c r="AK28" s="373"/>
      <c r="AL28" s="373"/>
      <c r="AM28" s="373"/>
      <c r="AN28" s="373"/>
      <c r="AO28" s="373"/>
      <c r="AP28" s="373"/>
      <c r="AQ28" s="373"/>
      <c r="AR28" s="373"/>
      <c r="AS28" s="373"/>
      <c r="AT28" s="373"/>
      <c r="AU28" s="373"/>
      <c r="AV28" s="373"/>
      <c r="AW28" s="373"/>
      <c r="AX28" s="373"/>
      <c r="AY28" s="373"/>
      <c r="AZ28" s="373"/>
    </row>
    <row r="29" spans="2:52">
      <c r="B29" s="373"/>
      <c r="C29" s="373"/>
      <c r="D29" s="373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373"/>
      <c r="U29" s="373"/>
      <c r="V29" s="373"/>
      <c r="W29" s="373"/>
      <c r="X29" s="373"/>
      <c r="Y29" s="373"/>
      <c r="Z29" s="373"/>
      <c r="AA29" s="373"/>
      <c r="AB29" s="373"/>
      <c r="AC29" s="373"/>
      <c r="AD29" s="373"/>
      <c r="AE29" s="373"/>
      <c r="AF29" s="373"/>
      <c r="AG29" s="373"/>
      <c r="AH29" s="373"/>
      <c r="AI29" s="373"/>
      <c r="AJ29" s="373"/>
      <c r="AK29" s="373"/>
      <c r="AL29" s="373"/>
      <c r="AM29" s="373"/>
      <c r="AN29" s="373"/>
      <c r="AO29" s="373"/>
      <c r="AP29" s="373"/>
      <c r="AQ29" s="373"/>
      <c r="AR29" s="373"/>
      <c r="AS29" s="373"/>
      <c r="AT29" s="373"/>
      <c r="AU29" s="373"/>
      <c r="AV29" s="373"/>
      <c r="AW29" s="373"/>
      <c r="AX29" s="373"/>
      <c r="AY29" s="373"/>
      <c r="AZ29" s="373"/>
    </row>
    <row r="30" spans="2:52">
      <c r="B30" s="373"/>
      <c r="C30" s="373"/>
      <c r="D30" s="373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  <c r="AA30" s="373"/>
      <c r="AB30" s="373"/>
      <c r="AC30" s="373"/>
      <c r="AD30" s="373"/>
      <c r="AE30" s="373"/>
      <c r="AF30" s="373"/>
      <c r="AG30" s="373"/>
      <c r="AH30" s="373"/>
      <c r="AI30" s="373"/>
      <c r="AJ30" s="373"/>
      <c r="AK30" s="373"/>
      <c r="AL30" s="373"/>
      <c r="AM30" s="373"/>
      <c r="AN30" s="373"/>
      <c r="AO30" s="373"/>
      <c r="AP30" s="373"/>
      <c r="AQ30" s="373"/>
      <c r="AR30" s="373"/>
      <c r="AS30" s="373"/>
      <c r="AT30" s="373"/>
      <c r="AU30" s="373"/>
      <c r="AV30" s="373"/>
      <c r="AW30" s="373"/>
      <c r="AX30" s="373"/>
      <c r="AY30" s="373"/>
      <c r="AZ30" s="373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7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74" t="s">
        <v>515</v>
      </c>
      <c r="B1" s="374"/>
      <c r="C1" s="374"/>
      <c r="D1" s="376" t="str">
        <f xml:space="preserve"> Copertina!C7</f>
        <v>SIES v.12.6.4.0</v>
      </c>
      <c r="E1" s="376"/>
      <c r="F1" s="376"/>
      <c r="G1" s="376"/>
      <c r="H1" s="374" t="s">
        <v>424</v>
      </c>
      <c r="I1" s="377"/>
      <c r="J1" s="317" t="str">
        <f>Copertina!C3</f>
        <v>SIUT-SIES-CT-1.0-20240927-Allegato_al_piano_test_SIES_v.12.6.4.0.xlsx</v>
      </c>
      <c r="K1" s="300" t="s">
        <v>174</v>
      </c>
      <c r="L1" s="318" t="str">
        <f>Copertina!C5</f>
        <v>1.0</v>
      </c>
      <c r="M1" s="301"/>
      <c r="N1" s="301"/>
      <c r="O1" s="375"/>
      <c r="P1" s="375"/>
      <c r="Q1" s="375"/>
      <c r="R1" s="375"/>
      <c r="S1" s="375"/>
      <c r="T1" s="375"/>
      <c r="U1" s="375"/>
    </row>
    <row r="2" spans="1:21" s="293" customFormat="1" ht="30" customHeight="1" thickTop="1" thickBot="1">
      <c r="A2" s="378" t="s">
        <v>175</v>
      </c>
      <c r="B2" s="379"/>
      <c r="C2" s="379"/>
      <c r="D2" s="374" t="s">
        <v>338</v>
      </c>
      <c r="E2" s="380"/>
      <c r="F2" s="380"/>
      <c r="G2" s="380"/>
      <c r="H2" s="380"/>
      <c r="I2" s="380"/>
      <c r="J2" s="380"/>
      <c r="K2" s="374" t="s">
        <v>8</v>
      </c>
      <c r="L2" s="374"/>
      <c r="M2" s="374"/>
      <c r="N2" s="374"/>
      <c r="O2" s="374"/>
      <c r="P2" s="374"/>
      <c r="Q2" s="374"/>
      <c r="R2" s="374"/>
      <c r="S2" s="374"/>
      <c r="T2" s="374"/>
      <c r="U2" s="374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30" customHeight="1" thickTop="1" thickBot="1">
      <c r="A4" s="333" t="s">
        <v>593</v>
      </c>
      <c r="B4" s="334" t="s">
        <v>595</v>
      </c>
      <c r="C4" s="335">
        <v>202409020116</v>
      </c>
      <c r="D4" s="335"/>
      <c r="E4" s="335"/>
      <c r="F4" s="335">
        <f t="shared" ref="F4" si="0">C4</f>
        <v>202409020116</v>
      </c>
      <c r="G4" s="336" t="s">
        <v>614</v>
      </c>
      <c r="H4" s="334"/>
      <c r="I4" s="337" t="s">
        <v>612</v>
      </c>
      <c r="J4" s="338" t="str">
        <f t="shared" ref="J4" si="1">CONCATENATE(I4," - ",G4)</f>
        <v>SIUS - STATISTICA SIUS - SORVEGLIANZA DI CAMPOBASSO</v>
      </c>
      <c r="K4" s="339" t="str">
        <f>CONCATENATE("TF001.",I4)</f>
        <v>TF001.SIUS</v>
      </c>
      <c r="L4" s="340" t="s">
        <v>613</v>
      </c>
      <c r="M4" s="340"/>
      <c r="N4" s="340"/>
      <c r="O4" s="340"/>
      <c r="P4" s="339" t="s">
        <v>615</v>
      </c>
      <c r="Q4" s="341" t="s">
        <v>337</v>
      </c>
      <c r="T4" s="294"/>
    </row>
    <row r="5" spans="1:21" s="299" customFormat="1" ht="45" customHeight="1" thickTop="1" thickBot="1">
      <c r="A5" s="333" t="s">
        <v>593</v>
      </c>
      <c r="B5" s="334" t="s">
        <v>595</v>
      </c>
      <c r="C5" s="335">
        <v>202409100121</v>
      </c>
      <c r="D5" s="335"/>
      <c r="E5" s="335"/>
      <c r="F5" s="335">
        <f t="shared" ref="F5:F6" si="2">C5</f>
        <v>202409100121</v>
      </c>
      <c r="G5" s="336" t="s">
        <v>624</v>
      </c>
      <c r="H5" s="334"/>
      <c r="I5" s="337" t="s">
        <v>625</v>
      </c>
      <c r="J5" s="338" t="str">
        <f t="shared" ref="J5:J6" si="3">CONCATENATE(I5," - ",G5)</f>
        <v>SIEP - siep Procura Generale di Napoli</v>
      </c>
      <c r="K5" s="339" t="str">
        <f>CONCATENATE("TF001.",I5)</f>
        <v>TF001.SIEP</v>
      </c>
      <c r="L5" s="340" t="s">
        <v>626</v>
      </c>
      <c r="M5" s="340"/>
      <c r="N5" s="340"/>
      <c r="O5" s="340"/>
      <c r="P5" s="339" t="s">
        <v>637</v>
      </c>
      <c r="Q5" s="341" t="s">
        <v>337</v>
      </c>
      <c r="T5" s="294"/>
    </row>
    <row r="6" spans="1:21" s="299" customFormat="1" ht="30" customHeight="1" thickTop="1" thickBot="1">
      <c r="A6" s="333" t="s">
        <v>593</v>
      </c>
      <c r="B6" s="334" t="s">
        <v>595</v>
      </c>
      <c r="C6" s="335">
        <v>202409180152</v>
      </c>
      <c r="D6" s="335"/>
      <c r="E6" s="335"/>
      <c r="F6" s="335">
        <f t="shared" si="2"/>
        <v>202409180152</v>
      </c>
      <c r="G6" s="336" t="s">
        <v>638</v>
      </c>
      <c r="H6" s="334"/>
      <c r="I6" s="337" t="s">
        <v>625</v>
      </c>
      <c r="J6" s="338" t="str">
        <f t="shared" si="3"/>
        <v>SIEP - SIEP - Nuova dicitura</v>
      </c>
      <c r="K6" s="339" t="str">
        <f>CONCATENATE("TF002.",I6)</f>
        <v>TF002.SIEP</v>
      </c>
      <c r="L6" s="340" t="s">
        <v>639</v>
      </c>
      <c r="M6" s="340"/>
      <c r="N6" s="340"/>
      <c r="O6" s="340"/>
      <c r="P6" s="339" t="s">
        <v>640</v>
      </c>
      <c r="Q6" s="341" t="s">
        <v>337</v>
      </c>
      <c r="T6" s="294"/>
    </row>
    <row r="7" spans="1:21" ht="30" customHeight="1" thickTop="1">
      <c r="C7" s="362"/>
    </row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0" r:id="rId4" name="Btn_Insert">
          <controlPr defaultSize="0" print="0" autoLine="0" r:id="rId5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4" name="Btn_Insert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2" r:id="rId8" name="Btn_Duplicate">
          <controlPr defaultSize="0" print="0" autoLine="0" r:id="rId9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8" name="Btn_Duplicate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86" t="s">
        <v>212</v>
      </c>
      <c r="B1" s="387"/>
      <c r="C1" s="387"/>
      <c r="D1" s="388" t="s">
        <v>554</v>
      </c>
      <c r="E1" s="389"/>
      <c r="F1" s="389"/>
      <c r="G1" s="390"/>
      <c r="H1" s="386" t="s">
        <v>335</v>
      </c>
      <c r="I1" s="391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84"/>
      <c r="S1" s="384"/>
      <c r="T1" s="385"/>
    </row>
    <row r="2" spans="1:20" ht="21" customHeight="1" thickBot="1">
      <c r="A2" s="392" t="s">
        <v>175</v>
      </c>
      <c r="B2" s="393"/>
      <c r="C2" s="394"/>
      <c r="D2" s="395" t="s">
        <v>338</v>
      </c>
      <c r="E2" s="396"/>
      <c r="F2" s="396"/>
      <c r="G2" s="396"/>
      <c r="H2" s="396"/>
      <c r="I2" s="396"/>
      <c r="J2" s="397"/>
      <c r="K2" s="381" t="s">
        <v>8</v>
      </c>
      <c r="L2" s="382"/>
      <c r="M2" s="382"/>
      <c r="N2" s="382"/>
      <c r="O2" s="382"/>
      <c r="P2" s="382"/>
      <c r="Q2" s="382"/>
      <c r="R2" s="382"/>
      <c r="S2" s="382"/>
      <c r="T2" s="383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5" r:id="rId4" name="Btn_Insert">
          <controlPr defaultSize="0" autoLine="0" r:id="rId5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4" name="Btn_Insert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7" r:id="rId8" name="Btn_Duplicate">
          <controlPr defaultSize="0" autoLine="0" r:id="rId9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8" name="Btn_Duplicate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98" t="s">
        <v>565</v>
      </c>
      <c r="C2" s="398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99" t="s">
        <v>572</v>
      </c>
      <c r="C9" s="400"/>
      <c r="D9" s="401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R27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8" ht="90" customHeight="1" thickBot="1">
      <c r="A1" s="416" t="s">
        <v>212</v>
      </c>
      <c r="B1" s="417"/>
      <c r="C1" s="418"/>
      <c r="D1" s="410" t="str">
        <f>Copertina!C7</f>
        <v>SIES v.12.6.4.0</v>
      </c>
      <c r="E1" s="411"/>
      <c r="F1" s="411"/>
      <c r="G1" s="411"/>
      <c r="H1" s="411"/>
      <c r="I1" s="411"/>
      <c r="J1" s="412"/>
    </row>
    <row r="2" spans="1:18" ht="30" customHeight="1" thickBot="1">
      <c r="A2" s="416" t="s">
        <v>74</v>
      </c>
      <c r="B2" s="417"/>
      <c r="C2" s="419"/>
      <c r="D2" s="413" t="str">
        <f>Copertina!C3</f>
        <v>SIUT-SIES-CT-1.0-20240927-Allegato_al_piano_test_SIES_v.12.6.4.0.xlsx</v>
      </c>
      <c r="E2" s="414"/>
      <c r="F2" s="414"/>
      <c r="G2" s="414"/>
      <c r="H2" s="414"/>
      <c r="I2" s="414"/>
      <c r="J2" s="415"/>
    </row>
    <row r="3" spans="1:18" ht="30" customHeight="1" thickBot="1">
      <c r="A3" s="302" t="s">
        <v>184</v>
      </c>
      <c r="B3" s="303" t="s">
        <v>588</v>
      </c>
      <c r="C3" s="420" t="s">
        <v>589</v>
      </c>
      <c r="D3" s="420"/>
      <c r="E3" s="420" t="s">
        <v>185</v>
      </c>
      <c r="F3" s="420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8" s="332" customFormat="1" ht="15" customHeight="1" thickBot="1">
      <c r="A4" s="319" t="str">
        <f>TabellaTest!K4</f>
        <v>TF001.SIUS</v>
      </c>
      <c r="B4" s="320" t="str">
        <f>TabellaTest!I4</f>
        <v>SIUS</v>
      </c>
      <c r="C4" s="409" t="str">
        <f>TabellaTest!L4</f>
        <v>Errore nella decodifica esito tenore</v>
      </c>
      <c r="D4" s="403"/>
      <c r="E4" s="404" t="str">
        <f>TabellaTest!P4</f>
        <v>Verifica: Verificare che dopo l'elaborazione della statistica l'esito del tenore sia codificato correttamente</v>
      </c>
      <c r="F4" s="403"/>
      <c r="G4" s="319" t="str">
        <f>TabellaTest!Q4</f>
        <v>1.0</v>
      </c>
      <c r="H4" s="305"/>
      <c r="I4" s="305"/>
      <c r="J4" s="319" t="s">
        <v>600</v>
      </c>
    </row>
    <row r="5" spans="1:18" s="332" customFormat="1" ht="30" customHeight="1">
      <c r="A5" s="405"/>
      <c r="B5" s="321" t="s">
        <v>188</v>
      </c>
      <c r="C5" s="322" t="s">
        <v>189</v>
      </c>
      <c r="D5" s="322" t="s">
        <v>596</v>
      </c>
      <c r="E5" s="322" t="s">
        <v>597</v>
      </c>
      <c r="F5" s="347" t="s">
        <v>598</v>
      </c>
      <c r="G5" s="405"/>
      <c r="H5" s="325"/>
      <c r="I5" s="325"/>
      <c r="J5" s="407"/>
    </row>
    <row r="6" spans="1:18" s="332" customFormat="1" ht="45" customHeight="1">
      <c r="A6" s="406"/>
      <c r="B6" s="323" t="s">
        <v>164</v>
      </c>
      <c r="C6" s="326" t="s">
        <v>193</v>
      </c>
      <c r="D6" s="342" t="s">
        <v>616</v>
      </c>
      <c r="E6" s="342" t="s">
        <v>617</v>
      </c>
      <c r="F6" s="348"/>
      <c r="G6" s="406"/>
      <c r="H6" s="345"/>
      <c r="I6" s="345"/>
      <c r="J6" s="408"/>
    </row>
    <row r="7" spans="1:18" s="332" customFormat="1" ht="30" customHeight="1">
      <c r="A7" s="406"/>
      <c r="B7" s="323" t="s">
        <v>164</v>
      </c>
      <c r="C7" s="326" t="s">
        <v>194</v>
      </c>
      <c r="D7" s="327" t="s">
        <v>606</v>
      </c>
      <c r="E7" s="349"/>
      <c r="F7" s="350"/>
      <c r="G7" s="406"/>
      <c r="H7" s="345"/>
      <c r="I7" s="345"/>
      <c r="J7" s="408"/>
    </row>
    <row r="8" spans="1:18" s="332" customFormat="1" ht="30" customHeight="1">
      <c r="A8" s="406"/>
      <c r="B8" s="346">
        <v>1</v>
      </c>
      <c r="C8" s="329" t="s">
        <v>195</v>
      </c>
      <c r="D8" s="351" t="s">
        <v>618</v>
      </c>
      <c r="E8" s="349"/>
      <c r="F8" s="350" t="s">
        <v>619</v>
      </c>
      <c r="G8" s="406"/>
      <c r="H8" s="345"/>
      <c r="I8" s="345"/>
      <c r="J8" s="408"/>
    </row>
    <row r="9" spans="1:18" s="332" customFormat="1" ht="30" customHeight="1">
      <c r="A9" s="406"/>
      <c r="B9" s="331">
        <v>2</v>
      </c>
      <c r="C9" s="328" t="s">
        <v>196</v>
      </c>
      <c r="D9" s="342" t="s">
        <v>620</v>
      </c>
      <c r="E9" s="349"/>
      <c r="F9" s="350" t="s">
        <v>619</v>
      </c>
      <c r="G9" s="406"/>
      <c r="H9" s="345"/>
      <c r="I9" s="345"/>
      <c r="J9" s="408"/>
    </row>
    <row r="10" spans="1:18" s="344" customFormat="1" ht="30" customHeight="1">
      <c r="A10" s="406"/>
      <c r="B10" s="331">
        <v>3</v>
      </c>
      <c r="C10" s="328" t="s">
        <v>196</v>
      </c>
      <c r="D10" s="342" t="s">
        <v>607</v>
      </c>
      <c r="E10" s="349"/>
      <c r="F10" s="350" t="s">
        <v>608</v>
      </c>
      <c r="G10" s="406"/>
      <c r="H10" s="345"/>
      <c r="I10" s="345"/>
      <c r="J10" s="408"/>
      <c r="L10" s="297"/>
      <c r="M10" s="297"/>
      <c r="N10" s="297"/>
      <c r="O10" s="297"/>
      <c r="P10" s="297"/>
      <c r="Q10" s="297"/>
      <c r="R10" s="297"/>
    </row>
    <row r="11" spans="1:18" ht="45" customHeight="1" thickBot="1">
      <c r="A11" s="352"/>
      <c r="B11" s="324" t="s">
        <v>199</v>
      </c>
      <c r="C11" s="330" t="s">
        <v>599</v>
      </c>
      <c r="D11" s="343" t="s">
        <v>621</v>
      </c>
      <c r="E11" s="356" t="s">
        <v>622</v>
      </c>
      <c r="F11" s="357" t="s">
        <v>623</v>
      </c>
      <c r="G11" s="352"/>
      <c r="J11" s="353"/>
    </row>
    <row r="12" spans="1:18" s="354" customFormat="1" ht="30" customHeight="1" thickBot="1">
      <c r="A12" s="319" t="str">
        <f>TabellaTest!K5</f>
        <v>TF001.SIEP</v>
      </c>
      <c r="B12" s="360" t="str">
        <f>TabellaTest!I5</f>
        <v>SIEP</v>
      </c>
      <c r="C12" s="402" t="str">
        <f>TabellaTest!L5</f>
        <v>Errore sulla dimensione dei campi multa ed ammenda</v>
      </c>
      <c r="D12" s="403"/>
      <c r="E12" s="404" t="str">
        <f>TabellaTest!P5</f>
        <v>Verifica: Verificare che per i campi multa ed ammenda nella rideterminazione pena del cumulo si possano inserire valori fino a 14 interi e 2 decimali</v>
      </c>
      <c r="F12" s="403"/>
      <c r="G12" s="319" t="str">
        <f>TabellaTest!Q5</f>
        <v>1.0</v>
      </c>
      <c r="H12" s="305"/>
      <c r="I12" s="305"/>
      <c r="J12" s="319" t="s">
        <v>600</v>
      </c>
    </row>
    <row r="13" spans="1:18" s="354" customFormat="1" ht="30" customHeight="1">
      <c r="A13" s="405"/>
      <c r="B13" s="321" t="s">
        <v>188</v>
      </c>
      <c r="C13" s="322" t="s">
        <v>189</v>
      </c>
      <c r="D13" s="322" t="s">
        <v>596</v>
      </c>
      <c r="E13" s="322" t="s">
        <v>597</v>
      </c>
      <c r="F13" s="347" t="s">
        <v>598</v>
      </c>
      <c r="G13" s="405"/>
      <c r="H13" s="325"/>
      <c r="I13" s="325"/>
      <c r="J13" s="407"/>
    </row>
    <row r="14" spans="1:18" s="354" customFormat="1" ht="45" customHeight="1">
      <c r="A14" s="406"/>
      <c r="B14" s="323" t="s">
        <v>164</v>
      </c>
      <c r="C14" s="326" t="s">
        <v>193</v>
      </c>
      <c r="D14" s="342" t="s">
        <v>627</v>
      </c>
      <c r="E14" s="342" t="s">
        <v>628</v>
      </c>
      <c r="F14" s="350"/>
      <c r="G14" s="406"/>
      <c r="H14" s="355"/>
      <c r="I14" s="355"/>
      <c r="J14" s="408"/>
    </row>
    <row r="15" spans="1:18" s="354" customFormat="1" ht="30" customHeight="1">
      <c r="A15" s="406"/>
      <c r="B15" s="323" t="s">
        <v>164</v>
      </c>
      <c r="C15" s="326" t="s">
        <v>194</v>
      </c>
      <c r="D15" s="327" t="s">
        <v>606</v>
      </c>
      <c r="E15" s="349" t="s">
        <v>629</v>
      </c>
      <c r="F15" s="350" t="s">
        <v>630</v>
      </c>
      <c r="G15" s="406"/>
      <c r="H15" s="355"/>
      <c r="I15" s="355"/>
      <c r="J15" s="408"/>
    </row>
    <row r="16" spans="1:18" s="354" customFormat="1" ht="15" customHeight="1">
      <c r="A16" s="406"/>
      <c r="B16" s="346">
        <v>1</v>
      </c>
      <c r="C16" s="329" t="s">
        <v>195</v>
      </c>
      <c r="D16" s="351" t="s">
        <v>631</v>
      </c>
      <c r="E16" s="349"/>
      <c r="F16" s="350" t="s">
        <v>632</v>
      </c>
      <c r="G16" s="406"/>
      <c r="H16" s="355"/>
      <c r="I16" s="355"/>
      <c r="J16" s="408"/>
    </row>
    <row r="17" spans="1:18" s="354" customFormat="1" ht="30" customHeight="1">
      <c r="A17" s="406"/>
      <c r="B17" s="331">
        <v>2</v>
      </c>
      <c r="C17" s="328" t="s">
        <v>196</v>
      </c>
      <c r="D17" s="342" t="s">
        <v>607</v>
      </c>
      <c r="E17" s="349" t="s">
        <v>633</v>
      </c>
      <c r="F17" s="350" t="s">
        <v>632</v>
      </c>
      <c r="G17" s="406"/>
      <c r="H17" s="355"/>
      <c r="I17" s="355"/>
      <c r="J17" s="408"/>
    </row>
    <row r="18" spans="1:18" s="354" customFormat="1" ht="30" customHeight="1">
      <c r="A18" s="406"/>
      <c r="B18" s="331">
        <v>3</v>
      </c>
      <c r="C18" s="328" t="s">
        <v>196</v>
      </c>
      <c r="D18" s="342" t="s">
        <v>607</v>
      </c>
      <c r="E18" s="349" t="s">
        <v>634</v>
      </c>
      <c r="F18" s="350" t="s">
        <v>635</v>
      </c>
      <c r="G18" s="406"/>
      <c r="H18" s="355"/>
      <c r="I18" s="355"/>
      <c r="J18" s="408"/>
      <c r="L18" s="297"/>
      <c r="M18" s="297"/>
      <c r="N18" s="297"/>
      <c r="O18" s="297"/>
      <c r="P18" s="297"/>
      <c r="Q18" s="297"/>
      <c r="R18" s="297"/>
    </row>
    <row r="19" spans="1:18" s="354" customFormat="1" ht="45" customHeight="1" thickBot="1">
      <c r="A19" s="352"/>
      <c r="B19" s="324" t="s">
        <v>199</v>
      </c>
      <c r="C19" s="330" t="s">
        <v>599</v>
      </c>
      <c r="D19" s="343" t="s">
        <v>636</v>
      </c>
      <c r="E19" s="361">
        <v>12345678900000</v>
      </c>
      <c r="F19" s="357" t="s">
        <v>644</v>
      </c>
      <c r="G19" s="352"/>
      <c r="J19" s="353"/>
    </row>
    <row r="20" spans="1:18" s="358" customFormat="1" ht="30" customHeight="1" thickBot="1">
      <c r="A20" s="319" t="str">
        <f>TabellaTest!K6</f>
        <v>TF002.SIEP</v>
      </c>
      <c r="B20" s="360" t="str">
        <f>TabellaTest!I6</f>
        <v>SIEP</v>
      </c>
      <c r="C20" s="402" t="str">
        <f>TabellaTest!L6</f>
        <v>Errore nella decodifica del sesso del condannato/a</v>
      </c>
      <c r="D20" s="403"/>
      <c r="E20" s="404" t="str">
        <f>TabellaTest!P6</f>
        <v>Verifica: Verificare che nella stampa del template sia diversificata la decodifica del sesso del condannato/a</v>
      </c>
      <c r="F20" s="403"/>
      <c r="G20" s="319" t="str">
        <f>TabellaTest!Q6</f>
        <v>1.0</v>
      </c>
      <c r="H20" s="305"/>
      <c r="I20" s="305"/>
      <c r="J20" s="319" t="s">
        <v>600</v>
      </c>
    </row>
    <row r="21" spans="1:18" s="358" customFormat="1" ht="30" customHeight="1">
      <c r="A21" s="405"/>
      <c r="B21" s="321" t="s">
        <v>188</v>
      </c>
      <c r="C21" s="322" t="s">
        <v>189</v>
      </c>
      <c r="D21" s="322" t="s">
        <v>596</v>
      </c>
      <c r="E21" s="322" t="s">
        <v>597</v>
      </c>
      <c r="F21" s="347" t="s">
        <v>598</v>
      </c>
      <c r="G21" s="405"/>
      <c r="H21" s="325"/>
      <c r="I21" s="325"/>
      <c r="J21" s="407"/>
    </row>
    <row r="22" spans="1:18" s="358" customFormat="1" ht="45" customHeight="1">
      <c r="A22" s="406"/>
      <c r="B22" s="323" t="s">
        <v>164</v>
      </c>
      <c r="C22" s="326" t="s">
        <v>193</v>
      </c>
      <c r="D22" s="342" t="s">
        <v>641</v>
      </c>
      <c r="E22" s="342" t="s">
        <v>642</v>
      </c>
      <c r="F22" s="350" t="s">
        <v>643</v>
      </c>
      <c r="G22" s="406"/>
      <c r="H22" s="359"/>
      <c r="I22" s="359"/>
      <c r="J22" s="408"/>
    </row>
    <row r="23" spans="1:18" s="358" customFormat="1" ht="75" customHeight="1">
      <c r="A23" s="406"/>
      <c r="B23" s="323" t="s">
        <v>164</v>
      </c>
      <c r="C23" s="326" t="s">
        <v>194</v>
      </c>
      <c r="D23" s="327" t="s">
        <v>606</v>
      </c>
      <c r="E23" s="349" t="s">
        <v>645</v>
      </c>
      <c r="F23" s="363" t="s">
        <v>646</v>
      </c>
      <c r="G23" s="406"/>
      <c r="H23" s="359"/>
      <c r="I23" s="359"/>
      <c r="J23" s="408"/>
    </row>
    <row r="24" spans="1:18" s="358" customFormat="1" ht="45" customHeight="1">
      <c r="A24" s="406"/>
      <c r="B24" s="346">
        <v>1</v>
      </c>
      <c r="C24" s="329" t="s">
        <v>195</v>
      </c>
      <c r="D24" s="351" t="s">
        <v>647</v>
      </c>
      <c r="E24" s="349"/>
      <c r="F24" s="350" t="s">
        <v>648</v>
      </c>
      <c r="G24" s="406"/>
      <c r="H24" s="359"/>
      <c r="I24" s="359"/>
      <c r="J24" s="408"/>
    </row>
    <row r="25" spans="1:18" s="358" customFormat="1" ht="30" customHeight="1">
      <c r="A25" s="406"/>
      <c r="B25" s="331">
        <v>2</v>
      </c>
      <c r="C25" s="328" t="s">
        <v>196</v>
      </c>
      <c r="D25" s="342" t="s">
        <v>607</v>
      </c>
      <c r="E25" s="349"/>
      <c r="F25" s="350" t="s">
        <v>649</v>
      </c>
      <c r="G25" s="406"/>
      <c r="H25" s="359"/>
      <c r="I25" s="359"/>
      <c r="J25" s="408"/>
    </row>
    <row r="26" spans="1:18" s="358" customFormat="1" ht="60" customHeight="1">
      <c r="A26" s="406"/>
      <c r="B26" s="331">
        <v>3</v>
      </c>
      <c r="C26" s="328" t="s">
        <v>196</v>
      </c>
      <c r="D26" s="342" t="s">
        <v>650</v>
      </c>
      <c r="E26" s="349"/>
      <c r="F26" s="365" t="s">
        <v>653</v>
      </c>
      <c r="G26" s="406"/>
      <c r="H26" s="359"/>
      <c r="I26" s="359"/>
      <c r="J26" s="408"/>
      <c r="L26" s="297"/>
      <c r="M26" s="297"/>
      <c r="N26" s="297"/>
      <c r="O26" s="297"/>
      <c r="P26" s="297"/>
      <c r="Q26" s="297"/>
      <c r="R26" s="297"/>
    </row>
    <row r="27" spans="1:18" s="358" customFormat="1" ht="45" customHeight="1" thickBot="1">
      <c r="A27" s="352"/>
      <c r="B27" s="324" t="s">
        <v>199</v>
      </c>
      <c r="C27" s="330" t="s">
        <v>599</v>
      </c>
      <c r="D27" s="343" t="s">
        <v>651</v>
      </c>
      <c r="E27" s="343"/>
      <c r="F27" s="364" t="s">
        <v>652</v>
      </c>
      <c r="G27" s="352"/>
      <c r="J27" s="353"/>
    </row>
  </sheetData>
  <mergeCells count="21">
    <mergeCell ref="A13:A18"/>
    <mergeCell ref="G13:G18"/>
    <mergeCell ref="J13:J18"/>
    <mergeCell ref="A5:A10"/>
    <mergeCell ref="J5:J10"/>
    <mergeCell ref="G5:G10"/>
    <mergeCell ref="C12:D12"/>
    <mergeCell ref="E12:F12"/>
    <mergeCell ref="C4:D4"/>
    <mergeCell ref="E4:F4"/>
    <mergeCell ref="D1:J1"/>
    <mergeCell ref="D2:J2"/>
    <mergeCell ref="A1:C1"/>
    <mergeCell ref="A2:C2"/>
    <mergeCell ref="E3:F3"/>
    <mergeCell ref="C3:D3"/>
    <mergeCell ref="C20:D20"/>
    <mergeCell ref="E20:F20"/>
    <mergeCell ref="A21:A26"/>
    <mergeCell ref="G21:G26"/>
    <mergeCell ref="J21:J26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0" r:id="rId4" name="Btn_InsLayout">
          <controlPr defaultSize="0" print="0" autoLine="0" r:id="rId5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4" name="Btn_InsLayout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3" r:id="rId8" name="Btn_Duplicate">
          <controlPr defaultSize="0" print="0" autoLine="0" r:id="rId9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8" name="Btn_Duplicate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416" t="s">
        <v>212</v>
      </c>
      <c r="B1" s="421"/>
      <c r="C1" s="421"/>
      <c r="D1" s="422"/>
      <c r="E1" s="423" t="str">
        <f xml:space="preserve"> Copertina!B7</f>
        <v>Intervento</v>
      </c>
      <c r="F1" s="424"/>
      <c r="G1" s="425"/>
      <c r="H1" s="264"/>
      <c r="I1" s="265"/>
      <c r="J1" s="284"/>
      <c r="K1" s="285"/>
    </row>
    <row r="2" spans="1:11" s="88" customFormat="1" ht="20.25">
      <c r="A2" s="426" t="s">
        <v>74</v>
      </c>
      <c r="B2" s="427"/>
      <c r="C2" s="427"/>
      <c r="D2" s="428"/>
      <c r="E2" s="429" t="e">
        <f xml:space="preserve"> Copertina!#REF!</f>
        <v>#REF!</v>
      </c>
      <c r="F2" s="430"/>
      <c r="G2" s="431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416" t="s">
        <v>212</v>
      </c>
      <c r="B1" s="421"/>
      <c r="C1" s="421"/>
      <c r="D1" s="454" t="str">
        <f>VerificheConformità!E1</f>
        <v>Intervento</v>
      </c>
      <c r="E1" s="455"/>
    </row>
    <row r="2" spans="1:9" ht="21" customHeight="1" thickBot="1">
      <c r="A2" s="416" t="s">
        <v>74</v>
      </c>
      <c r="B2" s="421"/>
      <c r="C2" s="421"/>
      <c r="D2" s="454" t="e">
        <f>VerificheConformità!E2</f>
        <v>#REF!</v>
      </c>
      <c r="E2" s="455"/>
    </row>
    <row r="3" spans="1:9" s="88" customFormat="1" ht="27" customHeight="1" thickBot="1">
      <c r="A3" s="437" t="s">
        <v>583</v>
      </c>
      <c r="B3" s="438"/>
      <c r="C3" s="438"/>
      <c r="D3" s="439"/>
      <c r="E3" s="440"/>
      <c r="G3" s="441" t="s">
        <v>584</v>
      </c>
      <c r="H3" s="442"/>
      <c r="I3" s="443"/>
    </row>
    <row r="4" spans="1:9" ht="23.25" customHeight="1" thickBot="1">
      <c r="A4" s="450" t="s">
        <v>585</v>
      </c>
      <c r="B4" s="451" t="s">
        <v>586</v>
      </c>
      <c r="C4" s="452"/>
      <c r="D4" s="452"/>
      <c r="E4" s="453"/>
      <c r="G4" s="444"/>
      <c r="H4" s="445"/>
      <c r="I4" s="446"/>
    </row>
    <row r="5" spans="1:9" ht="26.25" customHeight="1" thickBot="1">
      <c r="A5" s="433"/>
      <c r="B5" s="269">
        <v>1</v>
      </c>
      <c r="C5" s="269">
        <v>2</v>
      </c>
      <c r="D5" s="269">
        <v>3</v>
      </c>
      <c r="E5" s="270">
        <v>4</v>
      </c>
      <c r="G5" s="444"/>
      <c r="H5" s="445"/>
      <c r="I5" s="446"/>
    </row>
    <row r="6" spans="1:9" ht="15.75" thickBot="1">
      <c r="A6" s="271" t="s">
        <v>152</v>
      </c>
      <c r="B6" s="272">
        <f>COUNTIFS(TabellaTest!M4:M275,1,TabellaTest!T4:T275,"A",TabellaTest!U4:U275,"KO")</f>
        <v>0</v>
      </c>
      <c r="C6" s="272">
        <f>COUNTIFS(TabellaTest!M4:M275,2,TabellaTest!T4:T275,"A",TabellaTest!U4:U275,"KO")</f>
        <v>0</v>
      </c>
      <c r="D6" s="272">
        <f>COUNTIFS(TabellaTest!M4:M275,3,TabellaTest!T4:T275,"A",TabellaTest!U4:U275,"KO")</f>
        <v>0</v>
      </c>
      <c r="E6" s="272">
        <f>COUNTIFS(TabellaTest!M4:M275,4,TabellaTest!T4:T275,"A",TabellaTest!U4:U275,"KO")</f>
        <v>0</v>
      </c>
      <c r="G6" s="444"/>
      <c r="H6" s="445"/>
      <c r="I6" s="446"/>
    </row>
    <row r="7" spans="1:9" ht="15.75" thickBot="1">
      <c r="A7" s="273" t="s">
        <v>153</v>
      </c>
      <c r="B7" s="272">
        <f>COUNTIFS(TabellaTest!M4:M275,1,TabellaTest!T4:T275,"B",TabellaTest!U4:U275,"KO")</f>
        <v>0</v>
      </c>
      <c r="C7" s="272">
        <f>COUNTIFS(TabellaTest!M4:M275,2,TabellaTest!T4:T275,"B",TabellaTest!U4:U275,"KO")</f>
        <v>0</v>
      </c>
      <c r="D7" s="272">
        <f>COUNTIFS(TabellaTest!M4:M275,3,TabellaTest!T4:T275,"B",TabellaTest!U4:U275,"KO")</f>
        <v>0</v>
      </c>
      <c r="E7" s="272">
        <f>COUNTIFS(TabellaTest!M4:M275,4,TabellaTest!T4:T275,"B",TabellaTest!U4:U275,"KO")</f>
        <v>0</v>
      </c>
      <c r="G7" s="444"/>
      <c r="H7" s="445"/>
      <c r="I7" s="446"/>
    </row>
    <row r="8" spans="1:9" ht="15.75" thickBot="1">
      <c r="A8" s="274" t="s">
        <v>154</v>
      </c>
      <c r="B8" s="272">
        <f>COUNTIFS(TabellaTest!M4:M275,1,TabellaTest!T4:T275,"C",TabellaTest!U4:U275,"KO")</f>
        <v>0</v>
      </c>
      <c r="C8" s="272">
        <f>COUNTIFS(TabellaTest!M4:M275,2,TabellaTest!T4:T275,"C",TabellaTest!U4:U275,"KO")</f>
        <v>0</v>
      </c>
      <c r="D8" s="272">
        <f>COUNTIFS(TabellaTest!M4:M275,3,TabellaTest!T4:T275,"C",TabellaTest!U4:U275,"KO")</f>
        <v>0</v>
      </c>
      <c r="E8" s="272">
        <f>COUNTIFS(TabellaTest!M4:M275,4,TabellaTest!T4:T275,"C",TabellaTest!U4:U275,"KO")</f>
        <v>0</v>
      </c>
      <c r="G8" s="447"/>
      <c r="H8" s="448"/>
      <c r="I8" s="449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56" t="s">
        <v>587</v>
      </c>
      <c r="B14" s="457"/>
      <c r="C14" s="457"/>
      <c r="D14" s="457"/>
      <c r="E14" s="458"/>
    </row>
    <row r="15" spans="1:9" ht="15.75" thickBot="1">
      <c r="A15" s="432" t="s">
        <v>585</v>
      </c>
      <c r="B15" s="434" t="s">
        <v>586</v>
      </c>
      <c r="C15" s="435"/>
      <c r="D15" s="435"/>
      <c r="E15" s="436"/>
    </row>
    <row r="16" spans="1:9" ht="15" thickBot="1">
      <c r="A16" s="433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COUNTIFS(TabellaTest!M4:M275,1,TabellaTest!T4:T275,"A")</f>
        <v>0</v>
      </c>
      <c r="C17" s="280">
        <f>COUNTIFS(TabellaTest!M4:M275,2,TabellaTest!T4:T275,"A")</f>
        <v>0</v>
      </c>
      <c r="D17" s="280">
        <f>COUNTIFS(TabellaTest!M4:M275,3,TabellaTest!T4:T275,"A")</f>
        <v>0</v>
      </c>
      <c r="E17" s="280">
        <f>COUNTIFS(TabellaTest!M4:M275,4,TabellaTest!T4:T275,"A")</f>
        <v>0</v>
      </c>
    </row>
    <row r="18" spans="1:5" ht="15" thickBot="1">
      <c r="A18" s="278" t="s">
        <v>153</v>
      </c>
      <c r="B18" s="280">
        <f>COUNTIFS(TabellaTest!M4:M275,1,TabellaTest!T4:T275,"B")</f>
        <v>0</v>
      </c>
      <c r="C18" s="280">
        <f>COUNTIFS(TabellaTest!M4:M275,2,TabellaTest!T4:T275,"B")</f>
        <v>0</v>
      </c>
      <c r="D18" s="280">
        <f>COUNTIFS(TabellaTest!M4:M275,3,TabellaTest!T4:T275,"B")</f>
        <v>0</v>
      </c>
      <c r="E18" s="280">
        <f>COUNTIFS(TabellaTest!M4:M275,4,TabellaTest!T4:T275,"B")</f>
        <v>0</v>
      </c>
    </row>
    <row r="19" spans="1:5" ht="15" thickBot="1">
      <c r="A19" s="279" t="s">
        <v>154</v>
      </c>
      <c r="B19" s="280">
        <f>COUNTIFS(TabellaTest!M4:M275,1,TabellaTest!T4:T275,"C")</f>
        <v>0</v>
      </c>
      <c r="C19" s="280">
        <f>COUNTIFS(TabellaTest!M4:M275,2,TabellaTest!T4:T275,"C")</f>
        <v>0</v>
      </c>
      <c r="D19" s="280">
        <f>COUNTIFS(TabellaTest!M4:M275,3,TabellaTest!T4:T275,"C")</f>
        <v>0</v>
      </c>
      <c r="E19" s="280">
        <f>COUNTIFS(TabellaTest!M4:M275,4,TabellaTest!T4:T275,"C")</f>
        <v>0</v>
      </c>
    </row>
  </sheetData>
  <sheetProtection password="A7EC" sheet="1" objects="1" scenarios="1" selectLockedCells="1" selectUnlockedCells="1"/>
  <mergeCells count="11">
    <mergeCell ref="A1:C1"/>
    <mergeCell ref="D1:E1"/>
    <mergeCell ref="A2:C2"/>
    <mergeCell ref="D2:E2"/>
    <mergeCell ref="A14:E14"/>
    <mergeCell ref="A15:A16"/>
    <mergeCell ref="B15:E15"/>
    <mergeCell ref="A3:E3"/>
    <mergeCell ref="G3:I8"/>
    <mergeCell ref="A4:A5"/>
    <mergeCell ref="B4:E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59" t="s">
        <v>212</v>
      </c>
      <c r="B2" s="460"/>
      <c r="C2" s="461"/>
      <c r="D2" s="461"/>
      <c r="E2" s="461"/>
      <c r="F2" s="461"/>
      <c r="G2" s="461"/>
      <c r="H2" s="462"/>
    </row>
    <row r="3" spans="1:8" ht="13.5" thickBot="1">
      <c r="A3" s="463" t="s">
        <v>74</v>
      </c>
      <c r="B3" s="464"/>
      <c r="C3" s="465"/>
      <c r="D3" s="465"/>
      <c r="E3" s="465"/>
      <c r="F3" s="465"/>
      <c r="G3" s="466"/>
      <c r="H3" s="466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78" t="s">
        <v>212</v>
      </c>
      <c r="B1" s="479"/>
      <c r="C1" s="480"/>
      <c r="D1" s="474" t="s">
        <v>334</v>
      </c>
      <c r="E1" s="475"/>
      <c r="F1" s="475"/>
      <c r="G1" s="475"/>
      <c r="H1" s="476"/>
      <c r="I1" s="477"/>
    </row>
    <row r="2" spans="1:9" ht="22.5" customHeight="1" thickBot="1">
      <c r="A2" s="481" t="s">
        <v>74</v>
      </c>
      <c r="B2" s="482"/>
      <c r="C2" s="483"/>
      <c r="D2" s="487" t="s">
        <v>336</v>
      </c>
      <c r="E2" s="488"/>
      <c r="F2" s="489"/>
      <c r="G2" s="489"/>
      <c r="H2" s="489"/>
      <c r="I2" s="490"/>
    </row>
    <row r="3" spans="1:9" ht="52.5" customHeight="1">
      <c r="A3" s="72" t="s">
        <v>184</v>
      </c>
      <c r="B3" s="36" t="s">
        <v>62</v>
      </c>
      <c r="C3" s="484" t="s">
        <v>61</v>
      </c>
      <c r="D3" s="485"/>
      <c r="E3" s="484" t="s">
        <v>185</v>
      </c>
      <c r="F3" s="486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70" t="s">
        <v>497</v>
      </c>
      <c r="D4" s="471"/>
      <c r="E4" s="469" t="s">
        <v>498</v>
      </c>
      <c r="F4" s="468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72" t="s">
        <v>344</v>
      </c>
      <c r="D13" s="473"/>
      <c r="E13" s="472" t="s">
        <v>345</v>
      </c>
      <c r="F13" s="473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67" t="str">
        <f>Es.1!L6</f>
        <v>Inserimento dati duplicati</v>
      </c>
      <c r="D28" s="468"/>
      <c r="E28" s="469" t="s">
        <v>498</v>
      </c>
      <c r="F28" s="468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67" t="str">
        <f>Es.1!L7</f>
        <v>Inserimento dati non validi</v>
      </c>
      <c r="D29" s="468"/>
      <c r="E29" s="469" t="s">
        <v>498</v>
      </c>
      <c r="F29" s="468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67" t="str">
        <f>Es.1!L8</f>
        <v>Verifica Accessibilità</v>
      </c>
      <c r="D30" s="468"/>
      <c r="E30" s="469" t="s">
        <v>498</v>
      </c>
      <c r="F30" s="468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67" t="str">
        <f>Es.1!L9</f>
        <v>Verifica Usabilità</v>
      </c>
      <c r="D31" s="468"/>
      <c r="E31" s="469" t="s">
        <v>498</v>
      </c>
      <c r="F31" s="468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67" t="str">
        <f>Es.1!L10</f>
        <v>Ricerca - visualizzazione - modifica e cancellazione anagrafica</v>
      </c>
      <c r="D32" s="468"/>
      <c r="E32" s="469" t="s">
        <v>498</v>
      </c>
      <c r="F32" s="468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67" t="str">
        <f>Es.1!L11</f>
        <v>Creazione progetto, inserimento e modifica anagrafica, stampa resoconto.</v>
      </c>
      <c r="D33" s="468"/>
      <c r="E33" s="469" t="s">
        <v>498</v>
      </c>
      <c r="F33" s="468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67" t="str">
        <f>Es.1!L12</f>
        <v>Ricerca - visualizzazione elenco progetti</v>
      </c>
      <c r="D34" s="468"/>
      <c r="E34" s="469" t="s">
        <v>498</v>
      </c>
      <c r="F34" s="468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67" t="str">
        <f>Es.1!L13</f>
        <v xml:space="preserve">Ricerca - lista vuota - annulla </v>
      </c>
      <c r="D35" s="468"/>
      <c r="E35" s="469" t="s">
        <v>498</v>
      </c>
      <c r="F35" s="468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67" t="str">
        <f>Es.1!L14</f>
        <v>Checklist Accessibilità</v>
      </c>
      <c r="D36" s="468"/>
      <c r="E36" s="469" t="s">
        <v>498</v>
      </c>
      <c r="F36" s="468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67" t="str">
        <f>Es.1!L15</f>
        <v>Performance Test su ricerca dati progetto</v>
      </c>
      <c r="D37" s="468"/>
      <c r="E37" s="469" t="s">
        <v>498</v>
      </c>
      <c r="F37" s="468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72" t="s">
        <v>82</v>
      </c>
      <c r="D38" s="473"/>
      <c r="E38" s="491" t="s">
        <v>83</v>
      </c>
      <c r="F38" s="473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  <mergeCell ref="D1:I1"/>
    <mergeCell ref="A1:C1"/>
    <mergeCell ref="A2:C2"/>
    <mergeCell ref="C3:D3"/>
    <mergeCell ref="E3:F3"/>
    <mergeCell ref="D2:I2"/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4" r:id="rId4" name="Btn_InsLayout">
          <controlPr defaultSize="0" autoLine="0" autoPict="0" r:id="rId5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4" name="Btn_InsLayout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6" r:id="rId8" name="Btn_Duplicate">
          <controlPr defaultSize="0" autoLine="0" autoPict="0" r:id="rId9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8" name="Btn_Duplicate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18"/>
      <c r="C1" s="518"/>
      <c r="D1" s="518"/>
      <c r="E1" s="519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20" t="s">
        <v>43</v>
      </c>
      <c r="B2" s="521"/>
      <c r="C2" s="521"/>
      <c r="D2" s="521"/>
      <c r="E2" s="521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22" t="s">
        <v>286</v>
      </c>
      <c r="C3" s="523"/>
      <c r="D3" s="523"/>
      <c r="E3" s="523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509" t="s">
        <v>12</v>
      </c>
      <c r="C4" s="510"/>
      <c r="D4" s="510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509"/>
      <c r="C5" s="510"/>
      <c r="D5" s="510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509"/>
      <c r="C6" s="510"/>
      <c r="D6" s="510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509" t="s">
        <v>12</v>
      </c>
      <c r="C7" s="510"/>
      <c r="D7" s="510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509">
        <v>1</v>
      </c>
      <c r="C8" s="510"/>
      <c r="D8" s="510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509" t="s">
        <v>362</v>
      </c>
      <c r="C9" s="510"/>
      <c r="D9" s="510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509" t="s">
        <v>289</v>
      </c>
      <c r="C10" s="510"/>
      <c r="D10" s="510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509">
        <v>10</v>
      </c>
      <c r="C11" s="510"/>
      <c r="D11" s="510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509"/>
      <c r="C12" s="510"/>
      <c r="D12" s="510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509">
        <v>4</v>
      </c>
      <c r="C13" s="510"/>
      <c r="D13" s="510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509">
        <v>4</v>
      </c>
      <c r="C14" s="510"/>
      <c r="D14" s="510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525"/>
      <c r="C15" s="510"/>
      <c r="D15" s="510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524"/>
      <c r="B16" s="524"/>
      <c r="C16" s="524"/>
      <c r="D16" s="524"/>
      <c r="E16" s="524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502"/>
      <c r="B17" s="502"/>
      <c r="C17" s="502"/>
      <c r="D17" s="502"/>
      <c r="E17" s="502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501" t="s">
        <v>293</v>
      </c>
      <c r="B18" s="501"/>
      <c r="C18" s="501"/>
      <c r="D18" s="502"/>
      <c r="E18" s="502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12" t="s">
        <v>294</v>
      </c>
      <c r="B19" s="513"/>
      <c r="C19" s="513"/>
      <c r="D19" s="502"/>
      <c r="E19" s="502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04">
        <v>4</v>
      </c>
      <c r="C20" s="505"/>
      <c r="D20" s="505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11">
        <v>0</v>
      </c>
      <c r="C21" s="505"/>
      <c r="D21" s="505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14">
        <v>1</v>
      </c>
      <c r="C22" s="515"/>
      <c r="D22" s="515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16" t="s">
        <v>540</v>
      </c>
      <c r="C23" s="517"/>
      <c r="D23" s="517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526"/>
      <c r="B24" s="526"/>
      <c r="C24" s="526"/>
      <c r="D24" s="527"/>
      <c r="E24" s="528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506" t="s">
        <v>405</v>
      </c>
      <c r="B25" s="507"/>
      <c r="C25" s="507"/>
      <c r="D25" s="508"/>
      <c r="E25" s="508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532"/>
      <c r="B32" s="532"/>
      <c r="C32" s="532"/>
      <c r="D32" s="524"/>
      <c r="E32" s="524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506" t="s">
        <v>406</v>
      </c>
      <c r="B33" s="507"/>
      <c r="C33" s="507"/>
      <c r="D33" s="508"/>
      <c r="E33" s="508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526"/>
      <c r="B40" s="526"/>
      <c r="C40" s="526"/>
      <c r="D40" s="527"/>
      <c r="E40" s="528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506" t="s">
        <v>407</v>
      </c>
      <c r="B41" s="507"/>
      <c r="C41" s="507"/>
      <c r="D41" s="508"/>
      <c r="E41" s="508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526"/>
      <c r="B48" s="526"/>
      <c r="C48" s="526"/>
      <c r="D48" s="527"/>
      <c r="E48" s="528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506" t="s">
        <v>285</v>
      </c>
      <c r="B49" s="507"/>
      <c r="C49" s="507"/>
      <c r="D49" s="508"/>
      <c r="E49" s="508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524"/>
      <c r="B56" s="524"/>
      <c r="C56" s="524"/>
      <c r="D56" s="524"/>
      <c r="E56" s="524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502"/>
      <c r="B57" s="502"/>
      <c r="C57" s="502"/>
      <c r="D57" s="502"/>
      <c r="E57" s="502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502"/>
      <c r="B58" s="502"/>
      <c r="C58" s="502"/>
      <c r="D58" s="502"/>
      <c r="E58" s="502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501" t="s">
        <v>149</v>
      </c>
      <c r="B59" s="501"/>
      <c r="C59" s="501"/>
      <c r="D59" s="502"/>
      <c r="E59" s="502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529" t="s">
        <v>301</v>
      </c>
      <c r="D60" s="530"/>
      <c r="E60" s="531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95" t="s">
        <v>258</v>
      </c>
      <c r="D61" s="496"/>
      <c r="E61" s="503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95" t="s">
        <v>258</v>
      </c>
      <c r="D62" s="496"/>
      <c r="E62" s="503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95" t="s">
        <v>258</v>
      </c>
      <c r="D63" s="496"/>
      <c r="E63" s="503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95" t="s">
        <v>258</v>
      </c>
      <c r="D64" s="496"/>
      <c r="E64" s="503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95" t="s">
        <v>258</v>
      </c>
      <c r="D65" s="496"/>
      <c r="E65" s="503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95" t="s">
        <v>258</v>
      </c>
      <c r="D66" s="496"/>
      <c r="E66" s="503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95" t="s">
        <v>258</v>
      </c>
      <c r="D67" s="496"/>
      <c r="E67" s="503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95" t="s">
        <v>258</v>
      </c>
      <c r="D68" s="496"/>
      <c r="E68" s="503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95" t="s">
        <v>258</v>
      </c>
      <c r="D69" s="496"/>
      <c r="E69" s="503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95" t="s">
        <v>258</v>
      </c>
      <c r="D70" s="496"/>
      <c r="E70" s="503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95" t="s">
        <v>258</v>
      </c>
      <c r="D71" s="496"/>
      <c r="E71" s="503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95" t="s">
        <v>258</v>
      </c>
      <c r="D72" s="496"/>
      <c r="E72" s="503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95" t="s">
        <v>258</v>
      </c>
      <c r="D73" s="496"/>
      <c r="E73" s="503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95" t="s">
        <v>258</v>
      </c>
      <c r="D74" s="496" t="s">
        <v>258</v>
      </c>
      <c r="E74" s="503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95" t="s">
        <v>258</v>
      </c>
      <c r="D75" s="496"/>
      <c r="E75" s="503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95" t="s">
        <v>258</v>
      </c>
      <c r="D76" s="496"/>
      <c r="E76" s="503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95" t="s">
        <v>258</v>
      </c>
      <c r="D77" s="496"/>
      <c r="E77" s="503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95" t="s">
        <v>258</v>
      </c>
      <c r="D78" s="496"/>
      <c r="E78" s="503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95" t="s">
        <v>258</v>
      </c>
      <c r="D79" s="496"/>
      <c r="E79" s="503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95" t="s">
        <v>258</v>
      </c>
      <c r="D80" s="496"/>
      <c r="E80" s="503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95" t="s">
        <v>365</v>
      </c>
      <c r="D81" s="496"/>
      <c r="E81" s="503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95"/>
      <c r="D82" s="496"/>
      <c r="E82" s="503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95"/>
      <c r="D83" s="496"/>
      <c r="E83" s="503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95"/>
      <c r="D84" s="496"/>
      <c r="E84" s="503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95" t="s">
        <v>169</v>
      </c>
      <c r="D85" s="496"/>
      <c r="E85" s="503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95" t="s">
        <v>169</v>
      </c>
      <c r="D86" s="496"/>
      <c r="E86" s="503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95" t="s">
        <v>169</v>
      </c>
      <c r="D87" s="496"/>
      <c r="E87" s="503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95" t="s">
        <v>169</v>
      </c>
      <c r="D88" s="496"/>
      <c r="E88" s="503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95" t="s">
        <v>169</v>
      </c>
      <c r="D89" s="496"/>
      <c r="E89" s="503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501" t="s">
        <v>181</v>
      </c>
      <c r="B94" s="501"/>
      <c r="C94" s="501"/>
      <c r="D94" s="502"/>
      <c r="E94" s="502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95" t="s">
        <v>183</v>
      </c>
      <c r="D95" s="496"/>
      <c r="E95" s="496"/>
      <c r="G95" s="22"/>
      <c r="H95" s="22" t="s">
        <v>65</v>
      </c>
      <c r="I95" s="492" t="s">
        <v>455</v>
      </c>
      <c r="J95" s="493"/>
      <c r="K95" s="493"/>
      <c r="L95" s="493"/>
      <c r="M95" s="494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95" t="s">
        <v>210</v>
      </c>
      <c r="D96" s="496"/>
      <c r="E96" s="496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95" t="s">
        <v>211</v>
      </c>
      <c r="D97" s="496"/>
      <c r="E97" s="496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95" t="s">
        <v>402</v>
      </c>
      <c r="D98" s="496"/>
      <c r="E98" s="496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95"/>
      <c r="D99" s="496"/>
      <c r="E99" s="496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497" t="s">
        <v>431</v>
      </c>
      <c r="B100" s="498"/>
      <c r="C100" s="498"/>
      <c r="D100" s="498"/>
      <c r="E100" s="498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95" t="s">
        <v>401</v>
      </c>
      <c r="D101" s="496"/>
      <c r="E101" s="496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95" t="s">
        <v>401</v>
      </c>
      <c r="D102" s="496"/>
      <c r="E102" s="496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95" t="s">
        <v>401</v>
      </c>
      <c r="D103" s="496"/>
      <c r="E103" s="496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95" t="s">
        <v>401</v>
      </c>
      <c r="D104" s="496"/>
      <c r="E104" s="496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95" t="s">
        <v>401</v>
      </c>
      <c r="D105" s="496"/>
      <c r="E105" s="496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95" t="s">
        <v>401</v>
      </c>
      <c r="D106" s="496"/>
      <c r="E106" s="496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95" t="s">
        <v>401</v>
      </c>
      <c r="D107" s="496"/>
      <c r="E107" s="496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95" t="s">
        <v>47</v>
      </c>
      <c r="D108" s="496"/>
      <c r="E108" s="496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497" t="s">
        <v>432</v>
      </c>
      <c r="B109" s="498"/>
      <c r="C109" s="498"/>
      <c r="D109" s="498"/>
      <c r="E109" s="498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95" t="s">
        <v>401</v>
      </c>
      <c r="D110" s="496"/>
      <c r="E110" s="496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95" t="s">
        <v>401</v>
      </c>
      <c r="D111" s="496"/>
      <c r="E111" s="496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95" t="s">
        <v>401</v>
      </c>
      <c r="D112" s="496"/>
      <c r="E112" s="496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95" t="s">
        <v>401</v>
      </c>
      <c r="D113" s="496"/>
      <c r="E113" s="496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95" t="s">
        <v>401</v>
      </c>
      <c r="D114" s="496"/>
      <c r="E114" s="496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497" t="s">
        <v>397</v>
      </c>
      <c r="B115" s="498"/>
      <c r="C115" s="498"/>
      <c r="D115" s="498"/>
      <c r="E115" s="498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95" t="s">
        <v>399</v>
      </c>
      <c r="D116" s="496"/>
      <c r="E116" s="496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95" t="s">
        <v>399</v>
      </c>
      <c r="D117" s="496"/>
      <c r="E117" s="496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95" t="s">
        <v>403</v>
      </c>
      <c r="D118" s="496"/>
      <c r="E118" s="496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95" t="s">
        <v>402</v>
      </c>
      <c r="D119" s="496"/>
      <c r="E119" s="496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95"/>
      <c r="D121" s="496"/>
      <c r="E121" s="496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95" t="s">
        <v>382</v>
      </c>
      <c r="D122" s="496"/>
      <c r="E122" s="496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501" t="s">
        <v>459</v>
      </c>
      <c r="B124" s="501"/>
      <c r="C124" s="501"/>
      <c r="D124" s="502"/>
      <c r="E124" s="50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499"/>
      <c r="D125" s="500"/>
      <c r="E125" s="500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499"/>
      <c r="D126" s="500"/>
      <c r="E126" s="500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499"/>
      <c r="D127" s="500"/>
      <c r="E127" s="500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499"/>
      <c r="D128" s="500"/>
      <c r="E128" s="500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  <mergeCell ref="C65:E65"/>
    <mergeCell ref="A56:E58"/>
    <mergeCell ref="C78:E78"/>
    <mergeCell ref="C73:E73"/>
    <mergeCell ref="C75:E75"/>
    <mergeCell ref="C76:E76"/>
    <mergeCell ref="C69:E69"/>
    <mergeCell ref="C68:E68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B1:E1"/>
    <mergeCell ref="A2:E2"/>
    <mergeCell ref="B4:D4"/>
    <mergeCell ref="B3:E3"/>
    <mergeCell ref="B7:D7"/>
    <mergeCell ref="B20:D20"/>
    <mergeCell ref="A25:E25"/>
    <mergeCell ref="B11:D11"/>
    <mergeCell ref="B21:D21"/>
    <mergeCell ref="A18:E18"/>
    <mergeCell ref="A19:E19"/>
    <mergeCell ref="B22:D22"/>
    <mergeCell ref="B23:D23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C121:E121"/>
    <mergeCell ref="C122:E122"/>
    <mergeCell ref="C110:E110"/>
    <mergeCell ref="C111:E111"/>
    <mergeCell ref="C106:E106"/>
    <mergeCell ref="C107:E107"/>
    <mergeCell ref="C108:E108"/>
    <mergeCell ref="C128:E128"/>
    <mergeCell ref="A124:E124"/>
    <mergeCell ref="C125:E125"/>
    <mergeCell ref="C126:E126"/>
    <mergeCell ref="C127:E127"/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50" r:id="rId4" name="TestDBConnection">
          <controlPr defaultSize="0" autoLine="0" autoPict="0" r:id="rId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4" name="TestDBConnection"/>
      </mc:Fallback>
    </mc:AlternateContent>
    <mc:AlternateContent xmlns:mc="http://schemas.openxmlformats.org/markup-compatibility/2006">
      <mc:Choice Requires="x14">
        <control shapeId="6146" r:id="rId6" name="Auth_NT">
          <controlPr defaultSize="0" autoLine="0" autoPict="0" r:id="rId7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6" name="Auth_NT"/>
      </mc:Fallback>
    </mc:AlternateContent>
    <mc:AlternateContent xmlns:mc="http://schemas.openxmlformats.org/markup-compatibility/2006">
      <mc:Choice Requires="x14">
        <control shapeId="6148" r:id="rId8" name="Auth_DB">
          <controlPr defaultSize="0" autoLine="0" r:id="rId9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8" name="Auth_DB"/>
      </mc:Fallback>
    </mc:AlternateContent>
    <mc:AlternateContent xmlns:mc="http://schemas.openxmlformats.org/markup-compatibility/2006">
      <mc:Choice Requires="x14">
        <control shapeId="6159" r:id="rId10" name="Auth_Custom">
          <controlPr defaultSize="0" autoLine="0" r:id="rId11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10" name="Auth_Custom"/>
      </mc:Fallback>
    </mc:AlternateContent>
    <mc:AlternateContent xmlns:mc="http://schemas.openxmlformats.org/markup-compatibility/2006">
      <mc:Choice Requires="x14">
        <control shapeId="6161" r:id="rId12" name="RiskModelStandard">
          <controlPr defaultSize="0" autoLine="0" r:id="rId13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12" name="RiskModelStandard"/>
      </mc:Fallback>
    </mc:AlternateContent>
    <mc:AlternateContent xmlns:mc="http://schemas.openxmlformats.org/markup-compatibility/2006">
      <mc:Choice Requires="x14">
        <control shapeId="6162" r:id="rId14" name="RiskModelManual">
          <controlPr defaultSize="0" autoLine="0" autoPict="0" r:id="rId1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14" name="RiskModelManual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67" t="s">
        <v>187</v>
      </c>
      <c r="D4" s="533"/>
      <c r="E4" s="534" t="s">
        <v>185</v>
      </c>
      <c r="F4" s="535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40" t="s">
        <v>201</v>
      </c>
      <c r="D16" s="541"/>
      <c r="E16" s="542"/>
      <c r="F16" s="543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40" t="s">
        <v>425</v>
      </c>
      <c r="D27" s="541"/>
      <c r="E27" s="542"/>
      <c r="F27" s="543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44" t="s">
        <v>61</v>
      </c>
      <c r="D40" s="545"/>
      <c r="E40" s="546" t="s">
        <v>185</v>
      </c>
      <c r="F40" s="547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36" t="s">
        <v>187</v>
      </c>
      <c r="D41" s="537"/>
      <c r="E41" s="538"/>
      <c r="F41" s="539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48" t="s">
        <v>212</v>
      </c>
      <c r="B53" s="549"/>
      <c r="C53" s="550"/>
      <c r="D53" s="551"/>
      <c r="E53" s="552"/>
      <c r="F53" s="552"/>
      <c r="G53" s="552"/>
      <c r="H53" s="479"/>
      <c r="I53" s="553"/>
    </row>
    <row r="54" spans="1:9" ht="30" customHeight="1" thickBot="1">
      <c r="A54" s="554" t="s">
        <v>42</v>
      </c>
      <c r="B54" s="555"/>
      <c r="C54" s="556"/>
      <c r="D54" s="557"/>
      <c r="E54" s="558"/>
      <c r="F54" s="558"/>
      <c r="G54" s="558"/>
      <c r="H54" s="559"/>
      <c r="I54" s="560"/>
    </row>
    <row r="55" spans="1:9" ht="31.5">
      <c r="A55" s="126" t="s">
        <v>184</v>
      </c>
      <c r="B55" s="121" t="s">
        <v>62</v>
      </c>
      <c r="C55" s="561" t="s">
        <v>61</v>
      </c>
      <c r="D55" s="562"/>
      <c r="E55" s="563" t="s">
        <v>185</v>
      </c>
      <c r="F55" s="564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67"/>
      <c r="D56" s="533"/>
      <c r="E56" s="534"/>
      <c r="F56" s="535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56:D56"/>
    <mergeCell ref="E56:F56"/>
    <mergeCell ref="A53:C53"/>
    <mergeCell ref="D53:I53"/>
    <mergeCell ref="A54:C54"/>
    <mergeCell ref="D54:I54"/>
    <mergeCell ref="C55:D55"/>
    <mergeCell ref="E55:F55"/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2024-09-24T08:04:25Z</dcterms:modified>
  <cp:category>Test</cp:category>
</cp:coreProperties>
</file>