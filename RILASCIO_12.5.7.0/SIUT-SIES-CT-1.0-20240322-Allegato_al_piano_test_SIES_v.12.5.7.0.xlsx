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drawings/drawing2.xml" ContentType="application/vnd.openxmlformats-officedocument.drawing+xml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drawings/drawing3.xml" ContentType="application/vnd.openxmlformats-officedocument.drawing+xml"/>
  <Override PartName="/xl/drawings/drawing4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drawings/drawing5.xml" ContentType="application/vnd.openxmlformats-officedocument.drawing+xml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drawings/drawing6.xml" ContentType="application/vnd.openxmlformats-officedocument.drawing+xml"/>
  <Override PartName="/xl/drawings/drawing7.xml" ContentType="application/vnd.openxmlformats-officedocument.drawing+xml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drawings/drawing8.xml" ContentType="application/vnd.openxmlformats-officedocument.drawing+xml"/>
  <Override PartName="/xl/drawings/drawing9.xml" ContentType="application/vnd.openxmlformats-officedocument.drawing+xml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drawings/drawing10.xml" ContentType="application/vnd.openxmlformats-officedocument.drawing+xml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-15" yWindow="-15" windowWidth="20520" windowHeight="9360" tabRatio="795" firstSheet="3" activeTab="3"/>
  </bookViews>
  <sheets>
    <sheet name="Raw_Data_In" sheetId="703" state="hidden" r:id="rId1"/>
    <sheet name="Descr.fogli lavoro" sheetId="679" state="hidden" r:id="rId2"/>
    <sheet name="Descr.macro" sheetId="680" state="hidden" r:id="rId3"/>
    <sheet name="Copertina" sheetId="681" r:id="rId4"/>
    <sheet name="TabellaTest" sheetId="209" r:id="rId5"/>
    <sheet name="Es.1" sheetId="682" state="hidden" r:id="rId6"/>
    <sheet name="Descrizioni" sheetId="268" state="hidden" r:id="rId7"/>
    <sheet name="Desc Temp" sheetId="276" state="hidden" r:id="rId8"/>
    <sheet name="Cop.All.2ASpec.test" sheetId="683" state="hidden" r:id="rId9"/>
    <sheet name="SpecificaTest" sheetId="182" r:id="rId10"/>
    <sheet name="VerificheConformità" sheetId="705" state="hidden" r:id="rId11"/>
    <sheet name="SogliaAccettazione" sheetId="706" state="hidden" r:id="rId12"/>
    <sheet name="Automation" sheetId="704" state="hidden" r:id="rId13"/>
    <sheet name="Es.2" sheetId="684" state="hidden" r:id="rId14"/>
    <sheet name="Settings" sheetId="17" state="hidden" r:id="rId15"/>
    <sheet name="Hidden Settings" sheetId="447" state="hidden" r:id="rId16"/>
    <sheet name="Layout" sheetId="181" state="hidden" r:id="rId17"/>
    <sheet name="Validation Log" sheetId="73" state="hidden" r:id="rId18"/>
    <sheet name="ReqID_Table" sheetId="29" state="hidden" r:id="rId19"/>
    <sheet name="Temp_Data_Out" sheetId="18" state="hidden" r:id="rId20"/>
  </sheets>
  <externalReferences>
    <externalReference r:id="rId21"/>
    <externalReference r:id="rId22"/>
    <externalReference r:id="rId23"/>
    <externalReference r:id="rId24"/>
  </externalReferences>
  <definedNames>
    <definedName name="_xlnm._FilterDatabase" localSheetId="6" hidden="1">Descrizioni!$A$1:$F$1</definedName>
    <definedName name="_xlnm._FilterDatabase" localSheetId="0" hidden="1">Raw_Data_In!$A$1:$BF$1</definedName>
    <definedName name="_xlnm._FilterDatabase" localSheetId="9" hidden="1">SpecificaTest!$A$3:$J$3</definedName>
    <definedName name="_xlnm._FilterDatabase" localSheetId="4" hidden="1">TabellaTest!$A$3:$AJ$3</definedName>
    <definedName name="AllUserNames" localSheetId="11">#REF!</definedName>
    <definedName name="AllUserNames" localSheetId="10">#REF!</definedName>
    <definedName name="AllUserNames">#REF!</definedName>
    <definedName name="_xlnm.Print_Area" localSheetId="8">Cop.All.2ASpec.test!#REF!</definedName>
    <definedName name="_xlnm.Print_Area" localSheetId="3">Copertina!#REF!</definedName>
    <definedName name="_xlnm.Print_Area" localSheetId="1">'Descr.fogli lavoro'!#REF!</definedName>
    <definedName name="_xlnm.Print_Area" localSheetId="2">Descr.macro!#REF!</definedName>
    <definedName name="_xlnm.Print_Area" localSheetId="5">Es.1!$A$1:$T$15</definedName>
    <definedName name="_xlnm.Print_Area" localSheetId="13">Es.2!$A$1:$I$37</definedName>
    <definedName name="_xlnm.Print_Area" localSheetId="14">Settings!$A$1:$E$128</definedName>
    <definedName name="_xlnm.Print_Area" localSheetId="9">SpecificaTest!$A$1:$J$3</definedName>
    <definedName name="_xlnm.Print_Area" localSheetId="4">TabellaTest!$A$1:$U$3</definedName>
    <definedName name="_xlnm.Print_Area" localSheetId="10">VerificheConformità!$A$1:$G$19</definedName>
    <definedName name="DecisionLastCategory" localSheetId="8">'[1]Test Decision'!$P$3409</definedName>
    <definedName name="DecisionLastCategory" localSheetId="3">'[1]Test Decision'!$P$3409</definedName>
    <definedName name="DecisionLastCategory" localSheetId="1">'[1]Test Decision'!$P$3409</definedName>
    <definedName name="DecisionLastCategory" localSheetId="2">'[1]Test Decision'!$P$3409</definedName>
    <definedName name="DecisionLastCategory" localSheetId="5">'[1]Test Decision'!$P$3409</definedName>
    <definedName name="DecisionLastCategory" localSheetId="13">'[1]Test Decision'!$P$3409</definedName>
    <definedName name="DecisionLastCategory" localSheetId="0">#N/A</definedName>
    <definedName name="DecisionLastCategory">'[2]Test Decision'!$P$3409</definedName>
    <definedName name="DecisionLastSize" localSheetId="8">'[1]Test Decision'!$Q$3409</definedName>
    <definedName name="DecisionLastSize" localSheetId="3">'[1]Test Decision'!$Q$3409</definedName>
    <definedName name="DecisionLastSize" localSheetId="1">'[1]Test Decision'!$Q$3409</definedName>
    <definedName name="DecisionLastSize" localSheetId="2">'[1]Test Decision'!$Q$3409</definedName>
    <definedName name="DecisionLastSize" localSheetId="5">'[1]Test Decision'!$Q$3409</definedName>
    <definedName name="DecisionLastSize" localSheetId="13">'[1]Test Decision'!$Q$3409</definedName>
    <definedName name="DecisionLastSize" localSheetId="0">#N/A</definedName>
    <definedName name="DecisionLastSize">'[2]Test Decision'!$Q$3409</definedName>
    <definedName name="QACP_Project_Setup" localSheetId="11">#REF!</definedName>
    <definedName name="QACP_Project_Setup" localSheetId="10">#REF!</definedName>
    <definedName name="QACP_Project_Setup">#REF!</definedName>
    <definedName name="QACPRiskFactorWeights" localSheetId="11">#REF!</definedName>
    <definedName name="QACPRiskFactorWeights" localSheetId="10">#REF!</definedName>
    <definedName name="QACPRiskFactorWeights">#REF!</definedName>
    <definedName name="Raw_Data_In" localSheetId="0">Raw_Data_In!$A$1:$BN$1</definedName>
    <definedName name="Raw_Data_In" localSheetId="11">#REF!</definedName>
    <definedName name="Raw_Data_In" localSheetId="10">#REF!</definedName>
    <definedName name="Raw_Data_In">#REF!</definedName>
    <definedName name="sfsfd" localSheetId="8">[3]Users!$A$2:$A$5</definedName>
    <definedName name="sfsfd" localSheetId="3">[3]Users!$A$2:$A$5</definedName>
    <definedName name="sfsfd" localSheetId="1">[3]Users!$A$2:$A$5</definedName>
    <definedName name="sfsfd" localSheetId="2">[3]Users!$A$2:$A$5</definedName>
    <definedName name="sfsfd" localSheetId="5">[3]Users!$A$2:$A$5</definedName>
    <definedName name="sfsfd" localSheetId="13">[3]Users!$A$2:$A$5</definedName>
    <definedName name="sfsfd">[4]Users!$A$2:$A$5</definedName>
    <definedName name="TempUsers" localSheetId="11">#REF!</definedName>
    <definedName name="TempUsers" localSheetId="10">#REF!</definedName>
    <definedName name="TempUsers">#REF!</definedName>
    <definedName name="_xlnm.Print_Titles" localSheetId="6">Descrizioni!$1:$1</definedName>
    <definedName name="_xlnm.Print_Titles" localSheetId="5">Es.1!$2:$3</definedName>
    <definedName name="_xlnm.Print_Titles" localSheetId="13">Es.2!$3:$3</definedName>
    <definedName name="_xlnm.Print_Titles" localSheetId="9">SpecificaTest!#REF!</definedName>
    <definedName name="_xlnm.Print_Titles" localSheetId="4">TabellaTest!$2:$3</definedName>
    <definedName name="UserIDs" localSheetId="11">#REF!</definedName>
    <definedName name="UserIDs" localSheetId="10">#REF!</definedName>
    <definedName name="UserIDs">#REF!</definedName>
    <definedName name="UserList" localSheetId="11">#REF!</definedName>
    <definedName name="UserList" localSheetId="10">#REF!</definedName>
    <definedName name="UserList">#REF!</definedName>
    <definedName name="UserNames" localSheetId="11">#REF!</definedName>
    <definedName name="UserNames" localSheetId="10">#REF!</definedName>
    <definedName name="UserNames">#REF!</definedName>
  </definedNames>
  <calcPr calcId="145621"/>
</workbook>
</file>

<file path=xl/calcChain.xml><?xml version="1.0" encoding="utf-8"?>
<calcChain xmlns="http://schemas.openxmlformats.org/spreadsheetml/2006/main">
  <c r="K4" i="209" l="1"/>
  <c r="C4" i="182" l="1"/>
  <c r="B4" i="182"/>
  <c r="G4" i="182"/>
  <c r="E4" i="182"/>
  <c r="A4" i="182"/>
  <c r="J4" i="209"/>
  <c r="F4" i="209"/>
  <c r="J1" i="209" l="1"/>
  <c r="D2" i="182"/>
  <c r="D1" i="182"/>
  <c r="D1" i="209"/>
  <c r="L1" i="209"/>
  <c r="I97" i="17"/>
  <c r="J97" i="17"/>
  <c r="K97" i="17"/>
  <c r="L97" i="17"/>
  <c r="M97" i="17"/>
  <c r="I98" i="17"/>
  <c r="J98" i="17"/>
  <c r="K98" i="17"/>
  <c r="L98" i="17"/>
  <c r="M98" i="17"/>
  <c r="I99" i="17"/>
  <c r="J99" i="17" s="1"/>
  <c r="K99" i="17"/>
  <c r="L99" i="17"/>
  <c r="M99" i="17"/>
  <c r="I100" i="17"/>
  <c r="J100" i="17"/>
  <c r="K100" i="17"/>
  <c r="L100" i="17"/>
  <c r="M100" i="17"/>
  <c r="I101" i="17"/>
  <c r="J101" i="17"/>
  <c r="K101" i="17"/>
  <c r="L101" i="17"/>
  <c r="M101" i="17"/>
  <c r="A28" i="684"/>
  <c r="C28" i="684"/>
  <c r="A29" i="684"/>
  <c r="C29" i="684"/>
  <c r="A30" i="684"/>
  <c r="C30" i="684"/>
  <c r="A31" i="684"/>
  <c r="C31" i="684"/>
  <c r="A32" i="684"/>
  <c r="C32" i="684"/>
  <c r="A33" i="684"/>
  <c r="C33" i="684"/>
  <c r="A34" i="684"/>
  <c r="C34" i="684"/>
  <c r="A35" i="684"/>
  <c r="C35" i="684"/>
  <c r="A36" i="684"/>
  <c r="C36" i="684"/>
  <c r="A37" i="684"/>
  <c r="C37" i="684"/>
  <c r="B6" i="706"/>
  <c r="C6" i="706"/>
  <c r="D6" i="706"/>
  <c r="E6" i="706"/>
  <c r="B7" i="706"/>
  <c r="C7" i="706"/>
  <c r="D7" i="706"/>
  <c r="E7" i="706"/>
  <c r="B8" i="706"/>
  <c r="C8" i="706"/>
  <c r="D8" i="706"/>
  <c r="E8" i="706"/>
  <c r="B17" i="706"/>
  <c r="C17" i="706"/>
  <c r="D17" i="706"/>
  <c r="E17" i="706"/>
  <c r="B18" i="706"/>
  <c r="C18" i="706"/>
  <c r="D18" i="706"/>
  <c r="E18" i="706"/>
  <c r="B19" i="706"/>
  <c r="C19" i="706"/>
  <c r="D19" i="706"/>
  <c r="E19" i="706"/>
  <c r="E1" i="705"/>
  <c r="D1" i="706" s="1"/>
  <c r="E2" i="705"/>
  <c r="D2" i="706" s="1"/>
  <c r="T4" i="682"/>
  <c r="T5" i="682"/>
  <c r="T6" i="682"/>
  <c r="T7" i="682"/>
  <c r="T8" i="682"/>
  <c r="T9" i="682"/>
  <c r="T10" i="682"/>
  <c r="T11" i="682"/>
  <c r="T12" i="682"/>
  <c r="T13" i="682"/>
  <c r="T14" i="682"/>
  <c r="T15" i="682"/>
</calcChain>
</file>

<file path=xl/sharedStrings.xml><?xml version="1.0" encoding="utf-8"?>
<sst xmlns="http://schemas.openxmlformats.org/spreadsheetml/2006/main" count="1174" uniqueCount="629">
  <si>
    <t>v.1.0</t>
  </si>
  <si>
    <t>Step Number</t>
  </si>
  <si>
    <t>Instructions Text</t>
  </si>
  <si>
    <t>Associated Data</t>
  </si>
  <si>
    <t>Expected Result</t>
  </si>
  <si>
    <t>Primo livello</t>
  </si>
  <si>
    <t>Secondo Livello</t>
  </si>
  <si>
    <t>ID. Requisito</t>
  </si>
  <si>
    <t xml:space="preserve">                          Caso di test</t>
  </si>
  <si>
    <t>R</t>
  </si>
  <si>
    <t>Area Id</t>
  </si>
  <si>
    <t xml:space="preserve">Layout Vague Range </t>
  </si>
  <si>
    <t>---</t>
  </si>
  <si>
    <t>Level4</t>
  </si>
  <si>
    <t>Desc1</t>
  </si>
  <si>
    <t>Desc2</t>
  </si>
  <si>
    <t>Desc3</t>
  </si>
  <si>
    <t>Desc4</t>
  </si>
  <si>
    <t>Desc5</t>
  </si>
  <si>
    <t>Desc6</t>
  </si>
  <si>
    <t>Desc7</t>
  </si>
  <si>
    <t>Desc8</t>
  </si>
  <si>
    <t>Layout</t>
  </si>
  <si>
    <t>AJ</t>
  </si>
  <si>
    <t>FA1 Auto Risk</t>
  </si>
  <si>
    <t>Layout predefinito Specifiche di Test per macro INSERT LAYOUT (definire il range di celle in Setting - Test Script Layout)</t>
  </si>
  <si>
    <t>descrivere le precondizioni</t>
  </si>
  <si>
    <t>i dati per le precondizioni</t>
  </si>
  <si>
    <t>la verifica delle precondizioni</t>
  </si>
  <si>
    <t>descrivere il posizionamento dell'applicazione</t>
  </si>
  <si>
    <t>i dati necessari, esempio login</t>
  </si>
  <si>
    <t>la verifica dello stato base</t>
  </si>
  <si>
    <t>descrivere uno o più pasi di navigazione</t>
  </si>
  <si>
    <t>i dati se presenti</t>
  </si>
  <si>
    <t>il risultato al termine della navigazione</t>
  </si>
  <si>
    <t>descrivere la/le azioni dell'utente</t>
  </si>
  <si>
    <t>i dati utilizzati</t>
  </si>
  <si>
    <t>i risultati al termine delle azioni</t>
  </si>
  <si>
    <t>Indicare lo/gli step sul quale effettuare i cambiamenti e descrivere l'obiettivo del ricicli</t>
  </si>
  <si>
    <t xml:space="preserve">i nuovi dati </t>
  </si>
  <si>
    <t>descrivere eventuali verifiche esterne da effettuare al termine del test per la verifica dello stesso</t>
  </si>
  <si>
    <t>i risultati al termine delle verifiche</t>
  </si>
  <si>
    <t>Identificativo documento</t>
  </si>
  <si>
    <t xml:space="preserve">Parametri per l'utilizzo delle macro QACenter di gestione della tabella dei test e delle specifiche di test e caricamento nel database
far riferimento alle guide operative Compuware per il loro utilizzo </t>
  </si>
  <si>
    <t>DSN Password</t>
  </si>
  <si>
    <t>***********</t>
  </si>
  <si>
    <t>.</t>
  </si>
  <si>
    <t>Char</t>
  </si>
  <si>
    <t>Script ID Delimiter Char</t>
  </si>
  <si>
    <t>Descrizione delle macro</t>
  </si>
  <si>
    <t>Macro da menu</t>
  </si>
  <si>
    <t>Get info from 
(Specifiche di test)</t>
  </si>
  <si>
    <t>Sort (Tabella dei test)</t>
  </si>
  <si>
    <t>Effettua un sort della tabella dei test, basato sui livelli di scomposizione.</t>
  </si>
  <si>
    <t>Reset (Tabella dei test)</t>
  </si>
  <si>
    <t>Reset (Specifiche di test)</t>
  </si>
  <si>
    <t>Macro da tasti</t>
  </si>
  <si>
    <t>Insert (CTRL-I)</t>
  </si>
  <si>
    <t>Delete (CTRL-E)</t>
  </si>
  <si>
    <t>Duplicate (CTRL-D)</t>
  </si>
  <si>
    <t>Insert Layout (CTRL-A)</t>
  </si>
  <si>
    <t>Nome Script di test</t>
  </si>
  <si>
    <t>Suffisso Script di test</t>
  </si>
  <si>
    <t>N.cond. di test</t>
  </si>
  <si>
    <t>N. cond. di test</t>
  </si>
  <si>
    <t xml:space="preserve"> </t>
  </si>
  <si>
    <t>se &lt;= 2</t>
  </si>
  <si>
    <t>(*) :  Ci si avvarrà di questi fogli di lavoro solo nel caso di utilizzo di macro</t>
  </si>
  <si>
    <r>
      <t>Esempio di Specifiche di test, con uno script di test compilato e gli altri predisposti (solo intestazione) come dalla tabella dei test (esempio 1)</t>
    </r>
    <r>
      <rPr>
        <b/>
        <sz val="9"/>
        <color indexed="10"/>
        <rFont val="Arial"/>
        <family val="2"/>
      </rPr>
      <t/>
    </r>
  </si>
  <si>
    <t>Requisito non funzonale di Performance</t>
  </si>
  <si>
    <t>Caricamento liste dati entro massimo 20 secondi</t>
  </si>
  <si>
    <t>Performance Test su ricerca dati progetto</t>
  </si>
  <si>
    <t>Effettuare test prestazionali in condizioni di carico sulla base delle analisi di utenza, per verificare il tempo di risposta all'utente nel caricamento della lista dei dati.</t>
  </si>
  <si>
    <t xml:space="preserve">Dopo aver attivato dal menu di Navigazione il tasto "Inserimento":
- sia presente l'icona di attivazione della maschera di help e, selezionandola, venga mostrata la pagina di help della funzione da cui sia possibile tornare alla maschera chiamante
- sia presente il percorso di navigazione della funzione
- tutti i campi chiave siano editabiliti
-se presenti campi selezionabili da combo, siano valorizzati correttamente
-sia presente il bottone di Salva che, attivato comporti il salvataggio dei campi precedentemente inseriti
-sia presente il bottone Pulisci i Campi che, per il ripristino del valore di default per i tutti i campi editabili
-siano presenti ma non selezionabili tutti i Tab e i sottotab  </t>
  </si>
  <si>
    <t xml:space="preserve">Codifica Piano di test </t>
  </si>
  <si>
    <t>01</t>
  </si>
  <si>
    <t>QADirector60</t>
  </si>
  <si>
    <t>testware</t>
  </si>
  <si>
    <t>A5:I12</t>
  </si>
  <si>
    <t>CDU001</t>
  </si>
  <si>
    <t>02F018-TF04</t>
  </si>
  <si>
    <t xml:space="preserve"> 01</t>
  </si>
  <si>
    <t>Corretta esecuzione della modifica delle procedure di attivazione</t>
  </si>
  <si>
    <t>Verifica di tutte le condizioni positive di inserimento dati, compresa la verifica utilizzo dei valori di default</t>
  </si>
  <si>
    <t>Precaricare il database, o con funzioni di inserimento, con una procedura di attivazione, senza richieste di predisposione dati</t>
  </si>
  <si>
    <t>Qualsiasi procedura di attivazione senza richieste di predisposizione dati</t>
  </si>
  <si>
    <t>Deve risultare presente in base dati almeno 1 procedura di attivazione e non devono essere presenti richieste di predisposizione dati</t>
  </si>
  <si>
    <t>Sessione aperta sull'applicazione, utente 'loggato' con profilo 'amministrazione'</t>
  </si>
  <si>
    <t>Profilo utente Amministrativo</t>
  </si>
  <si>
    <t>Default Step's Type</t>
  </si>
  <si>
    <t>Istruzione</t>
  </si>
  <si>
    <t>Object Type</t>
  </si>
  <si>
    <t>Name</t>
  </si>
  <si>
    <t>Navigazione / Azione</t>
  </si>
  <si>
    <t>non codificato</t>
  </si>
  <si>
    <t>Standard variabile</t>
  </si>
  <si>
    <t>Test Script Status</t>
  </si>
  <si>
    <t>Layout Detailed Range</t>
  </si>
  <si>
    <t>Level1</t>
  </si>
  <si>
    <t>Level2</t>
  </si>
  <si>
    <t>Level3</t>
  </si>
  <si>
    <t>Level5</t>
  </si>
  <si>
    <t>Level6</t>
  </si>
  <si>
    <t>Level7</t>
  </si>
  <si>
    <t>Level8</t>
  </si>
  <si>
    <t>Level9</t>
  </si>
  <si>
    <t>Level10</t>
  </si>
  <si>
    <t>Level11</t>
  </si>
  <si>
    <t>Level12</t>
  </si>
  <si>
    <t>Assigned_To</t>
  </si>
  <si>
    <t>Time_Est</t>
  </si>
  <si>
    <t xml:space="preserve">FTR Risk </t>
  </si>
  <si>
    <t>TR Risk</t>
  </si>
  <si>
    <t>Total_System_Risk</t>
  </si>
  <si>
    <t>Total_Intgr_Risk</t>
  </si>
  <si>
    <t>System_Index</t>
  </si>
  <si>
    <t>Intgr_Index</t>
  </si>
  <si>
    <t>Cyc1</t>
  </si>
  <si>
    <t>Cyc2</t>
  </si>
  <si>
    <t>Cyc3</t>
  </si>
  <si>
    <t>Cyc4</t>
  </si>
  <si>
    <t>Cyc5</t>
  </si>
  <si>
    <t>Cyc6</t>
  </si>
  <si>
    <t>Cyc7</t>
  </si>
  <si>
    <t>Cyc8</t>
  </si>
  <si>
    <t>Cyc9</t>
  </si>
  <si>
    <t>Cyc10</t>
  </si>
  <si>
    <t>Cyc11</t>
  </si>
  <si>
    <t>Cyc12</t>
  </si>
  <si>
    <t>Cyc13</t>
  </si>
  <si>
    <t>Cyc14</t>
  </si>
  <si>
    <t>Cyc15</t>
  </si>
  <si>
    <t>Cyc16</t>
  </si>
  <si>
    <t>Cyc17</t>
  </si>
  <si>
    <t>Cyc18</t>
  </si>
  <si>
    <t>Cyc19</t>
  </si>
  <si>
    <t>Cyc20</t>
  </si>
  <si>
    <t>Project_ID</t>
  </si>
  <si>
    <t>Folder_ID</t>
  </si>
  <si>
    <t>Req_ID</t>
  </si>
  <si>
    <t>Element 3</t>
  </si>
  <si>
    <t>D</t>
  </si>
  <si>
    <t>Element 4</t>
  </si>
  <si>
    <t>TOT Length</t>
  </si>
  <si>
    <t>F</t>
  </si>
  <si>
    <t>H</t>
  </si>
  <si>
    <t>I</t>
  </si>
  <si>
    <t>TEST</t>
  </si>
  <si>
    <t>J</t>
  </si>
  <si>
    <t>Test Plan Columns Map</t>
  </si>
  <si>
    <t>Element</t>
  </si>
  <si>
    <t>Application Id</t>
  </si>
  <si>
    <t>A</t>
  </si>
  <si>
    <t>B</t>
  </si>
  <si>
    <t>C</t>
  </si>
  <si>
    <t>E</t>
  </si>
  <si>
    <t>G</t>
  </si>
  <si>
    <t>Test Case Id</t>
  </si>
  <si>
    <t>Test Case Name</t>
  </si>
  <si>
    <t>K</t>
  </si>
  <si>
    <t>O</t>
  </si>
  <si>
    <t>Test Case Risk</t>
  </si>
  <si>
    <t>L</t>
  </si>
  <si>
    <t>M</t>
  </si>
  <si>
    <t>P</t>
  </si>
  <si>
    <t>Script Version</t>
  </si>
  <si>
    <t>Q</t>
  </si>
  <si>
    <t>System Risk</t>
  </si>
  <si>
    <t>ID</t>
  </si>
  <si>
    <t>Hidden Column</t>
  </si>
  <si>
    <t>AF</t>
  </si>
  <si>
    <t>AG</t>
  </si>
  <si>
    <t>AH</t>
  </si>
  <si>
    <t>AI</t>
  </si>
  <si>
    <t>Versione</t>
  </si>
  <si>
    <t>Applicazione</t>
  </si>
  <si>
    <t>Risk (1-5)</t>
  </si>
  <si>
    <t>Nome del caso di test</t>
  </si>
  <si>
    <t xml:space="preserve">Ciclo di test </t>
  </si>
  <si>
    <t>Descrizione e note</t>
  </si>
  <si>
    <t>Test Script Layout Sheet</t>
  </si>
  <si>
    <t>Test Script Layout</t>
  </si>
  <si>
    <t>Test Script Sheet OUT</t>
  </si>
  <si>
    <t>macro invoked</t>
  </si>
  <si>
    <t xml:space="preserve"> ID caso di test</t>
  </si>
  <si>
    <t>Descrizione</t>
  </si>
  <si>
    <t>TF.001</t>
  </si>
  <si>
    <t>Caso di test 1</t>
  </si>
  <si>
    <t>Step</t>
  </si>
  <si>
    <t>Tipo</t>
  </si>
  <si>
    <t>Istruzioni 
(text)</t>
  </si>
  <si>
    <t>Dati di input
 (Associated Data)</t>
  </si>
  <si>
    <t>Risultati attesi
 (Expected Result)</t>
  </si>
  <si>
    <t>Attività Preliminari e/o Precondizioni</t>
  </si>
  <si>
    <t>Stato Base</t>
  </si>
  <si>
    <t>Navigazione</t>
  </si>
  <si>
    <t>Azione</t>
  </si>
  <si>
    <t>R1</t>
  </si>
  <si>
    <t>Riciclo step 2</t>
  </si>
  <si>
    <t>V</t>
  </si>
  <si>
    <t>Verifica esterna</t>
  </si>
  <si>
    <t>Catena di test 1</t>
  </si>
  <si>
    <t>Link Test TF002.1</t>
  </si>
  <si>
    <t>Eseguire il test indicato variando le informazioni in input nel passo di inserimento</t>
  </si>
  <si>
    <t>nuovo Input</t>
  </si>
  <si>
    <t>nuovo outpiut</t>
  </si>
  <si>
    <t>Link Test TF0014.4</t>
  </si>
  <si>
    <t>in inserimento : nuovo Input
In variazione: nuovo input</t>
  </si>
  <si>
    <t>Stima tempo</t>
  </si>
  <si>
    <t>assente</t>
  </si>
  <si>
    <t>CTRL-A PasteScriptLayout()</t>
  </si>
  <si>
    <t>CTRL_S PasteScriptLayoutVague()</t>
  </si>
  <si>
    <t>Progetto / Obiettivo Software</t>
  </si>
  <si>
    <t>Stima Durata</t>
  </si>
  <si>
    <t>Test Conditions N</t>
  </si>
  <si>
    <t>None</t>
  </si>
  <si>
    <t>Lvl</t>
  </si>
  <si>
    <t>Req Name (1)</t>
  </si>
  <si>
    <t>Req Name (2)</t>
  </si>
  <si>
    <t>Req Name (3)</t>
  </si>
  <si>
    <t>Req Name (4)</t>
  </si>
  <si>
    <t>Req Name (5)</t>
  </si>
  <si>
    <t>Intgr.</t>
  </si>
  <si>
    <t>System Score</t>
  </si>
  <si>
    <t>Intgr. Score</t>
  </si>
  <si>
    <t>User ID</t>
  </si>
  <si>
    <t>Display ID</t>
  </si>
  <si>
    <t>Assigned To</t>
  </si>
  <si>
    <t>Status</t>
  </si>
  <si>
    <t>Risk</t>
  </si>
  <si>
    <t>Time Est.</t>
  </si>
  <si>
    <t>Cyc 1</t>
  </si>
  <si>
    <t>Cyc 2</t>
  </si>
  <si>
    <t>Cyc 3</t>
  </si>
  <si>
    <t>Cyc 4</t>
  </si>
  <si>
    <t>Cyc 5</t>
  </si>
  <si>
    <t>Cyc 6</t>
  </si>
  <si>
    <t>Cyc 7</t>
  </si>
  <si>
    <t>Cyc 8</t>
  </si>
  <si>
    <t>Cyc 9</t>
  </si>
  <si>
    <t>Cyc 10</t>
  </si>
  <si>
    <t>Cyc 11</t>
  </si>
  <si>
    <t>Cyc 12</t>
  </si>
  <si>
    <t>Cyc 13</t>
  </si>
  <si>
    <t>Cyc 14</t>
  </si>
  <si>
    <t>Cyc 15</t>
  </si>
  <si>
    <t>Cyc 16</t>
  </si>
  <si>
    <t>Cyc 17</t>
  </si>
  <si>
    <t>Cyc 18</t>
  </si>
  <si>
    <t>Cyc 19</t>
  </si>
  <si>
    <t>Cyc 20</t>
  </si>
  <si>
    <t>Cycles</t>
  </si>
  <si>
    <t>DisplayID</t>
  </si>
  <si>
    <t>IsFTR</t>
  </si>
  <si>
    <t>Project ID</t>
  </si>
  <si>
    <t>Folder ID</t>
  </si>
  <si>
    <t>Req. ID</t>
  </si>
  <si>
    <t>Level</t>
  </si>
  <si>
    <t>Column</t>
  </si>
  <si>
    <t>N</t>
  </si>
  <si>
    <t>Impact to Release</t>
  </si>
  <si>
    <t>ReqID</t>
  </si>
  <si>
    <t>Req Name (7)</t>
  </si>
  <si>
    <t>Req Name (8)</t>
  </si>
  <si>
    <t>Req Name (9)</t>
  </si>
  <si>
    <t>Req Name (10)</t>
  </si>
  <si>
    <t>Req Name (12)</t>
  </si>
  <si>
    <t>Req Name (11)</t>
  </si>
  <si>
    <t>Req Type</t>
  </si>
  <si>
    <t>Prior Internal Testing</t>
  </si>
  <si>
    <t>Prior External Testing</t>
  </si>
  <si>
    <t>Maturity of Function</t>
  </si>
  <si>
    <t>Complexity of Function</t>
  </si>
  <si>
    <t>Usage Frequency</t>
  </si>
  <si>
    <t>Defect Impact</t>
  </si>
  <si>
    <t>External Testing Effort</t>
  </si>
  <si>
    <t>Custom Factor 1</t>
  </si>
  <si>
    <t>Custom Factor 2</t>
  </si>
  <si>
    <t>Custom Factor 3</t>
  </si>
  <si>
    <t>ProjectID</t>
  </si>
  <si>
    <t>FolderID</t>
  </si>
  <si>
    <t>Req Name (6)</t>
  </si>
  <si>
    <t>Functional Area Risk Weight</t>
  </si>
  <si>
    <t>Test Requirement Risk Weight</t>
  </si>
  <si>
    <t>Description</t>
  </si>
  <si>
    <t>Test</t>
  </si>
  <si>
    <t>Project Settings</t>
  </si>
  <si>
    <t>Password</t>
  </si>
  <si>
    <t>DefaultUserID</t>
  </si>
  <si>
    <t>In Progress</t>
  </si>
  <si>
    <t>(1 to 20)</t>
  </si>
  <si>
    <t>Level's Max Depth</t>
  </si>
  <si>
    <t>First Data Row</t>
  </si>
  <si>
    <t>DisplayID Assembly</t>
  </si>
  <si>
    <t>Unique Progressive Key</t>
  </si>
  <si>
    <t>Digit Number</t>
  </si>
  <si>
    <t>Start From</t>
  </si>
  <si>
    <t>Counter Gap</t>
  </si>
  <si>
    <t>Preview</t>
  </si>
  <si>
    <t>Part ID</t>
  </si>
  <si>
    <t>Value</t>
  </si>
  <si>
    <t>Type</t>
  </si>
  <si>
    <t>Length</t>
  </si>
  <si>
    <t>Delimiter</t>
  </si>
  <si>
    <t>Element 1</t>
  </si>
  <si>
    <t>N/A</t>
  </si>
  <si>
    <t>Counter</t>
  </si>
  <si>
    <t>b</t>
  </si>
  <si>
    <t>Element 2</t>
  </si>
  <si>
    <r>
      <t xml:space="preserve">Il sistema mostra un messaggio indicante il </t>
    </r>
    <r>
      <rPr>
        <b/>
        <sz val="10"/>
        <rFont val="Arial"/>
        <family val="2"/>
      </rPr>
      <t>mancato inserimento di dati obbligatori (Titolo)</t>
    </r>
    <r>
      <rPr>
        <sz val="10"/>
        <rFont val="Arial"/>
        <family val="2"/>
      </rPr>
      <t xml:space="preserve"> in testa alla maschera di Inserimento Dati Anagrafici e imposta i campi valorizzandoli con i dati appena inseriti</t>
    </r>
  </si>
  <si>
    <t>Selezione Tab di uscita, ritorno al menu</t>
  </si>
  <si>
    <t>appare il menu principale</t>
  </si>
  <si>
    <t>Riciclo Script</t>
  </si>
  <si>
    <t xml:space="preserve">Rieseguire l'intero script ed inserire i nuovi dati allo step 2. </t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</si>
  <si>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</t>
    </r>
    <r>
      <rPr>
        <sz val="10"/>
        <rFont val="Arial"/>
        <family val="2"/>
      </rPr>
      <t xml:space="preserve">
Cup Provvisorio = AA
Cup Definitivo = AA
Progetto Strategico = S
Codice Procedura = 0001
De Minimis = N</t>
    </r>
  </si>
  <si>
    <r>
      <t xml:space="preserve">Il sistema mostra un messaggio indicante il </t>
    </r>
    <r>
      <rPr>
        <b/>
        <sz val="10"/>
        <rFont val="Arial"/>
        <family val="2"/>
      </rPr>
      <t>mancato inserimento di dati obbligatori (codice tipologia operazione)</t>
    </r>
    <r>
      <rPr>
        <sz val="10"/>
        <rFont val="Arial"/>
        <family val="2"/>
      </rPr>
      <t xml:space="preserve"> in testa alla maschera di Inserimento Dati Anagrafici e imposta i campi valorizzandoli con i dati appena inseriti</t>
    </r>
  </si>
  <si>
    <t>R2</t>
  </si>
  <si>
    <r>
      <t xml:space="preserve">Codice locale progetto: 1234567890
</t>
    </r>
    <r>
      <rPr>
        <b/>
        <sz val="10"/>
        <rFont val="Arial"/>
        <family val="2"/>
      </rPr>
      <t>Titolo = PROGETTO DI TEST
Codice Tipologia Operazione = 10</t>
    </r>
    <r>
      <rPr>
        <sz val="10"/>
        <rFont val="Arial"/>
        <family val="2"/>
      </rPr>
      <t xml:space="preserve">
Cup Provvisorio = AA
Cup Definitivo = AA
Progetto Strategico = S
Codice Procedura = 0001
De Minimis = N</t>
    </r>
  </si>
  <si>
    <r>
      <t xml:space="preserve">Il sistema mostra un messaggio indicante i </t>
    </r>
    <r>
      <rPr>
        <b/>
        <sz val="10"/>
        <rFont val="Arial"/>
        <family val="2"/>
      </rPr>
      <t>dati salvati correttamente</t>
    </r>
    <r>
      <rPr>
        <sz val="10"/>
        <rFont val="Arial"/>
        <family val="2"/>
      </rPr>
      <t xml:space="preserve">.
</t>
    </r>
  </si>
  <si>
    <t>R3</t>
  </si>
  <si>
    <t xml:space="preserve">Rieseguire l'intero script, i dati che il sistema propone allo step 2 non devono essere modificati. </t>
  </si>
  <si>
    <t>Codice locale progetto: 1234567890
Titolo = PROGETTO DI TEST
Codice Tipologia Operazione = 10
Cup Provvisorio = AA
Cup Definitivo = AA
Progetto Strategico = S
Codice Procedura = 0001
De Minimis = N</t>
  </si>
  <si>
    <r>
      <t xml:space="preserve">Il sistema mostra un messaggio indicante il </t>
    </r>
    <r>
      <rPr>
        <b/>
        <sz val="10"/>
        <rFont val="Arial"/>
        <family val="2"/>
      </rPr>
      <t xml:space="preserve">la mancata modifica </t>
    </r>
    <r>
      <rPr>
        <sz val="10"/>
        <rFont val="Arial"/>
        <family val="2"/>
      </rPr>
      <t xml:space="preserve">e viene ripresentata la stessa schermata con gli stessi dettagli.
</t>
    </r>
  </si>
  <si>
    <t>R4</t>
  </si>
  <si>
    <t>Rieseguire l'intero script da due utenze diverse ed inserire i nuovi dati allo step 2. Il primo utente seleziona il bottone salva.
Il secondo utente seleziona il bottone salva dopo il primo utente</t>
  </si>
  <si>
    <r>
      <t xml:space="preserve">Codice locale progetto: 1234567890
Titolo = PROGETTO DI TEST
Codice Tipologia Operazione = 10
</t>
    </r>
    <r>
      <rPr>
        <b/>
        <sz val="10"/>
        <rFont val="Arial"/>
        <family val="2"/>
      </rPr>
      <t>Cup Provvisorio = BB</t>
    </r>
    <r>
      <rPr>
        <sz val="10"/>
        <rFont val="Arial"/>
        <family val="2"/>
      </rPr>
      <t xml:space="preserve">
</t>
    </r>
    <r>
      <rPr>
        <b/>
        <sz val="10"/>
        <rFont val="Arial"/>
        <family val="2"/>
      </rPr>
      <t>Cup Definitivo = BB</t>
    </r>
    <r>
      <rPr>
        <sz val="10"/>
        <rFont val="Arial"/>
        <family val="2"/>
      </rPr>
      <t xml:space="preserve">
Progetto Strategico = S
Codice Procedura = 0001
De Minimis = N</t>
    </r>
  </si>
  <si>
    <t>"Allegato 1 - Tabella dei test" al Piano di test, contiene le informazioni dei requisiti e funzionalità ed i casi di test ad essi collegati. Contiene inoltre informazioni aggiuntive per la progettazione dei test, quali i livelli di rischio, i cicli di test ecc.</t>
  </si>
  <si>
    <t>Elimina tutte le entrate presenti nella tabella dei test e ripropone l'impostazione iniziale.</t>
  </si>
  <si>
    <t>Elimina tutte le entrate presenti nella specifica dei test e ripropone l'impostazione iniziale.</t>
  </si>
  <si>
    <t>Inserisce una riga vuota.</t>
  </si>
  <si>
    <t>Elimina la riga corrente.</t>
  </si>
  <si>
    <t>Duplica la riga corrente mantenendo tutti i valori presenti.</t>
  </si>
  <si>
    <t>Questa macro ricerca all'interno delle 'specifiche di test' il numero di condizioni di test, la versione e la stima durata presenti per ogni script di test inserito e riporta tale valore sul corrispettivo caso di test nella tabella dei test. In caso di più script di test per lo stesso caso di test, sono riportati i corrispettivi totali (stima durata e n. cond. di test).</t>
  </si>
  <si>
    <t>Inserisce il layout dello script di test, come presente nel foglio di lavoro 'layout' nei range definiti in  'Macro Settings'. Utilizzando questa macro si assicura il mantenimento dello standard previsto e la rapidita nella stesura delle informazioni. Modificando i paramentri della macro in 'Macro Settings' e il layout in 'Layout' è possibile utilizzare diversi layout predisposti per specifiche necessità, sempre mantenendo la struttura originale pervista dallo standard. Una volta inserito il layout i campi 'Nome Script di test', 'Descrizione', 'Versione', 'Stima Durata' e 'N. cond. di test' cambiano il colore di sfondo in giallo, per dare evidenza dell'inserimento avvenuto.</t>
  </si>
  <si>
    <t>Gestione Progetto</t>
  </si>
  <si>
    <t>Codifica Piano di test</t>
  </si>
  <si>
    <t xml:space="preserve">ISC-PDT-C26_M_15                          </t>
  </si>
  <si>
    <t>1.0</t>
  </si>
  <si>
    <t xml:space="preserve">  Funzionalità / Requisiti non funzionali</t>
  </si>
  <si>
    <t>Terzo livello</t>
  </si>
  <si>
    <t>02</t>
  </si>
  <si>
    <t>Dati Anagrafici di un Progetto</t>
  </si>
  <si>
    <t>Inserimento dati anagrafici</t>
  </si>
  <si>
    <t>Funzionalità generalizzate e funzioni accessorie</t>
  </si>
  <si>
    <t>Inserimento corretto dati anagrafici</t>
  </si>
  <si>
    <t>Verifica di tutte le condizioni positive di inserimento dati, compresa la verifica utilizzo dei valori di default, obbligatori, controlli formali, consistenza accesso multiutente.</t>
  </si>
  <si>
    <t>Inserimento dati duplicati</t>
  </si>
  <si>
    <t>Verifica l'inserimento di un dato anagrafico già presente</t>
  </si>
  <si>
    <t>Inserimento dati non validi</t>
  </si>
  <si>
    <t xml:space="preserve">Verifica l'inserimento di un dato anagrafico con dati non validi </t>
  </si>
  <si>
    <t>Verifica Accessibilità</t>
  </si>
  <si>
    <t>column</t>
  </si>
  <si>
    <t>Utilizzo della checklist standard di accessibilità</t>
  </si>
  <si>
    <t>Verifica Usabilità</t>
  </si>
  <si>
    <t>Utilizzo della checklist standard di usabilità</t>
  </si>
  <si>
    <t>Ricerca - visualizzazione - modifica e cancellazione anagrafica</t>
  </si>
  <si>
    <t xml:space="preserve">Scenario di test di integrazione tra le funzioni elementari della funzione dati anagrafici, effettuare la ricerca, la visualizzazione, la modifica e la cancellazione </t>
  </si>
  <si>
    <t>Data Avvio (gg/mm/aaaa)* : 12/04/2007</t>
  </si>
  <si>
    <r>
      <t xml:space="preserve">Verificare che il sistema mostri il messaggio </t>
    </r>
    <r>
      <rPr>
        <b/>
        <sz val="10"/>
        <rFont val="Arial"/>
        <family val="2"/>
      </rPr>
      <t>"Operazione effettuata con successo"</t>
    </r>
    <r>
      <rPr>
        <sz val="10"/>
        <rFont val="Arial"/>
        <family val="2"/>
      </rPr>
      <t xml:space="preserve"> sulla maschera di Ricerca/Elenco Procedure attivazione e nella lista si vedano la procedura di attivazione con i dati appena modificati.</t>
    </r>
  </si>
  <si>
    <t>Verificare i dati modificati nella lista delle procedure di attivazione</t>
  </si>
  <si>
    <t>Una volta modificati i dati il sistema aggiornerà sull'entità E02-Procedure di attivazione gli attributi Codice Utente Ultima Modifica pari all’utente in input alla funzione e Data Ultima Modifica pari alla data di sistema.</t>
  </si>
  <si>
    <t>nome del test</t>
  </si>
  <si>
    <t>Unassigned</t>
  </si>
  <si>
    <t>Risk Model</t>
  </si>
  <si>
    <t>IF(H4*M4&lt;1,"Nessuna",(IF(H4*M4&lt;=2,"Bassa",(IF(H4*M4&lt;=4,"Sotto la media",(IF(H4*M4&lt;=9,"Media",(IF(H4*M4&lt;=12,"Sopra la media","Alta")))))))))</t>
  </si>
  <si>
    <t>Formula</t>
  </si>
  <si>
    <t>Risk Class</t>
  </si>
  <si>
    <t>Risk Class (Formula)</t>
  </si>
  <si>
    <t>5</t>
  </si>
  <si>
    <t>1</t>
  </si>
  <si>
    <t>2</t>
  </si>
  <si>
    <t>3</t>
  </si>
  <si>
    <t>4</t>
  </si>
  <si>
    <t>15</t>
  </si>
  <si>
    <t>20</t>
  </si>
  <si>
    <t>28</t>
  </si>
  <si>
    <t>30</t>
  </si>
  <si>
    <t>40</t>
  </si>
  <si>
    <t>45</t>
  </si>
  <si>
    <t>60</t>
  </si>
  <si>
    <t>1,2,5</t>
  </si>
  <si>
    <t>1,3</t>
  </si>
  <si>
    <t>Not Needed</t>
  </si>
  <si>
    <r>
      <t xml:space="preserve">Il secondo utente riceve dal sistema il messaggio che </t>
    </r>
    <r>
      <rPr>
        <b/>
        <sz val="10"/>
        <rFont val="Arial"/>
        <family val="2"/>
      </rPr>
      <t>i dati sono stati variati da un altro utente</t>
    </r>
    <r>
      <rPr>
        <sz val="10"/>
        <rFont val="Arial"/>
        <family val="2"/>
      </rPr>
      <t xml:space="preserve">, annulla le modifiche e ripresenta i dati correnti.
</t>
    </r>
  </si>
  <si>
    <t>R5</t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</si>
  <si>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 3</t>
    </r>
    <r>
      <rPr>
        <sz val="10"/>
        <rFont val="Arial"/>
        <family val="2"/>
      </rPr>
      <t xml:space="preserve">
Cup Provvisorio = AA
Cup Definitivo = AA
Progetto Strategico = S
Codice Procedura = 0001
</t>
    </r>
    <r>
      <rPr>
        <b/>
        <sz val="10"/>
        <rFont val="Arial"/>
        <family val="2"/>
      </rPr>
      <t xml:space="preserve">De Minimis = </t>
    </r>
  </si>
  <si>
    <r>
      <t xml:space="preserve">Il sistema mostra un messaggio indicante il </t>
    </r>
    <r>
      <rPr>
        <b/>
        <sz val="10"/>
        <rFont val="Arial"/>
        <family val="2"/>
      </rPr>
      <t xml:space="preserve">la necessita di valorizzare il campo De Minimis  </t>
    </r>
    <r>
      <rPr>
        <sz val="10"/>
        <rFont val="Arial"/>
        <family val="2"/>
      </rPr>
      <t xml:space="preserve">per il codice Tipologia Operazione = 3.
</t>
    </r>
  </si>
  <si>
    <t>R6</t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</si>
  <si>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 3</t>
    </r>
    <r>
      <rPr>
        <sz val="10"/>
        <rFont val="Arial"/>
        <family val="2"/>
      </rPr>
      <t xml:space="preserve">
Cup Provvisorio = AA
Cup Definitivo = AA
Progetto Strategico = S
Codice Procedura = 0001
</t>
    </r>
    <r>
      <rPr>
        <b/>
        <sz val="10"/>
        <rFont val="Arial"/>
        <family val="2"/>
      </rPr>
      <t>De Minimis = S</t>
    </r>
  </si>
  <si>
    <t>R7</t>
  </si>
  <si>
    <r>
      <t xml:space="preserve">Rieseguire l'intero script ed inserire i nuovi dati allo step 2. </t>
    </r>
    <r>
      <rPr>
        <b/>
        <sz val="10"/>
        <rFont val="Arial"/>
        <family val="2"/>
      </rPr>
      <t xml:space="preserve">Selezionare bottone "Rispristina" </t>
    </r>
    <r>
      <rPr>
        <sz val="10"/>
        <rFont val="Arial"/>
        <family val="2"/>
      </rPr>
      <t>invece che salva.</t>
    </r>
  </si>
  <si>
    <r>
      <t xml:space="preserve">Codice locale progetto: 1234567890
Titolo = PROGETTO DI TEST
</t>
    </r>
    <r>
      <rPr>
        <b/>
        <sz val="10"/>
        <rFont val="Arial"/>
        <family val="2"/>
      </rPr>
      <t>Codice Tipologia Operazione = 10</t>
    </r>
    <r>
      <rPr>
        <sz val="10"/>
        <rFont val="Arial"/>
        <family val="2"/>
      </rPr>
      <t xml:space="preserve">
Cup Provvisorio = AA
Cup Definitivo = AA
Progetto Strategico = S
Codice Procedura = 0001
</t>
    </r>
    <r>
      <rPr>
        <b/>
        <sz val="10"/>
        <rFont val="Arial"/>
        <family val="2"/>
      </rPr>
      <t>De Minimis = N</t>
    </r>
  </si>
  <si>
    <r>
      <t xml:space="preserve">Il sistema </t>
    </r>
    <r>
      <rPr>
        <b/>
        <sz val="10"/>
        <rFont val="Arial"/>
        <family val="2"/>
      </rPr>
      <t>ripropone i dati come presenti nell'ultimo salvataggio</t>
    </r>
    <r>
      <rPr>
        <sz val="10"/>
        <rFont val="Arial"/>
        <family val="2"/>
      </rPr>
      <t xml:space="preserve">
</t>
    </r>
  </si>
  <si>
    <t>Verificare i dati modificati nell'utlimo riciclo con esito positivo, direttamente  sui valori degli attributi dell'occorenza dell'entità E004 - Progetto.</t>
  </si>
  <si>
    <t>Utilizzare la query "SQL_E004_verifica_dati_anagrafici" consegnata nel piano di test.</t>
  </si>
  <si>
    <t>Gli attributi per il progetto modificato dal test devono corrispondere all'ultimo riciclo con esito positivo (salvataggio dati).</t>
  </si>
  <si>
    <t>Riciclo Test</t>
  </si>
  <si>
    <t>More Script Settings</t>
  </si>
  <si>
    <t>Script Details Row</t>
  </si>
  <si>
    <t>Row (Layout Sheet)</t>
  </si>
  <si>
    <t>Steps Details Row</t>
  </si>
  <si>
    <t>Column (Layout Sheet)</t>
  </si>
  <si>
    <t>Text</t>
  </si>
  <si>
    <t>Cell BGColor</t>
  </si>
  <si>
    <t>Default Step's BG Color</t>
  </si>
  <si>
    <t>Level 1 Requirement</t>
  </si>
  <si>
    <t>Level 2 Requirement</t>
  </si>
  <si>
    <t>Level 3 Requirement</t>
  </si>
  <si>
    <t>RQ</t>
  </si>
  <si>
    <t>Lvl1 Requirement Id</t>
  </si>
  <si>
    <t>Lvl1 Requirement</t>
  </si>
  <si>
    <t>Lvl2 Requirement Id</t>
  </si>
  <si>
    <t>Lvl2 Requirement</t>
  </si>
  <si>
    <t>Requirement Area Risk</t>
  </si>
  <si>
    <t>Lvl3 Requirement Id</t>
  </si>
  <si>
    <t>Lvl3 Requirement</t>
  </si>
  <si>
    <t>Test Case Description</t>
  </si>
  <si>
    <t>Test Case Cycles</t>
  </si>
  <si>
    <t>Test Case Estimated Time</t>
  </si>
  <si>
    <t>Lvl1 Req Display Id</t>
  </si>
  <si>
    <t>Lvl2 Req Display Id</t>
  </si>
  <si>
    <t>Lvl3 Req Display Id</t>
  </si>
  <si>
    <t>Test Case Display Id</t>
  </si>
  <si>
    <t>Custom Requirement Id</t>
  </si>
  <si>
    <t>Codifica  Piano di test</t>
  </si>
  <si>
    <t>layout Checklist  1</t>
  </si>
  <si>
    <t>Check</t>
  </si>
  <si>
    <t>Indicare la verifica da eseguire</t>
  </si>
  <si>
    <t>DSN Name</t>
  </si>
  <si>
    <t>Username</t>
  </si>
  <si>
    <t>Authentication</t>
  </si>
  <si>
    <t>Script Header</t>
  </si>
  <si>
    <t>Script Details</t>
  </si>
  <si>
    <t>Test Case ID</t>
  </si>
  <si>
    <t>Script Suffix</t>
  </si>
  <si>
    <t>Script Time</t>
  </si>
  <si>
    <t>Test Conditions</t>
  </si>
  <si>
    <t>Step Type</t>
  </si>
  <si>
    <t>bassa</t>
  </si>
  <si>
    <t>se &lt;= 4</t>
  </si>
  <si>
    <t>sotto media</t>
  </si>
  <si>
    <t>se &lt;=9</t>
  </si>
  <si>
    <t>media</t>
  </si>
  <si>
    <t>se &lt;= 16</t>
  </si>
  <si>
    <t>sopra la media</t>
  </si>
  <si>
    <t xml:space="preserve">altri casi </t>
  </si>
  <si>
    <t>alta</t>
  </si>
  <si>
    <t>Classe di rischio</t>
  </si>
  <si>
    <t>SE(H4*M4&lt;1;"Nessuna";SE(H4*M4&lt;=2;"Bassa";SE(H4*M4&lt;=4;"Sotto la media";SE(H4*M4&lt;=9;"Media";SE(H4*M4&lt;=12;"Sopra la media";"Alta")))))</t>
  </si>
  <si>
    <t>Formula per cella Classe di rischio</t>
  </si>
  <si>
    <t>Calcolo classe di rischio - matrice valori</t>
  </si>
  <si>
    <t>Condizioni per la formula</t>
  </si>
  <si>
    <t>se &lt; 1</t>
  </si>
  <si>
    <t>nessuna</t>
  </si>
  <si>
    <t>Caso test</t>
  </si>
  <si>
    <t>Funzione o requisito</t>
  </si>
  <si>
    <t>S</t>
  </si>
  <si>
    <t>String</t>
  </si>
  <si>
    <t>-</t>
  </si>
  <si>
    <t>QAC Data Source Settings</t>
  </si>
  <si>
    <t xml:space="preserve">Di seguito si riportano le descrizioni dei vari fogli di lavoro.            </t>
  </si>
  <si>
    <t>Per ulteriori istruzioni di compilazione della Tabella di test e delle Specifiche di test, si rimanda ai relativi paragrafi del Piano di test.</t>
  </si>
  <si>
    <t>Foglio di lavoro</t>
  </si>
  <si>
    <t>Creazione progetto, inserimento e modifica anagrafica, stampa resoconto.</t>
  </si>
  <si>
    <t>Scenario di test di integrazione tra le funzioni di gestione dei dati anagrafici del progetto, creazione progetto, inserimento dati anagrafici, modifica e stampa.</t>
  </si>
  <si>
    <t>Ricerca ed elenco progetti</t>
  </si>
  <si>
    <t>Scenario Main - ricerca elenco progetti</t>
  </si>
  <si>
    <t>Ricerca - visualizzazione elenco progetti</t>
  </si>
  <si>
    <t>Scenario di test relativo al  flusso main del caso d'uso, prevede la ricerca, visualizzazione dell'elenco dei progetti ricercati, per i quali l'utente risulta abilitato.</t>
  </si>
  <si>
    <t>Scenario Alternativo 1 - ricerca elenco progetti vuota - annulla</t>
  </si>
  <si>
    <t xml:space="preserve">Ricerca - lista vuota - annulla </t>
  </si>
  <si>
    <t xml:space="preserve">Scenario di test relativo allo scenario del caso d'uso derivato dal flusso alternativo di ricderca con esito lista vuota e richiesta di annullamento della ricerca. </t>
  </si>
  <si>
    <t>RNF012</t>
  </si>
  <si>
    <t>Requisito non funzonale di accessibilità</t>
  </si>
  <si>
    <t>Verifica legge Stanca (4/2004)</t>
  </si>
  <si>
    <t>Checklist Accessibilità</t>
  </si>
  <si>
    <t xml:space="preserve">Check list per la verifica dei 22 requisiti di accessibilità previsti </t>
  </si>
  <si>
    <t>RNF031</t>
  </si>
  <si>
    <t>Selezione menu "procedure di attivazione" e "ricerca"</t>
  </si>
  <si>
    <t>Appare la finestra di "procedure di attivazione" e poi la finestra "ricerca".</t>
  </si>
  <si>
    <t>Selezione dell'icona 'Visualizza e Modifica"
Modificare i dati presenti nel campo Data Avvio, nessuna modifica.
Selezione  tasto "Salva"</t>
  </si>
  <si>
    <t>Nessuno</t>
  </si>
  <si>
    <r>
      <t xml:space="preserve">Verificare che venga mostrato il messaggio </t>
    </r>
    <r>
      <rPr>
        <b/>
        <sz val="10"/>
        <rFont val="Arial"/>
        <family val="2"/>
      </rPr>
      <t>"Nessun dato modificato"</t>
    </r>
    <r>
      <rPr>
        <sz val="10"/>
        <rFont val="Arial"/>
        <family val="2"/>
      </rPr>
      <t xml:space="preserve"> sulla pagina corrente.</t>
    </r>
  </si>
  <si>
    <t>Selezione la funzione di 'uscita' e successivamente di 'logout'</t>
  </si>
  <si>
    <t>Appare la finestra di "procedure di attivazione" e poi la finestra di uscita dall'applicazione.</t>
  </si>
  <si>
    <t>Modificare i dati presenti nel campo Data Avvio,  con campo data vuoto (step 2)</t>
  </si>
  <si>
    <t xml:space="preserve">Data Avvio (gg/mm/aaaa)* : </t>
  </si>
  <si>
    <r>
      <t xml:space="preserve">Verificare che il sistema mostri il messaggio </t>
    </r>
    <r>
      <rPr>
        <b/>
        <sz val="10"/>
        <rFont val="Arial"/>
        <family val="2"/>
      </rPr>
      <t>"Non è possibile effettuare operazione manca dato obbligatorio"</t>
    </r>
    <r>
      <rPr>
        <sz val="10"/>
        <rFont val="Arial"/>
        <family val="2"/>
      </rPr>
      <t xml:space="preserve"> in testa alla maschera di Modifica Procedure attivazione e riproponga come valore dei campi i dati appena inseriti.</t>
    </r>
  </si>
  <si>
    <t>Modificare i dati presenti nel campo Data Avvio,  con campo data valido (step 2)</t>
  </si>
  <si>
    <t>Descr.fogli lavoro (**)</t>
  </si>
  <si>
    <t>Cop.All.1Tab.test</t>
  </si>
  <si>
    <t xml:space="preserve">Copertina dell' "Allegato 1 - Tabella dei test", con le informazioni di riferimento al Piano di test. </t>
  </si>
  <si>
    <t>All.1Tab.test</t>
  </si>
  <si>
    <t>Es.1 (**)</t>
  </si>
  <si>
    <t>Esempio di Tabella di test compilata.</t>
  </si>
  <si>
    <t>All.2Spec.test</t>
  </si>
  <si>
    <t>Es.2 (**)</t>
  </si>
  <si>
    <t>Nome dello script di test</t>
  </si>
  <si>
    <t>Descrizione dello script di test (inserire il layout con la macro CTRL-A)</t>
  </si>
  <si>
    <t>Tipo Step</t>
  </si>
  <si>
    <t xml:space="preserve">Istruzioni </t>
  </si>
  <si>
    <t>Dati di input</t>
  </si>
  <si>
    <t>Risultati attesi</t>
  </si>
  <si>
    <t>Precondizioni</t>
  </si>
  <si>
    <t>Tipo step</t>
  </si>
  <si>
    <t>Progetto già definito ma senza informazioni anagrafiche</t>
  </si>
  <si>
    <t>codice locale progetto : 1234567890</t>
  </si>
  <si>
    <t>Sessione aperta sull'applicazione, sul menu principale del progetto inserito.. Autenticato con utente 'gestore progetto'.</t>
  </si>
  <si>
    <t>Profilo utente "Gestore Progetto".
codice locale progetto : 1234567890</t>
  </si>
  <si>
    <t>Applicazione aperta sul menu principale</t>
  </si>
  <si>
    <t>menu Progetto - Inserimento - Tab Dati Generali - Sottotab Dati Anagrafici</t>
  </si>
  <si>
    <t>appare la maschera d'inserimento dati anagrafici</t>
  </si>
  <si>
    <t>Inserire i dati per nuova anagrafica e selezionare bottone "Salva".
Il bottone “Salva” consente il salvataggio dei valori impostati nella pagina, nell’entità E004 - Progetti.</t>
  </si>
  <si>
    <r>
      <t xml:space="preserve">Codice locale progetto: 1234567890
</t>
    </r>
    <r>
      <rPr>
        <b/>
        <sz val="10"/>
        <rFont val="Arial"/>
        <family val="2"/>
      </rPr>
      <t xml:space="preserve">Titolo = </t>
    </r>
    <r>
      <rPr>
        <sz val="10"/>
        <rFont val="Arial"/>
        <family val="2"/>
      </rPr>
      <t xml:space="preserve">
Codice Tipologia Operazione = 10
Cup Provvisorio = 
Cup Definitivo = 
Progetto Strategico = S
Codice Procedura = 0001
De Minimis = N</t>
    </r>
  </si>
  <si>
    <t>[All.1Tab.test] Validation Failures</t>
  </si>
  <si>
    <t xml:space="preserve">Codice Area </t>
  </si>
  <si>
    <t>Codice Appl.</t>
  </si>
  <si>
    <t>Nome Script di test
Tipo Step</t>
  </si>
  <si>
    <t>Istruzioni</t>
  </si>
  <si>
    <t>REF001</t>
  </si>
  <si>
    <t>MF001</t>
  </si>
  <si>
    <t>F005</t>
  </si>
  <si>
    <t>FE025</t>
  </si>
  <si>
    <t>CDU001.1</t>
  </si>
  <si>
    <t>CDU001.2</t>
  </si>
  <si>
    <t>RNF012.1</t>
  </si>
  <si>
    <t>RNF031.1</t>
  </si>
  <si>
    <t>QADirector Client</t>
  </si>
  <si>
    <t>QADirector ToolDomain</t>
  </si>
  <si>
    <t>VisualTest</t>
  </si>
  <si>
    <t>Durata Stimata</t>
  </si>
  <si>
    <t>TestPartner Project</t>
  </si>
  <si>
    <t>Is Test Automated</t>
  </si>
  <si>
    <t>Autom.</t>
  </si>
  <si>
    <t>0</t>
  </si>
  <si>
    <t>T</t>
  </si>
  <si>
    <t>AA</t>
  </si>
  <si>
    <t>AB</t>
  </si>
  <si>
    <t>AC</t>
  </si>
  <si>
    <t>AD</t>
  </si>
  <si>
    <t>0000</t>
  </si>
  <si>
    <t>Versione 3.2.4</t>
  </si>
  <si>
    <t>02FE025-TF01</t>
  </si>
  <si>
    <t>02FE025-TF02</t>
  </si>
  <si>
    <t>02FE025-TF03</t>
  </si>
  <si>
    <t>02FE025-TF04</t>
  </si>
  <si>
    <t>02FE025-TNF01</t>
  </si>
  <si>
    <t>02FE025-TNF02</t>
  </si>
  <si>
    <t>02F005-TI01</t>
  </si>
  <si>
    <t>02MF001-TI01</t>
  </si>
  <si>
    <t>02CDU001.1-TI01</t>
  </si>
  <si>
    <t>02CDU001.2-TI01</t>
  </si>
  <si>
    <t>02RNF012.1-TNF01</t>
  </si>
  <si>
    <t>02RNF031.1-TNF01</t>
  </si>
  <si>
    <t>SISP</t>
  </si>
  <si>
    <t xml:space="preserve">CDC-20150009-S14-000-PT-20160129-01-SISP </t>
  </si>
  <si>
    <t>0000 RQ-</t>
  </si>
  <si>
    <t>0000 RQ--</t>
  </si>
  <si>
    <t>0000 TEST-</t>
  </si>
  <si>
    <t xml:space="preserve">Descrizione dei fogli di lavoro per la compilazione dell' "Allegato 1 - Tabella dei test" e  dell' "Allegato 2 - Specifiche di test" al Piano di test </t>
  </si>
  <si>
    <t>Questo documento Excel contiene i template da utilizzare per la stesura dell' "Allegato 1 - Tabella dei test" e  dell' "Allegato 2 - Specifiche di test" nell'ambito della progettazione dei test in progetti / obiettivi di sviluppo e/o manutenzione software.</t>
  </si>
  <si>
    <t>Cop.All.2Spec.test</t>
  </si>
  <si>
    <t xml:space="preserve">Copertina dell' "Allegato 2 - Specifiche di test", con le informazioni di riferimento al Piano di test. </t>
  </si>
  <si>
    <t>"Allegato 2 - Specifiche di test" al Piano di test, contiene gli script di test sviluppati per ogni singolo caso di test presente nella Tabella dei test.</t>
  </si>
  <si>
    <t xml:space="preserve">(**) : Fogli di lavoro da eliminare nel deliverable </t>
  </si>
  <si>
    <t xml:space="preserve">Il presente documento è stato redatto con la collaborazione del RTI Engineering Ingegneria Informatica S.p.A -                         Sirfin-PA     nell’ambito del contratto CIG 73479643B7 per lo “SVILUPPO DEL SISTEMA INFORMATIVO UNITARIO TELEMATICO, LA MANUTENZIONE DEGLI ATTUALI SISTEMI DELL’AREA PENALE DEL MINISTERO DELLA GIUSTIZIA E SERVIZI CORRELATI. LOTTO 1” </t>
  </si>
  <si>
    <t>&lt;Codifica Piano di test&gt;</t>
  </si>
  <si>
    <t>Piano di test - &lt;fase&gt;</t>
  </si>
  <si>
    <t xml:space="preserve">Ver. x.x </t>
  </si>
  <si>
    <t>Data: ../../..</t>
  </si>
  <si>
    <t>&lt;Progetto / Obiettivo Software&gt;</t>
  </si>
  <si>
    <t>&lt;Area Applicativa&gt;</t>
  </si>
  <si>
    <t>Allegato 2 - Specifiche di Test</t>
  </si>
  <si>
    <t>Esito</t>
  </si>
  <si>
    <t xml:space="preserve">Piano di test </t>
  </si>
  <si>
    <t>Allegato al Piano dei Test</t>
  </si>
  <si>
    <t>Classe di Gravità (1-4)</t>
  </si>
  <si>
    <t>Tipo Verifica</t>
  </si>
  <si>
    <t xml:space="preserve">Attributo </t>
  </si>
  <si>
    <t xml:space="preserve">Indicatore </t>
  </si>
  <si>
    <t xml:space="preserve">Descrizione tipo Verifica </t>
  </si>
  <si>
    <t>Esito Verifica Fornitore</t>
  </si>
  <si>
    <t>Esito Verifica Amministrazione</t>
  </si>
  <si>
    <t>Verifica Soglia di Accettazione</t>
  </si>
  <si>
    <t>In Rosso le difformità che hanno superato il numero massimo ammissibile</t>
  </si>
  <si>
    <t xml:space="preserve">Classe di rilevanza </t>
  </si>
  <si>
    <t>Classe di gravità</t>
  </si>
  <si>
    <t>Numero massimo di difformità ammesse</t>
  </si>
  <si>
    <t>Suffisso Caso di test</t>
  </si>
  <si>
    <t>Nome Caso di test
Tipo Step</t>
  </si>
  <si>
    <t>Classe di rilevanza (A, B, C)</t>
  </si>
  <si>
    <t>Primo Livello</t>
  </si>
  <si>
    <t>Secondo livello</t>
  </si>
  <si>
    <t>SIUT</t>
  </si>
  <si>
    <t xml:space="preserve">Il presente documento è stato redatto con la collaborazione del RTI Engineering Ingegneria Informatica S.p.A - Sirfin-PA nell’ambito del contratto CIG 73479643B7 per lo “SVILUPPO DEL SISTEMA INFORMATIVO UNITARIO TELEMATICO, LA MANUTENZIONE DEGLI ATTUALI SISTEMI DELL’AREA PENALE DEL MINISTERO DELLA GIUSTIZIA E SERVIZI CORRELATI LOTTO 1” </t>
  </si>
  <si>
    <t>SIES</t>
  </si>
  <si>
    <t>Istruzioni
(test)</t>
  </si>
  <si>
    <t>Dati di input
(Associated Data)</t>
  </si>
  <si>
    <t>Risultati attesi
(Expected Result)</t>
  </si>
  <si>
    <t>Verifica</t>
  </si>
  <si>
    <t>OK</t>
  </si>
  <si>
    <t>Nome del file</t>
  </si>
  <si>
    <t>Data</t>
  </si>
  <si>
    <t>Intervento</t>
  </si>
  <si>
    <t>Area Applicativa</t>
  </si>
  <si>
    <t>Penale</t>
  </si>
  <si>
    <t>L'utente si trova nella pagina principale dell'applicazione</t>
  </si>
  <si>
    <r>
      <t>L'utente riempe i campi obbligatori e preme il tasto "</t>
    </r>
    <r>
      <rPr>
        <b/>
        <sz val="10"/>
        <rFont val="Arial"/>
        <family val="2"/>
      </rPr>
      <t>Conferma</t>
    </r>
    <r>
      <rPr>
        <sz val="10"/>
        <rFont val="Arial"/>
        <family val="2"/>
      </rPr>
      <t>"</t>
    </r>
  </si>
  <si>
    <t>SIES v.12.5.7.0</t>
  </si>
  <si>
    <t>SIUT-SIES-CT-1.0-20240322-Allegato_al_piano_test_SIES_v.12.5.7.0.xlsx</t>
  </si>
  <si>
    <t>SIUT-SIES-PT-1.0-20240322-Piano_dei_Test_SIES_v.12.5.7.0.docx</t>
  </si>
  <si>
    <t>SIEP Fascicolo non validato</t>
  </si>
  <si>
    <t>SIEP</t>
  </si>
  <si>
    <t>Errore nella gestione della pena residua in fase di inserimento cumulo</t>
  </si>
  <si>
    <t>Verifica: Verificare che in fase di iscrizione di una richiesta conversione pena pecuniaria su un fascicolo di classe VII, la pena residua sia gestita correttamente</t>
  </si>
  <si>
    <r>
      <t xml:space="preserve">L'utente effettua l'accesso al sistema </t>
    </r>
    <r>
      <rPr>
        <b/>
        <sz val="10"/>
        <rFont val="Arial"/>
        <family val="2"/>
      </rPr>
      <t>SIES</t>
    </r>
    <r>
      <rPr>
        <sz val="10"/>
        <rFont val="Arial"/>
        <family val="2"/>
      </rPr>
      <t xml:space="preserve"> come "</t>
    </r>
    <r>
      <rPr>
        <b/>
        <sz val="10"/>
        <rFont val="Arial"/>
        <family val="2"/>
      </rPr>
      <t>Procura della Repubblica presso il Tribunale</t>
    </r>
    <r>
      <rPr>
        <sz val="10"/>
        <rFont val="Arial"/>
        <family val="2"/>
      </rPr>
      <t>"</t>
    </r>
  </si>
  <si>
    <r>
      <rPr>
        <b/>
        <sz val="10"/>
        <rFont val="Arial"/>
        <family val="2"/>
      </rPr>
      <t>A</t>
    </r>
    <r>
      <rPr>
        <sz val="10"/>
        <rFont val="Arial"/>
        <family val="2"/>
      </rPr>
      <t>xxxxx (</t>
    </r>
    <r>
      <rPr>
        <b/>
        <sz val="10"/>
        <rFont val="Arial"/>
        <family val="2"/>
      </rPr>
      <t>Procura della Repubblica presso il Tribunale</t>
    </r>
    <r>
      <rPr>
        <sz val="10"/>
        <rFont val="Arial"/>
        <family val="2"/>
      </rPr>
      <t>)</t>
    </r>
  </si>
  <si>
    <t>Assegnazioni » Pena residua manuale</t>
  </si>
  <si>
    <r>
      <t>Visualizzazione pagina "</t>
    </r>
    <r>
      <rPr>
        <b/>
        <sz val="10"/>
        <rFont val="Arial"/>
        <family val="2"/>
      </rPr>
      <t>Dettaglio Pena Residua Manuale</t>
    </r>
    <r>
      <rPr>
        <sz val="10"/>
        <rFont val="Arial"/>
        <family val="2"/>
      </rPr>
      <t>"</t>
    </r>
  </si>
  <si>
    <r>
      <t>Visualizzazione pagina "</t>
    </r>
    <r>
      <rPr>
        <b/>
        <sz val="10"/>
        <rFont val="Arial"/>
        <family val="2"/>
      </rPr>
      <t>Inserimento Pena Residua Manuale</t>
    </r>
    <r>
      <rPr>
        <sz val="10"/>
        <rFont val="Arial"/>
        <family val="2"/>
      </rPr>
      <t>"</t>
    </r>
  </si>
  <si>
    <t>Gestione Altre Sanzioni » Conversione Pene Pecuniarie » Iscrizione Procedimento (richiesta conversione)</t>
  </si>
  <si>
    <r>
      <t>Visualizzazione pagina "</t>
    </r>
    <r>
      <rPr>
        <b/>
        <sz val="10"/>
        <rFont val="Arial"/>
        <family val="2"/>
      </rPr>
      <t>Iscrizione Richiesta Conversione</t>
    </r>
    <r>
      <rPr>
        <sz val="10"/>
        <rFont val="Arial"/>
        <family val="2"/>
      </rPr>
      <t>"</t>
    </r>
  </si>
  <si>
    <t>Iscrivere un nuovo procedimento in classe VII; inserire la posizione giuridica, la pena complessiva con anche la multa, il magistrato firmatario e validare</t>
  </si>
  <si>
    <r>
      <t xml:space="preserve">Inserimento Estremi del Fascicolo di Classe I --&gt; </t>
    </r>
    <r>
      <rPr>
        <b/>
        <u/>
        <sz val="10"/>
        <color rgb="FFFF0000"/>
        <rFont val="Arial"/>
        <family val="2"/>
      </rPr>
      <t>NO</t>
    </r>
  </si>
  <si>
    <r>
      <t>Visualizzazione pagina "</t>
    </r>
    <r>
      <rPr>
        <b/>
        <sz val="10"/>
        <rFont val="Arial"/>
        <family val="2"/>
      </rPr>
      <t>Dettaglio Richiesta Conversione</t>
    </r>
    <r>
      <rPr>
        <sz val="10"/>
        <rFont val="Arial"/>
        <family val="2"/>
      </rPr>
      <t>"</t>
    </r>
  </si>
  <si>
    <r>
      <t>L'utente clicca sul link "</t>
    </r>
    <r>
      <rPr>
        <b/>
        <sz val="10"/>
        <rFont val="Arial"/>
        <family val="2"/>
      </rPr>
      <t>Procedimento : N.</t>
    </r>
    <r>
      <rPr>
        <sz val="10"/>
        <rFont val="Arial"/>
        <family val="2"/>
      </rPr>
      <t>"</t>
    </r>
  </si>
  <si>
    <r>
      <t>Visualizzazione pagina "</t>
    </r>
    <r>
      <rPr>
        <b/>
        <sz val="10"/>
        <rFont val="Arial"/>
        <family val="2"/>
      </rPr>
      <t>Dettaglio Procedimento</t>
    </r>
    <r>
      <rPr>
        <sz val="10"/>
        <rFont val="Arial"/>
        <family val="2"/>
      </rPr>
      <t>"</t>
    </r>
  </si>
  <si>
    <t>Il risultato atteso è che non venga visualizzato il messaggio di errore della mancanza della pena residua</t>
  </si>
  <si>
    <t>L'utente si trova nella pagina di dettaglio procedimento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</si>
</sst>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\Te\x\t"/>
    <numFmt numFmtId="165" formatCode="00000"/>
  </numFmts>
  <fonts count="67">
    <font>
      <sz val="10"/>
      <name val="Arial"/>
    </font>
    <font>
      <sz val="10"/>
      <name val="Arial"/>
    </font>
    <font>
      <b/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2"/>
      <name val="Arial Narrow"/>
      <family val="2"/>
    </font>
    <font>
      <b/>
      <sz val="10"/>
      <name val="Arial Narrow"/>
      <family val="2"/>
    </font>
    <font>
      <b/>
      <sz val="12"/>
      <color indexed="22"/>
      <name val="Verdana"/>
      <family val="2"/>
    </font>
    <font>
      <b/>
      <sz val="10"/>
      <name val="Verdana"/>
      <family val="2"/>
    </font>
    <font>
      <sz val="10"/>
      <name val="Verdana"/>
      <family val="2"/>
    </font>
    <font>
      <sz val="10"/>
      <color indexed="56"/>
      <name val="Verdana"/>
      <family val="2"/>
    </font>
    <font>
      <b/>
      <sz val="10"/>
      <color indexed="8"/>
      <name val="Verdana"/>
      <family val="2"/>
    </font>
    <font>
      <sz val="10"/>
      <color indexed="8"/>
      <name val="Arial"/>
      <family val="2"/>
    </font>
    <font>
      <b/>
      <i/>
      <sz val="10"/>
      <name val="Verdana"/>
      <family val="2"/>
    </font>
    <font>
      <i/>
      <sz val="10"/>
      <name val="Arial"/>
      <family val="2"/>
    </font>
    <font>
      <i/>
      <sz val="10"/>
      <name val="Verdana"/>
      <family val="2"/>
    </font>
    <font>
      <sz val="12"/>
      <name val="Arial"/>
      <family val="2"/>
    </font>
    <font>
      <sz val="12"/>
      <name val="Arial Narrow"/>
      <family val="2"/>
    </font>
    <font>
      <sz val="9"/>
      <name val="Arial"/>
      <family val="2"/>
    </font>
    <font>
      <b/>
      <sz val="11"/>
      <name val="Arial"/>
      <family val="2"/>
    </font>
    <font>
      <i/>
      <sz val="16"/>
      <name val="Arial"/>
      <family val="2"/>
    </font>
    <font>
      <b/>
      <sz val="10"/>
      <name val="Tahoma"/>
      <family val="2"/>
    </font>
    <font>
      <b/>
      <sz val="22"/>
      <name val="Tahoma"/>
      <family val="2"/>
    </font>
    <font>
      <b/>
      <sz val="10"/>
      <name val="Arial"/>
      <family val="2"/>
    </font>
    <font>
      <sz val="22"/>
      <name val="Arial"/>
      <family val="2"/>
    </font>
    <font>
      <sz val="9"/>
      <name val="Verdana"/>
      <family val="2"/>
    </font>
    <font>
      <sz val="8"/>
      <name val="Arial"/>
      <family val="2"/>
    </font>
    <font>
      <b/>
      <sz val="9"/>
      <name val="Arial"/>
      <family val="2"/>
    </font>
    <font>
      <i/>
      <sz val="10"/>
      <name val="Arial"/>
      <family val="2"/>
    </font>
    <font>
      <sz val="7"/>
      <name val="Verdana"/>
      <family val="2"/>
    </font>
    <font>
      <b/>
      <sz val="18"/>
      <name val="Arial"/>
      <family val="2"/>
    </font>
    <font>
      <b/>
      <sz val="9"/>
      <color indexed="10"/>
      <name val="Arial"/>
      <family val="2"/>
    </font>
    <font>
      <b/>
      <sz val="14"/>
      <name val="Arial Narrow"/>
      <family val="2"/>
    </font>
    <font>
      <sz val="14"/>
      <name val="Arial"/>
      <family val="2"/>
    </font>
    <font>
      <b/>
      <i/>
      <sz val="14"/>
      <name val="Arial"/>
      <family val="2"/>
    </font>
    <font>
      <b/>
      <i/>
      <sz val="12"/>
      <name val="Arial Narrow"/>
      <family val="2"/>
    </font>
    <font>
      <b/>
      <i/>
      <sz val="10"/>
      <name val="Arial"/>
      <family val="2"/>
    </font>
    <font>
      <b/>
      <sz val="18"/>
      <name val="Arial"/>
      <family val="2"/>
    </font>
    <font>
      <b/>
      <sz val="10"/>
      <color indexed="22"/>
      <name val="Arial"/>
      <family val="2"/>
    </font>
    <font>
      <sz val="10"/>
      <color indexed="22"/>
      <name val="Arial"/>
      <family val="2"/>
    </font>
    <font>
      <sz val="10"/>
      <name val="Arial"/>
      <family val="2"/>
    </font>
    <font>
      <sz val="12"/>
      <name val="DIN"/>
    </font>
    <font>
      <b/>
      <sz val="11"/>
      <name val="DIN"/>
    </font>
    <font>
      <b/>
      <i/>
      <sz val="11"/>
      <name val="DIN"/>
    </font>
    <font>
      <sz val="16"/>
      <name val="Arial"/>
      <family val="2"/>
    </font>
    <font>
      <b/>
      <sz val="10"/>
      <color indexed="8"/>
      <name val="Verdana"/>
      <family val="2"/>
    </font>
    <font>
      <b/>
      <i/>
      <sz val="11"/>
      <color indexed="8"/>
      <name val="DIN"/>
    </font>
    <font>
      <b/>
      <sz val="11"/>
      <color indexed="50"/>
      <name val="DIN"/>
    </font>
    <font>
      <sz val="11"/>
      <color indexed="8"/>
      <name val="DIN"/>
    </font>
    <font>
      <b/>
      <sz val="11"/>
      <color indexed="8"/>
      <name val="DIN"/>
    </font>
    <font>
      <b/>
      <sz val="10"/>
      <color indexed="10"/>
      <name val="Arial"/>
      <family val="2"/>
    </font>
    <font>
      <sz val="8"/>
      <name val="Arial"/>
      <family val="2"/>
    </font>
    <font>
      <b/>
      <sz val="12"/>
      <name val="Calibri"/>
      <family val="2"/>
    </font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0"/>
      <color rgb="FFFF0000"/>
      <name val="Arial"/>
      <family val="2"/>
    </font>
    <font>
      <sz val="10"/>
      <color theme="1"/>
      <name val="Calibri"/>
      <family val="2"/>
      <scheme val="minor"/>
    </font>
    <font>
      <sz val="10"/>
      <color rgb="FFFF0000"/>
      <name val="Arial"/>
      <family val="2"/>
    </font>
    <font>
      <sz val="12"/>
      <name val="Calibri"/>
      <family val="2"/>
      <scheme val="minor"/>
    </font>
    <font>
      <b/>
      <sz val="22"/>
      <name val="Calibri"/>
      <family val="2"/>
      <scheme val="minor"/>
    </font>
    <font>
      <b/>
      <u/>
      <sz val="10"/>
      <color rgb="FFFF0000"/>
      <name val="Arial"/>
      <family val="2"/>
    </font>
  </fonts>
  <fills count="2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</fills>
  <borders count="9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dashed">
        <color indexed="64"/>
      </right>
      <top/>
      <bottom style="thin">
        <color indexed="64"/>
      </bottom>
      <diagonal/>
    </border>
    <border>
      <left style="medium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23"/>
      </right>
      <top/>
      <bottom style="medium">
        <color indexed="23"/>
      </bottom>
      <diagonal/>
    </border>
    <border>
      <left/>
      <right style="medium">
        <color indexed="64"/>
      </right>
      <top/>
      <bottom style="medium">
        <color indexed="23"/>
      </bottom>
      <diagonal/>
    </border>
    <border>
      <left style="medium">
        <color indexed="64"/>
      </left>
      <right style="medium">
        <color indexed="23"/>
      </right>
      <top/>
      <bottom style="medium">
        <color indexed="23"/>
      </bottom>
      <diagonal/>
    </border>
    <border>
      <left style="medium">
        <color indexed="64"/>
      </left>
      <right style="medium">
        <color indexed="23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23"/>
      </right>
      <top/>
      <bottom/>
      <diagonal/>
    </border>
    <border>
      <left style="medium">
        <color indexed="23"/>
      </left>
      <right/>
      <top/>
      <bottom style="medium">
        <color indexed="23"/>
      </bottom>
      <diagonal/>
    </border>
    <border>
      <left/>
      <right/>
      <top/>
      <bottom style="medium">
        <color indexed="23"/>
      </bottom>
      <diagonal/>
    </border>
    <border>
      <left style="medium">
        <color indexed="64"/>
      </left>
      <right/>
      <top style="medium">
        <color indexed="64"/>
      </top>
      <bottom style="medium">
        <color indexed="23"/>
      </bottom>
      <diagonal/>
    </border>
    <border>
      <left/>
      <right/>
      <top style="medium">
        <color indexed="64"/>
      </top>
      <bottom style="medium">
        <color indexed="23"/>
      </bottom>
      <diagonal/>
    </border>
    <border>
      <left style="medium">
        <color indexed="64"/>
      </left>
      <right style="medium">
        <color indexed="23"/>
      </right>
      <top style="medium">
        <color indexed="23"/>
      </top>
      <bottom/>
      <diagonal/>
    </border>
    <border>
      <left style="medium">
        <color indexed="23"/>
      </left>
      <right/>
      <top style="medium">
        <color indexed="23"/>
      </top>
      <bottom style="medium">
        <color indexed="23"/>
      </bottom>
      <diagonal/>
    </border>
    <border>
      <left/>
      <right/>
      <top style="medium">
        <color indexed="23"/>
      </top>
      <bottom style="medium">
        <color indexed="23"/>
      </bottom>
      <diagonal/>
    </border>
    <border>
      <left/>
      <right style="medium">
        <color indexed="64"/>
      </right>
      <top style="medium">
        <color indexed="23"/>
      </top>
      <bottom style="medium">
        <color indexed="23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0" fontId="5" fillId="0" borderId="0"/>
    <xf numFmtId="0" fontId="56" fillId="0" borderId="0"/>
  </cellStyleXfs>
  <cellXfs count="556">
    <xf numFmtId="0" fontId="0" fillId="0" borderId="0" xfId="0"/>
    <xf numFmtId="0" fontId="3" fillId="2" borderId="1" xfId="0" applyFont="1" applyFill="1" applyBorder="1"/>
    <xf numFmtId="0" fontId="0" fillId="0" borderId="0" xfId="0" applyBorder="1" applyAlignment="1"/>
    <xf numFmtId="0" fontId="0" fillId="3" borderId="0" xfId="0" applyFill="1" applyAlignment="1"/>
    <xf numFmtId="0" fontId="0" fillId="0" borderId="0" xfId="0" applyAlignment="1"/>
    <xf numFmtId="0" fontId="12" fillId="2" borderId="2" xfId="0" applyFont="1" applyFill="1" applyBorder="1" applyAlignment="1">
      <alignment horizontal="center" vertical="center"/>
    </xf>
    <xf numFmtId="0" fontId="12" fillId="4" borderId="2" xfId="0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horizontal="center" vertical="center"/>
    </xf>
    <xf numFmtId="0" fontId="11" fillId="6" borderId="3" xfId="0" applyFont="1" applyFill="1" applyBorder="1" applyAlignment="1">
      <alignment vertical="center"/>
    </xf>
    <xf numFmtId="0" fontId="12" fillId="5" borderId="3" xfId="0" applyFont="1" applyFill="1" applyBorder="1" applyAlignment="1">
      <alignment horizontal="center" vertical="center"/>
    </xf>
    <xf numFmtId="0" fontId="14" fillId="2" borderId="2" xfId="0" applyFont="1" applyFill="1" applyBorder="1"/>
    <xf numFmtId="0" fontId="14" fillId="2" borderId="0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/>
    <xf numFmtId="0" fontId="18" fillId="2" borderId="1" xfId="0" applyFont="1" applyFill="1" applyBorder="1" applyAlignment="1">
      <alignment horizontal="center" vertical="center"/>
    </xf>
    <xf numFmtId="0" fontId="0" fillId="2" borderId="1" xfId="0" quotePrefix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1" fillId="6" borderId="4" xfId="0" applyFont="1" applyFill="1" applyBorder="1" applyAlignment="1">
      <alignment vertical="center"/>
    </xf>
    <xf numFmtId="0" fontId="14" fillId="2" borderId="0" xfId="0" applyFont="1" applyFill="1"/>
    <xf numFmtId="0" fontId="14" fillId="2" borderId="5" xfId="0" applyFont="1" applyFill="1" applyBorder="1"/>
    <xf numFmtId="0" fontId="11" fillId="7" borderId="2" xfId="0" applyFont="1" applyFill="1" applyBorder="1" applyAlignment="1">
      <alignment vertical="center"/>
    </xf>
    <xf numFmtId="0" fontId="11" fillId="7" borderId="1" xfId="0" applyFont="1" applyFill="1" applyBorder="1" applyAlignment="1" applyProtection="1">
      <alignment horizontal="center" vertical="center"/>
    </xf>
    <xf numFmtId="0" fontId="0" fillId="3" borderId="0" xfId="0" applyFill="1"/>
    <xf numFmtId="0" fontId="3" fillId="0" borderId="0" xfId="0" applyFont="1"/>
    <xf numFmtId="0" fontId="11" fillId="8" borderId="6" xfId="0" applyFont="1" applyFill="1" applyBorder="1" applyAlignment="1">
      <alignment vertical="center"/>
    </xf>
    <xf numFmtId="0" fontId="11" fillId="8" borderId="2" xfId="0" applyFont="1" applyFill="1" applyBorder="1" applyAlignment="1">
      <alignment vertical="center"/>
    </xf>
    <xf numFmtId="0" fontId="13" fillId="8" borderId="4" xfId="0" applyFont="1" applyFill="1" applyBorder="1" applyAlignment="1" applyProtection="1">
      <alignment horizontal="center" vertical="center"/>
    </xf>
    <xf numFmtId="0" fontId="13" fillId="8" borderId="4" xfId="0" applyFont="1" applyFill="1" applyBorder="1" applyAlignment="1">
      <alignment horizontal="center" vertical="center"/>
    </xf>
    <xf numFmtId="0" fontId="11" fillId="8" borderId="5" xfId="0" applyFont="1" applyFill="1" applyBorder="1" applyAlignment="1">
      <alignment vertical="center"/>
    </xf>
    <xf numFmtId="0" fontId="11" fillId="9" borderId="6" xfId="0" applyFont="1" applyFill="1" applyBorder="1" applyAlignment="1">
      <alignment vertical="center"/>
    </xf>
    <xf numFmtId="0" fontId="13" fillId="9" borderId="1" xfId="0" applyFont="1" applyFill="1" applyBorder="1" applyAlignment="1" applyProtection="1">
      <alignment horizontal="center" vertical="center"/>
    </xf>
    <xf numFmtId="0" fontId="11" fillId="9" borderId="2" xfId="0" applyFont="1" applyFill="1" applyBorder="1" applyAlignment="1">
      <alignment vertical="center"/>
    </xf>
    <xf numFmtId="0" fontId="0" fillId="2" borderId="1" xfId="0" applyFill="1" applyBorder="1"/>
    <xf numFmtId="0" fontId="3" fillId="3" borderId="1" xfId="0" applyFont="1" applyFill="1" applyBorder="1" applyAlignment="1" applyProtection="1">
      <alignment horizontal="left"/>
      <protection locked="0"/>
    </xf>
    <xf numFmtId="0" fontId="3" fillId="10" borderId="7" xfId="0" applyFont="1" applyFill="1" applyBorder="1" applyAlignment="1"/>
    <xf numFmtId="0" fontId="8" fillId="11" borderId="8" xfId="0" applyFont="1" applyFill="1" applyBorder="1" applyAlignment="1">
      <alignment horizontal="center" vertical="center" wrapText="1"/>
    </xf>
    <xf numFmtId="0" fontId="8" fillId="12" borderId="8" xfId="0" applyFont="1" applyFill="1" applyBorder="1" applyAlignment="1">
      <alignment horizontal="center" vertical="center" wrapText="1"/>
    </xf>
    <xf numFmtId="0" fontId="8" fillId="12" borderId="9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vertical="center" wrapText="1"/>
    </xf>
    <xf numFmtId="49" fontId="5" fillId="0" borderId="10" xfId="0" applyNumberFormat="1" applyFont="1" applyBorder="1" applyAlignment="1">
      <alignment horizontal="left" vertical="center" wrapText="1"/>
    </xf>
    <xf numFmtId="49" fontId="5" fillId="0" borderId="11" xfId="0" applyNumberFormat="1" applyFont="1" applyFill="1" applyBorder="1" applyAlignment="1">
      <alignment horizontal="left" vertical="center" wrapText="1"/>
    </xf>
    <xf numFmtId="0" fontId="5" fillId="0" borderId="12" xfId="0" applyFont="1" applyBorder="1" applyAlignment="1">
      <alignment vertical="center" wrapText="1"/>
    </xf>
    <xf numFmtId="0" fontId="3" fillId="8" borderId="13" xfId="0" applyFont="1" applyFill="1" applyBorder="1" applyAlignment="1">
      <alignment horizontal="center" vertical="center" wrapText="1"/>
    </xf>
    <xf numFmtId="0" fontId="3" fillId="8" borderId="14" xfId="0" applyFont="1" applyFill="1" applyBorder="1" applyAlignment="1">
      <alignment vertical="center" wrapText="1"/>
    </xf>
    <xf numFmtId="0" fontId="5" fillId="0" borderId="14" xfId="0" applyFont="1" applyBorder="1" applyAlignment="1">
      <alignment vertical="center" wrapText="1"/>
    </xf>
    <xf numFmtId="0" fontId="5" fillId="0" borderId="15" xfId="0" applyFont="1" applyBorder="1" applyAlignment="1">
      <alignment vertical="center" wrapText="1"/>
    </xf>
    <xf numFmtId="0" fontId="3" fillId="8" borderId="16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3" fillId="13" borderId="16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vertical="center" wrapText="1"/>
    </xf>
    <xf numFmtId="0" fontId="3" fillId="6" borderId="16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vertical="center" wrapText="1"/>
    </xf>
    <xf numFmtId="0" fontId="5" fillId="0" borderId="1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3" fillId="13" borderId="7" xfId="0" applyFont="1" applyFill="1" applyBorder="1" applyAlignment="1">
      <alignment vertical="center" wrapText="1"/>
    </xf>
    <xf numFmtId="0" fontId="3" fillId="12" borderId="16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vertical="center" wrapText="1"/>
    </xf>
    <xf numFmtId="0" fontId="3" fillId="14" borderId="19" xfId="0" applyFont="1" applyFill="1" applyBorder="1" applyAlignment="1">
      <alignment horizontal="center" vertical="center" wrapText="1"/>
    </xf>
    <xf numFmtId="0" fontId="3" fillId="14" borderId="20" xfId="0" applyFont="1" applyFill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3" fillId="4" borderId="16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0" fontId="5" fillId="0" borderId="26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28" xfId="0" applyFont="1" applyBorder="1" applyAlignment="1">
      <alignment vertical="center" wrapText="1"/>
    </xf>
    <xf numFmtId="0" fontId="8" fillId="11" borderId="29" xfId="0" applyFont="1" applyFill="1" applyBorder="1" applyAlignment="1">
      <alignment horizontal="center" vertical="center" wrapText="1"/>
    </xf>
    <xf numFmtId="49" fontId="21" fillId="0" borderId="30" xfId="0" applyNumberFormat="1" applyFont="1" applyBorder="1" applyAlignment="1">
      <alignment horizontal="left" vertical="center" wrapText="1"/>
    </xf>
    <xf numFmtId="49" fontId="21" fillId="0" borderId="31" xfId="0" applyNumberFormat="1" applyFont="1" applyBorder="1" applyAlignment="1">
      <alignment horizontal="left" vertical="center" wrapText="1"/>
    </xf>
    <xf numFmtId="49" fontId="21" fillId="0" borderId="32" xfId="0" applyNumberFormat="1" applyFont="1" applyBorder="1" applyAlignment="1">
      <alignment horizontal="left" vertical="center" wrapText="1"/>
    </xf>
    <xf numFmtId="0" fontId="22" fillId="12" borderId="29" xfId="0" applyFont="1" applyFill="1" applyBorder="1" applyAlignment="1">
      <alignment horizontal="center" vertical="center" wrapText="1"/>
    </xf>
    <xf numFmtId="0" fontId="22" fillId="12" borderId="33" xfId="0" applyFont="1" applyFill="1" applyBorder="1" applyAlignment="1">
      <alignment horizontal="center" vertical="center" wrapText="1"/>
    </xf>
    <xf numFmtId="0" fontId="22" fillId="12" borderId="34" xfId="0" applyFont="1" applyFill="1" applyBorder="1" applyAlignment="1">
      <alignment horizontal="center" vertical="center" wrapText="1"/>
    </xf>
    <xf numFmtId="0" fontId="0" fillId="2" borderId="1" xfId="0" quotePrefix="1" applyNumberFormat="1" applyFill="1" applyBorder="1"/>
    <xf numFmtId="0" fontId="5" fillId="2" borderId="1" xfId="0" applyFont="1" applyFill="1" applyBorder="1" applyAlignment="1">
      <alignment horizontal="center" wrapText="1"/>
    </xf>
    <xf numFmtId="0" fontId="5" fillId="2" borderId="1" xfId="0" applyFont="1" applyFill="1" applyBorder="1" applyAlignment="1">
      <alignment wrapText="1"/>
    </xf>
    <xf numFmtId="0" fontId="5" fillId="2" borderId="17" xfId="0" applyFont="1" applyFill="1" applyBorder="1" applyAlignment="1">
      <alignment horizontal="center" wrapText="1"/>
    </xf>
    <xf numFmtId="0" fontId="3" fillId="8" borderId="7" xfId="0" applyFont="1" applyFill="1" applyBorder="1" applyAlignment="1">
      <alignment vertical="center"/>
    </xf>
    <xf numFmtId="0" fontId="5" fillId="8" borderId="1" xfId="0" applyFont="1" applyFill="1" applyBorder="1" applyAlignment="1" applyProtection="1">
      <alignment horizontal="left" vertical="center"/>
      <protection locked="0"/>
    </xf>
    <xf numFmtId="0" fontId="5" fillId="3" borderId="1" xfId="0" applyFont="1" applyFill="1" applyBorder="1" applyAlignment="1" applyProtection="1">
      <alignment horizontal="center"/>
      <protection locked="0"/>
    </xf>
    <xf numFmtId="0" fontId="10" fillId="15" borderId="0" xfId="0" applyFont="1" applyFill="1" applyBorder="1" applyAlignment="1">
      <alignment horizontal="left" vertical="center"/>
    </xf>
    <xf numFmtId="0" fontId="25" fillId="0" borderId="0" xfId="0" applyFont="1" applyAlignment="1">
      <alignment wrapText="1"/>
    </xf>
    <xf numFmtId="0" fontId="0" fillId="0" borderId="0" xfId="0" applyAlignment="1">
      <alignment vertical="center"/>
    </xf>
    <xf numFmtId="0" fontId="5" fillId="0" borderId="35" xfId="0" applyFont="1" applyBorder="1" applyAlignment="1">
      <alignment vertical="center" wrapText="1"/>
    </xf>
    <xf numFmtId="49" fontId="5" fillId="2" borderId="1" xfId="0" applyNumberFormat="1" applyFont="1" applyFill="1" applyBorder="1" applyAlignment="1">
      <alignment horizontal="center" wrapText="1"/>
    </xf>
    <xf numFmtId="49" fontId="5" fillId="2" borderId="1" xfId="0" applyNumberFormat="1" applyFont="1" applyFill="1" applyBorder="1" applyAlignment="1" applyProtection="1">
      <alignment horizontal="center" wrapText="1"/>
    </xf>
    <xf numFmtId="49" fontId="8" fillId="9" borderId="1" xfId="0" applyNumberFormat="1" applyFont="1" applyFill="1" applyBorder="1" applyAlignment="1">
      <alignment horizontal="center" vertical="center" wrapText="1"/>
    </xf>
    <xf numFmtId="49" fontId="8" fillId="9" borderId="7" xfId="0" applyNumberFormat="1" applyFont="1" applyFill="1" applyBorder="1" applyAlignment="1">
      <alignment horizontal="center" vertical="center" wrapText="1"/>
    </xf>
    <xf numFmtId="49" fontId="8" fillId="13" borderId="36" xfId="0" applyNumberFormat="1" applyFont="1" applyFill="1" applyBorder="1" applyAlignment="1">
      <alignment horizontal="center" vertical="center" wrapText="1"/>
    </xf>
    <xf numFmtId="49" fontId="8" fillId="13" borderId="2" xfId="0" applyNumberFormat="1" applyFont="1" applyFill="1" applyBorder="1" applyAlignment="1">
      <alignment horizontal="center" vertical="center" wrapText="1"/>
    </xf>
    <xf numFmtId="49" fontId="8" fillId="13" borderId="37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 vertical="center"/>
    </xf>
    <xf numFmtId="0" fontId="11" fillId="2" borderId="0" xfId="0" applyFont="1" applyFill="1" applyAlignment="1">
      <alignment horizontal="center"/>
    </xf>
    <xf numFmtId="0" fontId="12" fillId="2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49" fontId="5" fillId="3" borderId="1" xfId="0" applyNumberFormat="1" applyFont="1" applyFill="1" applyBorder="1" applyAlignment="1" applyProtection="1">
      <alignment horizontal="center"/>
      <protection locked="0"/>
    </xf>
    <xf numFmtId="49" fontId="8" fillId="11" borderId="36" xfId="0" applyNumberFormat="1" applyFont="1" applyFill="1" applyBorder="1" applyAlignment="1">
      <alignment horizontal="center" vertical="center" wrapText="1"/>
    </xf>
    <xf numFmtId="49" fontId="2" fillId="2" borderId="38" xfId="0" applyNumberFormat="1" applyFont="1" applyFill="1" applyBorder="1" applyAlignment="1">
      <alignment horizontal="center"/>
    </xf>
    <xf numFmtId="49" fontId="8" fillId="11" borderId="1" xfId="0" applyNumberFormat="1" applyFont="1" applyFill="1" applyBorder="1" applyAlignment="1">
      <alignment horizontal="center" vertical="center" wrapText="1"/>
    </xf>
    <xf numFmtId="0" fontId="18" fillId="2" borderId="7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5" fillId="13" borderId="1" xfId="0" applyFont="1" applyFill="1" applyBorder="1" applyAlignment="1" applyProtection="1">
      <alignment horizontal="center"/>
      <protection locked="0"/>
    </xf>
    <xf numFmtId="49" fontId="5" fillId="0" borderId="39" xfId="0" applyNumberFormat="1" applyFont="1" applyBorder="1" applyAlignment="1">
      <alignment horizontal="left" vertical="center" wrapText="1"/>
    </xf>
    <xf numFmtId="0" fontId="3" fillId="16" borderId="16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vertical="center" wrapText="1"/>
    </xf>
    <xf numFmtId="164" fontId="5" fillId="8" borderId="1" xfId="0" applyNumberFormat="1" applyFont="1" applyFill="1" applyBorder="1" applyAlignment="1" applyProtection="1">
      <alignment horizontal="left" vertical="center"/>
      <protection locked="0"/>
    </xf>
    <xf numFmtId="49" fontId="0" fillId="0" borderId="0" xfId="0" applyNumberFormat="1" applyFill="1" applyBorder="1" applyAlignment="1">
      <alignment horizontal="center" wrapText="1"/>
    </xf>
    <xf numFmtId="0" fontId="29" fillId="0" borderId="0" xfId="0" applyFont="1" applyFill="1" applyBorder="1"/>
    <xf numFmtId="0" fontId="2" fillId="0" borderId="0" xfId="0" applyFont="1"/>
    <xf numFmtId="0" fontId="21" fillId="0" borderId="40" xfId="0" applyFont="1" applyBorder="1" applyAlignment="1">
      <alignment vertical="center" wrapText="1"/>
    </xf>
    <xf numFmtId="0" fontId="30" fillId="0" borderId="16" xfId="0" applyFont="1" applyBorder="1" applyAlignment="1">
      <alignment vertical="center" wrapText="1"/>
    </xf>
    <xf numFmtId="0" fontId="30" fillId="0" borderId="41" xfId="0" applyFont="1" applyBorder="1" applyAlignment="1">
      <alignment vertical="center" wrapText="1"/>
    </xf>
    <xf numFmtId="49" fontId="5" fillId="0" borderId="39" xfId="0" applyNumberFormat="1" applyFont="1" applyFill="1" applyBorder="1" applyAlignment="1">
      <alignment horizontal="left" vertical="center" wrapText="1"/>
    </xf>
    <xf numFmtId="0" fontId="3" fillId="0" borderId="12" xfId="0" applyFont="1" applyFill="1" applyBorder="1" applyAlignment="1">
      <alignment vertical="center" wrapText="1"/>
    </xf>
    <xf numFmtId="0" fontId="5" fillId="0" borderId="23" xfId="0" applyFont="1" applyFill="1" applyBorder="1" applyAlignment="1">
      <alignment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8" fillId="2" borderId="34" xfId="0" applyFont="1" applyFill="1" applyBorder="1" applyAlignment="1">
      <alignment horizontal="center" vertical="center" wrapText="1"/>
    </xf>
    <xf numFmtId="0" fontId="22" fillId="2" borderId="29" xfId="0" applyFont="1" applyFill="1" applyBorder="1" applyAlignment="1">
      <alignment horizontal="center" vertical="center" wrapText="1"/>
    </xf>
    <xf numFmtId="0" fontId="22" fillId="2" borderId="33" xfId="0" applyFont="1" applyFill="1" applyBorder="1" applyAlignment="1">
      <alignment horizontal="center" vertical="center" wrapText="1"/>
    </xf>
    <xf numFmtId="49" fontId="5" fillId="0" borderId="35" xfId="0" applyNumberFormat="1" applyFont="1" applyFill="1" applyBorder="1" applyAlignment="1">
      <alignment horizontal="left" vertical="center" wrapText="1"/>
    </xf>
    <xf numFmtId="0" fontId="8" fillId="2" borderId="29" xfId="0" applyFont="1" applyFill="1" applyBorder="1" applyAlignment="1">
      <alignment horizontal="center" vertical="center" wrapText="1"/>
    </xf>
    <xf numFmtId="49" fontId="21" fillId="0" borderId="24" xfId="0" applyNumberFormat="1" applyFont="1" applyFill="1" applyBorder="1" applyAlignment="1">
      <alignment horizontal="left" vertical="center" wrapText="1"/>
    </xf>
    <xf numFmtId="0" fontId="22" fillId="2" borderId="9" xfId="0" applyFont="1" applyFill="1" applyBorder="1" applyAlignment="1">
      <alignment horizontal="center" vertical="center" wrapText="1"/>
    </xf>
    <xf numFmtId="0" fontId="8" fillId="2" borderId="42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0" borderId="35" xfId="0" applyFont="1" applyFill="1" applyBorder="1" applyAlignment="1">
      <alignment vertical="center" wrapText="1"/>
    </xf>
    <xf numFmtId="0" fontId="0" fillId="3" borderId="1" xfId="0" applyFill="1" applyBorder="1"/>
    <xf numFmtId="0" fontId="0" fillId="0" borderId="7" xfId="0" applyBorder="1"/>
    <xf numFmtId="0" fontId="0" fillId="17" borderId="0" xfId="0" applyFill="1"/>
    <xf numFmtId="0" fontId="0" fillId="18" borderId="0" xfId="0" applyFill="1"/>
    <xf numFmtId="0" fontId="0" fillId="6" borderId="0" xfId="0" applyFill="1"/>
    <xf numFmtId="0" fontId="1" fillId="4" borderId="0" xfId="0" applyFont="1" applyFill="1"/>
    <xf numFmtId="0" fontId="3" fillId="3" borderId="0" xfId="0" applyFont="1" applyFill="1"/>
    <xf numFmtId="0" fontId="0" fillId="12" borderId="0" xfId="0" applyFill="1"/>
    <xf numFmtId="0" fontId="0" fillId="4" borderId="0" xfId="0" applyFill="1"/>
    <xf numFmtId="49" fontId="2" fillId="0" borderId="43" xfId="0" applyNumberFormat="1" applyFont="1" applyFill="1" applyBorder="1" applyAlignment="1">
      <alignment horizontal="center"/>
    </xf>
    <xf numFmtId="0" fontId="11" fillId="19" borderId="6" xfId="0" applyFont="1" applyFill="1" applyBorder="1" applyAlignment="1">
      <alignment vertical="center"/>
    </xf>
    <xf numFmtId="0" fontId="32" fillId="19" borderId="1" xfId="0" applyFont="1" applyFill="1" applyBorder="1"/>
    <xf numFmtId="0" fontId="8" fillId="12" borderId="34" xfId="0" applyFont="1" applyFill="1" applyBorder="1" applyAlignment="1">
      <alignment horizontal="center" vertical="center" wrapText="1"/>
    </xf>
    <xf numFmtId="0" fontId="30" fillId="0" borderId="13" xfId="0" applyFont="1" applyBorder="1" applyAlignment="1">
      <alignment vertical="center" wrapText="1"/>
    </xf>
    <xf numFmtId="0" fontId="21" fillId="0" borderId="44" xfId="0" applyFont="1" applyFill="1" applyBorder="1" applyAlignment="1">
      <alignment wrapText="1"/>
    </xf>
    <xf numFmtId="0" fontId="21" fillId="0" borderId="40" xfId="0" applyFont="1" applyFill="1" applyBorder="1" applyAlignment="1">
      <alignment vertical="center" wrapText="1"/>
    </xf>
    <xf numFmtId="0" fontId="21" fillId="0" borderId="12" xfId="0" applyFont="1" applyFill="1" applyBorder="1" applyAlignment="1">
      <alignment vertical="center" wrapText="1"/>
    </xf>
    <xf numFmtId="0" fontId="21" fillId="0" borderId="44" xfId="0" applyFont="1" applyBorder="1" applyAlignment="1">
      <alignment vertical="center" wrapText="1"/>
    </xf>
    <xf numFmtId="49" fontId="5" fillId="0" borderId="45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46" xfId="0" applyNumberFormat="1" applyFont="1" applyFill="1" applyBorder="1" applyAlignment="1">
      <alignment vertical="center" wrapText="1"/>
    </xf>
    <xf numFmtId="49" fontId="5" fillId="0" borderId="36" xfId="0" applyNumberFormat="1" applyFont="1" applyFill="1" applyBorder="1" applyAlignment="1">
      <alignment vertical="center" wrapText="1"/>
    </xf>
    <xf numFmtId="49" fontId="5" fillId="0" borderId="6" xfId="0" applyNumberFormat="1" applyFont="1" applyFill="1" applyBorder="1" applyAlignment="1">
      <alignment vertical="center" wrapText="1"/>
    </xf>
    <xf numFmtId="49" fontId="5" fillId="0" borderId="14" xfId="0" applyNumberFormat="1" applyFont="1" applyFill="1" applyBorder="1" applyAlignment="1">
      <alignment horizontal="center" vertical="center" wrapText="1"/>
    </xf>
    <xf numFmtId="49" fontId="5" fillId="0" borderId="36" xfId="0" applyNumberFormat="1" applyFont="1" applyBorder="1" applyAlignment="1">
      <alignment vertical="center" wrapText="1"/>
    </xf>
    <xf numFmtId="49" fontId="5" fillId="0" borderId="5" xfId="0" applyNumberFormat="1" applyFont="1" applyFill="1" applyBorder="1" applyAlignment="1">
      <alignment vertical="center" wrapText="1"/>
    </xf>
    <xf numFmtId="49" fontId="5" fillId="0" borderId="6" xfId="0" applyNumberFormat="1" applyFont="1" applyBorder="1" applyAlignment="1">
      <alignment horizontal="center" vertical="center" wrapText="1"/>
    </xf>
    <xf numFmtId="49" fontId="5" fillId="0" borderId="47" xfId="0" applyNumberFormat="1" applyFont="1" applyFill="1" applyBorder="1" applyAlignment="1">
      <alignment horizontal="center" vertical="center" wrapText="1"/>
    </xf>
    <xf numFmtId="49" fontId="5" fillId="0" borderId="25" xfId="0" applyNumberFormat="1" applyFont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center" vertical="center"/>
    </xf>
    <xf numFmtId="49" fontId="5" fillId="0" borderId="2" xfId="0" applyNumberFormat="1" applyFont="1" applyFill="1" applyBorder="1" applyAlignment="1">
      <alignment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49" fontId="5" fillId="0" borderId="2" xfId="0" applyNumberFormat="1" applyFont="1" applyBorder="1" applyAlignment="1">
      <alignment horizontal="center" vertical="center" wrapText="1"/>
    </xf>
    <xf numFmtId="49" fontId="5" fillId="0" borderId="17" xfId="0" applyNumberFormat="1" applyFont="1" applyFill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wrapText="1"/>
    </xf>
    <xf numFmtId="49" fontId="5" fillId="0" borderId="1" xfId="0" applyNumberFormat="1" applyFont="1" applyBorder="1" applyAlignment="1">
      <alignment horizontal="center" vertical="center" wrapText="1"/>
    </xf>
    <xf numFmtId="49" fontId="5" fillId="0" borderId="4" xfId="0" applyNumberFormat="1" applyFont="1" applyFill="1" applyBorder="1" applyAlignment="1">
      <alignment vertical="center" wrapText="1"/>
    </xf>
    <xf numFmtId="49" fontId="5" fillId="0" borderId="1" xfId="0" applyNumberFormat="1" applyFont="1" applyBorder="1" applyAlignment="1">
      <alignment horizontal="left" vertical="center"/>
    </xf>
    <xf numFmtId="49" fontId="5" fillId="0" borderId="3" xfId="0" applyNumberFormat="1" applyFont="1" applyFill="1" applyBorder="1" applyAlignment="1">
      <alignment vertical="center" wrapText="1"/>
    </xf>
    <xf numFmtId="49" fontId="5" fillId="0" borderId="48" xfId="0" applyNumberFormat="1" applyFont="1" applyBorder="1" applyAlignment="1">
      <alignment vertical="center" wrapText="1"/>
    </xf>
    <xf numFmtId="49" fontId="5" fillId="0" borderId="7" xfId="0" applyNumberFormat="1" applyFont="1" applyBorder="1" applyAlignment="1">
      <alignment horizontal="center" vertical="center" wrapText="1"/>
    </xf>
    <xf numFmtId="49" fontId="5" fillId="0" borderId="39" xfId="0" applyNumberFormat="1" applyFont="1" applyBorder="1" applyAlignment="1">
      <alignment horizontal="center" vertical="center"/>
    </xf>
    <xf numFmtId="49" fontId="5" fillId="0" borderId="35" xfId="0" applyNumberFormat="1" applyFont="1" applyBorder="1" applyAlignment="1">
      <alignment horizontal="center" vertical="center"/>
    </xf>
    <xf numFmtId="49" fontId="5" fillId="0" borderId="35" xfId="0" applyNumberFormat="1" applyFont="1" applyBorder="1" applyAlignment="1">
      <alignment horizontal="left" vertical="center"/>
    </xf>
    <xf numFmtId="49" fontId="5" fillId="0" borderId="49" xfId="0" applyNumberFormat="1" applyFont="1" applyFill="1" applyBorder="1" applyAlignment="1">
      <alignment vertical="center" wrapText="1"/>
    </xf>
    <xf numFmtId="49" fontId="5" fillId="0" borderId="11" xfId="0" applyNumberFormat="1" applyFont="1" applyFill="1" applyBorder="1" applyAlignment="1">
      <alignment vertical="center" wrapText="1"/>
    </xf>
    <xf numFmtId="49" fontId="5" fillId="0" borderId="35" xfId="0" applyNumberFormat="1" applyFont="1" applyFill="1" applyBorder="1" applyAlignment="1">
      <alignment horizontal="center" vertical="center" wrapText="1"/>
    </xf>
    <xf numFmtId="49" fontId="5" fillId="0" borderId="50" xfId="0" applyNumberFormat="1" applyFont="1" applyFill="1" applyBorder="1" applyAlignment="1">
      <alignment vertical="center" wrapText="1"/>
    </xf>
    <xf numFmtId="49" fontId="5" fillId="0" borderId="49" xfId="0" applyNumberFormat="1" applyFont="1" applyBorder="1" applyAlignment="1">
      <alignment vertical="center" wrapText="1"/>
    </xf>
    <xf numFmtId="49" fontId="5" fillId="0" borderId="11" xfId="0" applyNumberFormat="1" applyFont="1" applyBorder="1" applyAlignment="1">
      <alignment horizontal="center" vertical="center" wrapText="1"/>
    </xf>
    <xf numFmtId="49" fontId="5" fillId="0" borderId="35" xfId="0" applyNumberFormat="1" applyFont="1" applyBorder="1" applyAlignment="1">
      <alignment horizontal="center" vertical="center" wrapText="1"/>
    </xf>
    <xf numFmtId="49" fontId="5" fillId="0" borderId="10" xfId="0" applyNumberFormat="1" applyFont="1" applyBorder="1" applyAlignment="1">
      <alignment horizontal="center" vertical="center" wrapText="1"/>
    </xf>
    <xf numFmtId="49" fontId="1" fillId="0" borderId="11" xfId="0" applyNumberFormat="1" applyFont="1" applyBorder="1" applyAlignment="1">
      <alignment horizontal="center" vertical="center"/>
    </xf>
    <xf numFmtId="0" fontId="8" fillId="12" borderId="33" xfId="0" applyFont="1" applyFill="1" applyBorder="1" applyAlignment="1">
      <alignment horizontal="center" vertical="center" wrapText="1"/>
    </xf>
    <xf numFmtId="0" fontId="8" fillId="12" borderId="42" xfId="0" applyFont="1" applyFill="1" applyBorder="1" applyAlignment="1">
      <alignment horizontal="center" vertical="center" wrapText="1"/>
    </xf>
    <xf numFmtId="49" fontId="3" fillId="0" borderId="39" xfId="0" applyNumberFormat="1" applyFont="1" applyBorder="1" applyAlignment="1">
      <alignment horizontal="left" vertical="center" wrapText="1"/>
    </xf>
    <xf numFmtId="49" fontId="3" fillId="0" borderId="51" xfId="0" applyNumberFormat="1" applyFont="1" applyFill="1" applyBorder="1" applyAlignment="1">
      <alignment horizontal="left" vertical="center" wrapText="1"/>
    </xf>
    <xf numFmtId="0" fontId="3" fillId="0" borderId="10" xfId="0" applyFont="1" applyFill="1" applyBorder="1" applyAlignment="1">
      <alignment vertical="center" wrapText="1"/>
    </xf>
    <xf numFmtId="0" fontId="3" fillId="0" borderId="52" xfId="0" applyFont="1" applyFill="1" applyBorder="1" applyAlignment="1">
      <alignment vertical="center" wrapText="1"/>
    </xf>
    <xf numFmtId="0" fontId="31" fillId="0" borderId="14" xfId="0" applyFont="1" applyBorder="1" applyAlignment="1">
      <alignment vertical="center" wrapText="1"/>
    </xf>
    <xf numFmtId="0" fontId="31" fillId="0" borderId="15" xfId="0" applyFont="1" applyBorder="1" applyAlignment="1">
      <alignment vertical="center" wrapText="1"/>
    </xf>
    <xf numFmtId="0" fontId="31" fillId="0" borderId="35" xfId="0" applyFont="1" applyBorder="1" applyAlignment="1">
      <alignment vertical="center" wrapText="1"/>
    </xf>
    <xf numFmtId="0" fontId="3" fillId="11" borderId="10" xfId="0" applyFont="1" applyFill="1" applyBorder="1" applyAlignment="1">
      <alignment horizontal="center" vertical="center" wrapText="1"/>
    </xf>
    <xf numFmtId="0" fontId="3" fillId="11" borderId="35" xfId="0" applyFont="1" applyFill="1" applyBorder="1" applyAlignment="1">
      <alignment horizontal="center" vertical="center" wrapText="1"/>
    </xf>
    <xf numFmtId="0" fontId="3" fillId="11" borderId="52" xfId="0" applyFont="1" applyFill="1" applyBorder="1" applyAlignment="1">
      <alignment horizontal="center" vertical="center" wrapText="1"/>
    </xf>
    <xf numFmtId="0" fontId="3" fillId="13" borderId="13" xfId="0" applyFont="1" applyFill="1" applyBorder="1" applyAlignment="1">
      <alignment horizontal="center" vertical="center" wrapText="1"/>
    </xf>
    <xf numFmtId="0" fontId="3" fillId="13" borderId="14" xfId="0" applyFont="1" applyFill="1" applyBorder="1" applyAlignment="1">
      <alignment vertical="center" wrapText="1"/>
    </xf>
    <xf numFmtId="0" fontId="3" fillId="16" borderId="13" xfId="0" applyFont="1" applyFill="1" applyBorder="1" applyAlignment="1">
      <alignment horizontal="center" vertical="center" wrapText="1"/>
    </xf>
    <xf numFmtId="0" fontId="3" fillId="16" borderId="14" xfId="0" applyFont="1" applyFill="1" applyBorder="1" applyAlignment="1">
      <alignment vertical="center" wrapText="1"/>
    </xf>
    <xf numFmtId="0" fontId="3" fillId="8" borderId="19" xfId="0" applyFont="1" applyFill="1" applyBorder="1" applyAlignment="1">
      <alignment horizontal="center" vertical="center" wrapText="1"/>
    </xf>
    <xf numFmtId="0" fontId="3" fillId="8" borderId="20" xfId="0" applyFont="1" applyFill="1" applyBorder="1" applyAlignment="1">
      <alignment vertical="center" wrapText="1"/>
    </xf>
    <xf numFmtId="49" fontId="9" fillId="11" borderId="4" xfId="0" applyNumberFormat="1" applyFont="1" applyFill="1" applyBorder="1" applyAlignment="1">
      <alignment horizontal="center" vertical="center" wrapText="1"/>
    </xf>
    <xf numFmtId="49" fontId="5" fillId="0" borderId="51" xfId="0" applyNumberFormat="1" applyFont="1" applyFill="1" applyBorder="1" applyAlignment="1">
      <alignment horizontal="left" vertical="center" wrapText="1"/>
    </xf>
    <xf numFmtId="49" fontId="40" fillId="0" borderId="0" xfId="0" applyNumberFormat="1" applyFont="1" applyFill="1" applyBorder="1" applyAlignment="1">
      <alignment horizontal="left" wrapText="1"/>
    </xf>
    <xf numFmtId="49" fontId="8" fillId="9" borderId="16" xfId="0" applyNumberFormat="1" applyFont="1" applyFill="1" applyBorder="1" applyAlignment="1">
      <alignment horizontal="center" vertical="center" wrapText="1"/>
    </xf>
    <xf numFmtId="49" fontId="0" fillId="2" borderId="1" xfId="0" applyNumberFormat="1" applyFill="1" applyBorder="1"/>
    <xf numFmtId="0" fontId="41" fillId="10" borderId="7" xfId="0" applyFont="1" applyFill="1" applyBorder="1" applyAlignment="1"/>
    <xf numFmtId="0" fontId="42" fillId="3" borderId="1" xfId="0" applyFont="1" applyFill="1" applyBorder="1" applyAlignment="1" applyProtection="1">
      <alignment horizontal="center"/>
      <protection locked="0"/>
    </xf>
    <xf numFmtId="0" fontId="42" fillId="3" borderId="0" xfId="0" applyFont="1" applyFill="1" applyAlignment="1"/>
    <xf numFmtId="0" fontId="3" fillId="11" borderId="10" xfId="0" applyFont="1" applyFill="1" applyBorder="1" applyAlignment="1">
      <alignment vertical="center" wrapText="1"/>
    </xf>
    <xf numFmtId="0" fontId="3" fillId="11" borderId="53" xfId="0" applyFont="1" applyFill="1" applyBorder="1" applyAlignment="1">
      <alignment vertical="center" wrapText="1"/>
    </xf>
    <xf numFmtId="0" fontId="3" fillId="11" borderId="52" xfId="0" applyFont="1" applyFill="1" applyBorder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49" fontId="3" fillId="0" borderId="11" xfId="0" applyNumberFormat="1" applyFont="1" applyFill="1" applyBorder="1" applyAlignment="1">
      <alignment horizontal="left" vertical="center" wrapText="1"/>
    </xf>
    <xf numFmtId="49" fontId="0" fillId="0" borderId="0" xfId="0" applyNumberFormat="1"/>
    <xf numFmtId="49" fontId="19" fillId="0" borderId="38" xfId="0" applyNumberFormat="1" applyFont="1" applyFill="1" applyBorder="1" applyAlignment="1">
      <alignment horizontal="center"/>
    </xf>
    <xf numFmtId="49" fontId="35" fillId="2" borderId="54" xfId="0" applyNumberFormat="1" applyFont="1" applyFill="1" applyBorder="1" applyAlignment="1">
      <alignment horizontal="center"/>
    </xf>
    <xf numFmtId="49" fontId="8" fillId="20" borderId="40" xfId="0" applyNumberFormat="1" applyFont="1" applyFill="1" applyBorder="1" applyAlignment="1">
      <alignment horizontal="center" vertical="center" wrapText="1"/>
    </xf>
    <xf numFmtId="49" fontId="8" fillId="13" borderId="4" xfId="0" applyNumberFormat="1" applyFont="1" applyFill="1" applyBorder="1" applyAlignment="1">
      <alignment horizontal="center" vertical="center" wrapText="1"/>
    </xf>
    <xf numFmtId="49" fontId="8" fillId="11" borderId="2" xfId="0" applyNumberFormat="1" applyFont="1" applyFill="1" applyBorder="1" applyAlignment="1">
      <alignment horizontal="center" vertical="center" wrapText="1"/>
    </xf>
    <xf numFmtId="49" fontId="8" fillId="20" borderId="1" xfId="0" applyNumberFormat="1" applyFont="1" applyFill="1" applyBorder="1" applyAlignment="1">
      <alignment horizontal="center" vertical="center" wrapText="1"/>
    </xf>
    <xf numFmtId="0" fontId="8" fillId="11" borderId="1" xfId="0" applyNumberFormat="1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top" wrapText="1"/>
    </xf>
    <xf numFmtId="49" fontId="3" fillId="2" borderId="1" xfId="0" applyNumberFormat="1" applyFont="1" applyFill="1" applyBorder="1" applyAlignment="1">
      <alignment horizontal="left" vertical="top" wrapText="1"/>
    </xf>
    <xf numFmtId="0" fontId="3" fillId="2" borderId="1" xfId="0" applyNumberFormat="1" applyFont="1" applyFill="1" applyBorder="1" applyAlignment="1">
      <alignment horizontal="left" vertical="top" wrapText="1"/>
    </xf>
    <xf numFmtId="49" fontId="0" fillId="0" borderId="0" xfId="0" applyNumberFormat="1" applyAlignment="1">
      <alignment vertical="top"/>
    </xf>
    <xf numFmtId="49" fontId="0" fillId="0" borderId="0" xfId="0" applyNumberFormat="1" applyAlignment="1">
      <alignment horizontal="center" vertical="top"/>
    </xf>
    <xf numFmtId="0" fontId="0" fillId="0" borderId="0" xfId="0" applyNumberFormat="1" applyAlignment="1">
      <alignment vertical="top"/>
    </xf>
    <xf numFmtId="0" fontId="8" fillId="11" borderId="55" xfId="0" applyFont="1" applyFill="1" applyBorder="1" applyAlignment="1">
      <alignment horizontal="center" vertical="center" wrapText="1"/>
    </xf>
    <xf numFmtId="0" fontId="8" fillId="12" borderId="55" xfId="0" applyFont="1" applyFill="1" applyBorder="1" applyAlignment="1">
      <alignment horizontal="center" vertical="center" wrapText="1"/>
    </xf>
    <xf numFmtId="0" fontId="8" fillId="12" borderId="56" xfId="0" applyFont="1" applyFill="1" applyBorder="1" applyAlignment="1">
      <alignment horizontal="center" vertical="center" wrapText="1"/>
    </xf>
    <xf numFmtId="49" fontId="5" fillId="0" borderId="57" xfId="0" applyNumberFormat="1" applyFont="1" applyBorder="1" applyAlignment="1">
      <alignment horizontal="left" vertical="center" wrapText="1"/>
    </xf>
    <xf numFmtId="49" fontId="5" fillId="0" borderId="43" xfId="0" applyNumberFormat="1" applyFont="1" applyFill="1" applyBorder="1" applyAlignment="1">
      <alignment horizontal="left" vertical="center" wrapText="1"/>
    </xf>
    <xf numFmtId="0" fontId="5" fillId="0" borderId="58" xfId="0" applyFont="1" applyBorder="1" applyAlignment="1">
      <alignment vertical="center" wrapText="1"/>
    </xf>
    <xf numFmtId="0" fontId="0" fillId="0" borderId="0" xfId="0" applyNumberFormat="1"/>
    <xf numFmtId="49" fontId="5" fillId="0" borderId="37" xfId="0" applyNumberFormat="1" applyFont="1" applyBorder="1" applyAlignment="1">
      <alignment vertical="center"/>
    </xf>
    <xf numFmtId="49" fontId="1" fillId="0" borderId="1" xfId="0" applyNumberFormat="1" applyFont="1" applyFill="1" applyBorder="1" applyAlignment="1">
      <alignment vertical="center" wrapText="1"/>
    </xf>
    <xf numFmtId="49" fontId="2" fillId="2" borderId="38" xfId="0" applyNumberFormat="1" applyFont="1" applyFill="1" applyBorder="1" applyAlignment="1">
      <alignment wrapText="1"/>
    </xf>
    <xf numFmtId="49" fontId="5" fillId="0" borderId="59" xfId="0" applyNumberFormat="1" applyFont="1" applyBorder="1" applyAlignment="1">
      <alignment vertical="center"/>
    </xf>
    <xf numFmtId="49" fontId="1" fillId="0" borderId="14" xfId="0" applyNumberFormat="1" applyFont="1" applyFill="1" applyBorder="1" applyAlignment="1">
      <alignment vertical="center" wrapText="1"/>
    </xf>
    <xf numFmtId="49" fontId="5" fillId="0" borderId="60" xfId="0" applyNumberFormat="1" applyFont="1" applyBorder="1" applyAlignment="1">
      <alignment vertical="center"/>
    </xf>
    <xf numFmtId="49" fontId="1" fillId="0" borderId="35" xfId="0" applyNumberFormat="1" applyFont="1" applyFill="1" applyBorder="1" applyAlignment="1">
      <alignment vertical="center" wrapText="1"/>
    </xf>
    <xf numFmtId="0" fontId="8" fillId="20" borderId="1" xfId="0" applyNumberFormat="1" applyFont="1" applyFill="1" applyBorder="1" applyAlignment="1">
      <alignment horizontal="center" vertical="center" wrapText="1"/>
    </xf>
    <xf numFmtId="0" fontId="5" fillId="0" borderId="44" xfId="0" applyNumberFormat="1" applyFont="1" applyBorder="1" applyAlignment="1">
      <alignment horizontal="center" vertical="center" wrapText="1"/>
    </xf>
    <xf numFmtId="0" fontId="5" fillId="0" borderId="12" xfId="0" applyNumberFormat="1" applyFont="1" applyBorder="1" applyAlignment="1">
      <alignment horizontal="center" vertical="center" wrapText="1"/>
    </xf>
    <xf numFmtId="0" fontId="5" fillId="0" borderId="0" xfId="0" applyFont="1"/>
    <xf numFmtId="0" fontId="3" fillId="12" borderId="58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49" fontId="5" fillId="0" borderId="14" xfId="0" applyNumberFormat="1" applyFont="1" applyBorder="1" applyAlignment="1">
      <alignment horizontal="center" vertical="center"/>
    </xf>
    <xf numFmtId="0" fontId="3" fillId="11" borderId="6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56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vertical="center" wrapText="1"/>
    </xf>
    <xf numFmtId="164" fontId="48" fillId="16" borderId="4" xfId="0" applyNumberFormat="1" applyFont="1" applyFill="1" applyBorder="1" applyAlignment="1">
      <alignment horizontal="center" vertical="center"/>
    </xf>
    <xf numFmtId="0" fontId="48" fillId="16" borderId="4" xfId="0" applyFont="1" applyFill="1" applyBorder="1" applyAlignment="1">
      <alignment vertical="center"/>
    </xf>
    <xf numFmtId="49" fontId="43" fillId="0" borderId="0" xfId="0" applyNumberFormat="1" applyFont="1" applyAlignment="1">
      <alignment horizontal="center" wrapText="1"/>
    </xf>
    <xf numFmtId="49" fontId="33" fillId="0" borderId="0" xfId="0" applyNumberFormat="1" applyFont="1" applyAlignment="1">
      <alignment horizontal="left" wrapText="1"/>
    </xf>
    <xf numFmtId="0" fontId="7" fillId="0" borderId="0" xfId="0" applyFont="1"/>
    <xf numFmtId="0" fontId="43" fillId="0" borderId="0" xfId="0" applyFont="1"/>
    <xf numFmtId="0" fontId="30" fillId="0" borderId="62" xfId="0" applyFont="1" applyBorder="1" applyAlignment="1">
      <alignment vertical="center"/>
    </xf>
    <xf numFmtId="0" fontId="21" fillId="0" borderId="62" xfId="0" applyFont="1" applyBorder="1" applyAlignment="1">
      <alignment vertical="center" wrapText="1"/>
    </xf>
    <xf numFmtId="0" fontId="24" fillId="0" borderId="0" xfId="0" applyFont="1" applyAlignment="1">
      <alignment horizontal="left" vertical="center"/>
    </xf>
    <xf numFmtId="0" fontId="23" fillId="0" borderId="23" xfId="0" applyFont="1" applyBorder="1" applyAlignment="1">
      <alignment wrapText="1"/>
    </xf>
    <xf numFmtId="0" fontId="0" fillId="0" borderId="23" xfId="0" applyBorder="1" applyAlignment="1">
      <alignment wrapText="1"/>
    </xf>
    <xf numFmtId="0" fontId="2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49" fillId="2" borderId="63" xfId="0" applyFont="1" applyFill="1" applyBorder="1" applyAlignment="1">
      <alignment horizontal="center" vertical="center" wrapText="1"/>
    </xf>
    <xf numFmtId="0" fontId="49" fillId="2" borderId="64" xfId="0" applyFont="1" applyFill="1" applyBorder="1" applyAlignment="1">
      <alignment horizontal="center" vertical="center" wrapText="1"/>
    </xf>
    <xf numFmtId="0" fontId="46" fillId="0" borderId="65" xfId="0" applyFont="1" applyBorder="1" applyAlignment="1">
      <alignment horizontal="center" vertical="center" wrapText="1"/>
    </xf>
    <xf numFmtId="0" fontId="50" fillId="0" borderId="63" xfId="0" applyFont="1" applyBorder="1" applyAlignment="1">
      <alignment horizontal="center" vertical="center" wrapText="1"/>
    </xf>
    <xf numFmtId="0" fontId="49" fillId="2" borderId="65" xfId="0" applyFont="1" applyFill="1" applyBorder="1" applyAlignment="1">
      <alignment horizontal="center" vertical="center" wrapText="1"/>
    </xf>
    <xf numFmtId="0" fontId="46" fillId="0" borderId="66" xfId="0" applyFont="1" applyBorder="1" applyAlignment="1">
      <alignment horizontal="center" vertical="center" wrapText="1"/>
    </xf>
    <xf numFmtId="0" fontId="49" fillId="5" borderId="63" xfId="0" applyFont="1" applyFill="1" applyBorder="1" applyAlignment="1">
      <alignment horizontal="center" vertical="center" wrapText="1"/>
    </xf>
    <xf numFmtId="0" fontId="49" fillId="5" borderId="64" xfId="0" applyFont="1" applyFill="1" applyBorder="1" applyAlignment="1">
      <alignment horizontal="center" vertical="center" wrapText="1"/>
    </xf>
    <xf numFmtId="0" fontId="46" fillId="5" borderId="65" xfId="0" applyFont="1" applyFill="1" applyBorder="1" applyAlignment="1">
      <alignment horizontal="center" vertical="center" wrapText="1"/>
    </xf>
    <xf numFmtId="0" fontId="49" fillId="5" borderId="65" xfId="0" applyFont="1" applyFill="1" applyBorder="1" applyAlignment="1">
      <alignment horizontal="center" vertical="center" wrapText="1"/>
    </xf>
    <xf numFmtId="0" fontId="46" fillId="5" borderId="66" xfId="0" applyFont="1" applyFill="1" applyBorder="1" applyAlignment="1">
      <alignment horizontal="center" vertical="center" wrapText="1"/>
    </xf>
    <xf numFmtId="1" fontId="51" fillId="0" borderId="63" xfId="0" applyNumberFormat="1" applyFont="1" applyBorder="1" applyAlignment="1" applyProtection="1">
      <alignment horizontal="center" vertical="center" wrapText="1"/>
      <protection hidden="1"/>
    </xf>
    <xf numFmtId="49" fontId="5" fillId="0" borderId="0" xfId="0" applyNumberFormat="1" applyFont="1" applyBorder="1" applyAlignment="1">
      <alignment vertical="center" wrapText="1"/>
    </xf>
    <xf numFmtId="49" fontId="0" fillId="0" borderId="0" xfId="0" applyNumberFormat="1" applyBorder="1" applyAlignment="1">
      <alignment vertical="center" wrapText="1"/>
    </xf>
    <xf numFmtId="49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vertical="center" wrapText="1"/>
    </xf>
    <xf numFmtId="49" fontId="8" fillId="11" borderId="41" xfId="0" applyNumberFormat="1" applyFont="1" applyFill="1" applyBorder="1" applyAlignment="1">
      <alignment horizontal="center" vertical="center" wrapText="1"/>
    </xf>
    <xf numFmtId="49" fontId="8" fillId="11" borderId="35" xfId="0" applyNumberFormat="1" applyFont="1" applyFill="1" applyBorder="1" applyAlignment="1">
      <alignment horizontal="center" vertical="center" wrapText="1"/>
    </xf>
    <xf numFmtId="49" fontId="8" fillId="11" borderId="12" xfId="0" applyNumberFormat="1" applyFont="1" applyFill="1" applyBorder="1" applyAlignment="1">
      <alignment horizontal="center" vertical="center" wrapText="1"/>
    </xf>
    <xf numFmtId="49" fontId="57" fillId="11" borderId="67" xfId="0" applyNumberFormat="1" applyFont="1" applyFill="1" applyBorder="1" applyAlignment="1">
      <alignment horizontal="center" vertical="center" wrapText="1"/>
    </xf>
    <xf numFmtId="49" fontId="57" fillId="11" borderId="47" xfId="0" applyNumberFormat="1" applyFont="1" applyFill="1" applyBorder="1" applyAlignment="1">
      <alignment horizontal="center" vertical="center" wrapText="1"/>
    </xf>
    <xf numFmtId="0" fontId="57" fillId="20" borderId="68" xfId="0" applyNumberFormat="1" applyFont="1" applyFill="1" applyBorder="1" applyAlignment="1">
      <alignment horizontal="center" vertical="center" wrapText="1"/>
    </xf>
    <xf numFmtId="49" fontId="58" fillId="0" borderId="0" xfId="0" applyNumberFormat="1" applyFont="1" applyAlignment="1">
      <alignment horizontal="center" vertical="center"/>
    </xf>
    <xf numFmtId="0" fontId="58" fillId="0" borderId="0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58" fillId="0" borderId="0" xfId="0" applyNumberFormat="1" applyFont="1" applyBorder="1" applyAlignment="1">
      <alignment horizontal="center" vertical="center"/>
    </xf>
    <xf numFmtId="49" fontId="58" fillId="0" borderId="0" xfId="0" applyNumberFormat="1" applyFont="1" applyBorder="1" applyAlignment="1">
      <alignment horizontal="center" vertical="center"/>
    </xf>
    <xf numFmtId="0" fontId="59" fillId="2" borderId="69" xfId="0" applyNumberFormat="1" applyFont="1" applyFill="1" applyBorder="1" applyAlignment="1">
      <alignment horizontal="center" vertical="center"/>
    </xf>
    <xf numFmtId="49" fontId="57" fillId="2" borderId="69" xfId="0" applyNumberFormat="1" applyFont="1" applyFill="1" applyBorder="1" applyAlignment="1">
      <alignment horizontal="center" vertical="center"/>
    </xf>
    <xf numFmtId="0" fontId="8" fillId="11" borderId="70" xfId="0" applyNumberFormat="1" applyFont="1" applyFill="1" applyBorder="1" applyAlignment="1">
      <alignment horizontal="center" vertical="center" wrapText="1"/>
    </xf>
    <xf numFmtId="49" fontId="8" fillId="12" borderId="70" xfId="0" applyNumberFormat="1" applyFont="1" applyFill="1" applyBorder="1" applyAlignment="1">
      <alignment horizontal="center" vertical="center" wrapText="1"/>
    </xf>
    <xf numFmtId="0" fontId="8" fillId="12" borderId="70" xfId="0" applyFont="1" applyFill="1" applyBorder="1" applyAlignment="1">
      <alignment horizontal="center" vertical="center" wrapText="1"/>
    </xf>
    <xf numFmtId="0" fontId="5" fillId="11" borderId="70" xfId="0" applyNumberFormat="1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0" fontId="58" fillId="0" borderId="0" xfId="0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14" fontId="58" fillId="0" borderId="0" xfId="0" applyNumberFormat="1" applyFont="1" applyAlignment="1">
      <alignment horizontal="center" vertical="center"/>
    </xf>
    <xf numFmtId="49" fontId="57" fillId="9" borderId="71" xfId="0" applyNumberFormat="1" applyFont="1" applyFill="1" applyBorder="1" applyAlignment="1">
      <alignment horizontal="center" vertical="center" wrapText="1"/>
    </xf>
    <xf numFmtId="49" fontId="57" fillId="9" borderId="72" xfId="0" applyNumberFormat="1" applyFont="1" applyFill="1" applyBorder="1" applyAlignment="1">
      <alignment horizontal="center" vertical="center" wrapText="1"/>
    </xf>
    <xf numFmtId="49" fontId="57" fillId="13" borderId="72" xfId="0" applyNumberFormat="1" applyFont="1" applyFill="1" applyBorder="1" applyAlignment="1">
      <alignment horizontal="center" vertical="center" wrapText="1"/>
    </xf>
    <xf numFmtId="49" fontId="57" fillId="20" borderId="72" xfId="0" applyNumberFormat="1" applyFont="1" applyFill="1" applyBorder="1" applyAlignment="1">
      <alignment horizontal="center" vertical="center" wrapText="1"/>
    </xf>
    <xf numFmtId="0" fontId="57" fillId="11" borderId="72" xfId="0" applyNumberFormat="1" applyFont="1" applyFill="1" applyBorder="1" applyAlignment="1">
      <alignment horizontal="center" vertical="center" wrapText="1"/>
    </xf>
    <xf numFmtId="49" fontId="57" fillId="11" borderId="72" xfId="0" applyNumberFormat="1" applyFont="1" applyFill="1" applyBorder="1" applyAlignment="1">
      <alignment horizontal="center" vertical="center" wrapText="1"/>
    </xf>
    <xf numFmtId="49" fontId="57" fillId="11" borderId="73" xfId="0" applyNumberFormat="1" applyFont="1" applyFill="1" applyBorder="1" applyAlignment="1">
      <alignment horizontal="center" vertical="center" wrapText="1"/>
    </xf>
    <xf numFmtId="0" fontId="60" fillId="0" borderId="69" xfId="0" applyNumberFormat="1" applyFont="1" applyFill="1" applyBorder="1" applyAlignment="1">
      <alignment horizontal="center" vertical="center" wrapText="1" shrinkToFit="1"/>
    </xf>
    <xf numFmtId="0" fontId="60" fillId="0" borderId="69" xfId="0" applyNumberFormat="1" applyFont="1" applyFill="1" applyBorder="1" applyAlignment="1">
      <alignment horizontal="center" vertical="center" wrapText="1"/>
    </xf>
    <xf numFmtId="0" fontId="5" fillId="11" borderId="74" xfId="0" applyNumberFormat="1" applyFont="1" applyFill="1" applyBorder="1" applyAlignment="1">
      <alignment horizontal="center" vertical="center" wrapText="1"/>
    </xf>
    <xf numFmtId="49" fontId="5" fillId="11" borderId="74" xfId="0" applyNumberFormat="1" applyFont="1" applyFill="1" applyBorder="1" applyAlignment="1">
      <alignment horizontal="center" vertical="center" wrapText="1"/>
    </xf>
    <xf numFmtId="49" fontId="3" fillId="12" borderId="29" xfId="0" applyNumberFormat="1" applyFont="1" applyFill="1" applyBorder="1" applyAlignment="1">
      <alignment horizontal="center" vertical="center" wrapText="1"/>
    </xf>
    <xf numFmtId="0" fontId="3" fillId="12" borderId="33" xfId="0" applyFont="1" applyFill="1" applyBorder="1" applyAlignment="1">
      <alignment horizontal="center" vertical="center" wrapText="1"/>
    </xf>
    <xf numFmtId="0" fontId="3" fillId="12" borderId="34" xfId="0" applyFont="1" applyFill="1" applyBorder="1" applyAlignment="1">
      <alignment horizontal="center" vertical="center" wrapText="1"/>
    </xf>
    <xf numFmtId="49" fontId="3" fillId="21" borderId="16" xfId="0" applyNumberFormat="1" applyFont="1" applyFill="1" applyBorder="1" applyAlignment="1">
      <alignment horizontal="center" vertical="center" wrapText="1"/>
    </xf>
    <xf numFmtId="0" fontId="3" fillId="14" borderId="41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3" fillId="21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61" fillId="0" borderId="17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3" fillId="14" borderId="35" xfId="0" applyFont="1" applyFill="1" applyBorder="1" applyAlignment="1">
      <alignment horizontal="center" vertical="center" wrapText="1"/>
    </xf>
    <xf numFmtId="0" fontId="5" fillId="0" borderId="35" xfId="0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/>
    </xf>
    <xf numFmtId="0" fontId="3" fillId="6" borderId="16" xfId="0" applyNumberFormat="1" applyFont="1" applyFill="1" applyBorder="1" applyAlignment="1">
      <alignment horizontal="center" vertical="center" wrapText="1"/>
    </xf>
    <xf numFmtId="0" fontId="3" fillId="13" borderId="2" xfId="0" applyNumberFormat="1" applyFont="1" applyFill="1" applyBorder="1" applyAlignment="1">
      <alignment horizontal="center" vertical="center" wrapText="1"/>
    </xf>
    <xf numFmtId="0" fontId="63" fillId="0" borderId="17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0" borderId="7" xfId="0" applyFont="1" applyBorder="1" applyAlignment="1">
      <alignment horizontal="center" vertical="center" wrapText="1"/>
    </xf>
    <xf numFmtId="49" fontId="58" fillId="0" borderId="93" xfId="0" applyNumberFormat="1" applyFont="1" applyBorder="1" applyAlignment="1">
      <alignment horizontal="center" vertical="center"/>
    </xf>
    <xf numFmtId="49" fontId="58" fillId="0" borderId="94" xfId="0" applyNumberFormat="1" applyFont="1" applyBorder="1" applyAlignment="1">
      <alignment horizontal="center" vertical="center"/>
    </xf>
    <xf numFmtId="1" fontId="58" fillId="0" borderId="94" xfId="0" applyNumberFormat="1" applyFont="1" applyBorder="1" applyAlignment="1">
      <alignment horizontal="center" vertical="center"/>
    </xf>
    <xf numFmtId="0" fontId="58" fillId="0" borderId="94" xfId="0" applyFont="1" applyBorder="1" applyAlignment="1">
      <alignment horizontal="center" vertical="center" wrapText="1"/>
    </xf>
    <xf numFmtId="49" fontId="58" fillId="22" borderId="94" xfId="0" applyNumberFormat="1" applyFont="1" applyFill="1" applyBorder="1" applyAlignment="1">
      <alignment horizontal="center" vertical="center" wrapText="1"/>
    </xf>
    <xf numFmtId="0" fontId="62" fillId="0" borderId="94" xfId="3" applyFont="1" applyBorder="1" applyAlignment="1">
      <alignment horizontal="center" vertical="center" wrapText="1"/>
    </xf>
    <xf numFmtId="0" fontId="58" fillId="0" borderId="94" xfId="0" applyNumberFormat="1" applyFont="1" applyBorder="1" applyAlignment="1">
      <alignment horizontal="center" vertical="center" wrapText="1"/>
    </xf>
    <xf numFmtId="49" fontId="58" fillId="0" borderId="94" xfId="0" applyNumberFormat="1" applyFont="1" applyBorder="1" applyAlignment="1">
      <alignment horizontal="center" vertical="center" wrapText="1"/>
    </xf>
    <xf numFmtId="0" fontId="58" fillId="0" borderId="9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21" fillId="0" borderId="0" xfId="0" applyFont="1" applyAlignment="1">
      <alignment wrapText="1"/>
    </xf>
    <xf numFmtId="0" fontId="21" fillId="0" borderId="0" xfId="0" applyFont="1"/>
    <xf numFmtId="0" fontId="3" fillId="2" borderId="75" xfId="0" applyFont="1" applyFill="1" applyBorder="1" applyAlignment="1"/>
    <xf numFmtId="0" fontId="0" fillId="0" borderId="42" xfId="0" applyBorder="1" applyAlignment="1"/>
    <xf numFmtId="0" fontId="64" fillId="0" borderId="0" xfId="0" applyFont="1" applyAlignment="1">
      <alignment horizontal="center" vertical="center" wrapText="1"/>
    </xf>
    <xf numFmtId="0" fontId="65" fillId="0" borderId="0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49" fontId="59" fillId="2" borderId="69" xfId="0" applyNumberFormat="1" applyFont="1" applyFill="1" applyBorder="1" applyAlignment="1" applyProtection="1">
      <alignment horizontal="center" vertical="center" wrapText="1"/>
      <protection locked="0"/>
    </xf>
    <xf numFmtId="49" fontId="57" fillId="2" borderId="69" xfId="0" applyNumberFormat="1" applyFont="1" applyFill="1" applyBorder="1" applyAlignment="1">
      <alignment horizontal="center" vertical="center"/>
    </xf>
    <xf numFmtId="0" fontId="60" fillId="0" borderId="69" xfId="0" applyNumberFormat="1" applyFont="1" applyFill="1" applyBorder="1" applyAlignment="1" applyProtection="1">
      <alignment horizontal="center" vertical="center"/>
      <protection locked="0"/>
    </xf>
    <xf numFmtId="49" fontId="59" fillId="0" borderId="69" xfId="0" applyNumberFormat="1" applyFont="1" applyBorder="1" applyAlignment="1">
      <alignment horizontal="center" vertical="center" wrapText="1"/>
    </xf>
    <xf numFmtId="49" fontId="59" fillId="2" borderId="69" xfId="0" applyNumberFormat="1" applyFont="1" applyFill="1" applyBorder="1" applyAlignment="1">
      <alignment horizontal="center" vertical="center"/>
    </xf>
    <xf numFmtId="49" fontId="58" fillId="0" borderId="69" xfId="0" applyNumberFormat="1" applyFont="1" applyBorder="1" applyAlignment="1">
      <alignment horizontal="center" vertical="center"/>
    </xf>
    <xf numFmtId="49" fontId="58" fillId="0" borderId="69" xfId="0" applyNumberFormat="1" applyFont="1" applyBorder="1" applyAlignment="1">
      <alignment horizontal="center" vertical="center" wrapText="1"/>
    </xf>
    <xf numFmtId="49" fontId="4" fillId="2" borderId="57" xfId="0" applyNumberFormat="1" applyFont="1" applyFill="1" applyBorder="1" applyAlignment="1" applyProtection="1">
      <alignment horizontal="left" vertical="center" wrapText="1"/>
      <protection locked="0"/>
    </xf>
    <xf numFmtId="49" fontId="0" fillId="0" borderId="38" xfId="0" applyNumberFormat="1" applyBorder="1" applyAlignment="1">
      <alignment horizontal="left" vertical="center" wrapText="1"/>
    </xf>
    <xf numFmtId="49" fontId="0" fillId="0" borderId="76" xfId="0" applyNumberFormat="1" applyBorder="1" applyAlignment="1">
      <alignment vertical="center"/>
    </xf>
    <xf numFmtId="49" fontId="2" fillId="2" borderId="38" xfId="0" applyNumberFormat="1" applyFont="1" applyFill="1" applyBorder="1" applyAlignment="1">
      <alignment horizontal="center"/>
    </xf>
    <xf numFmtId="49" fontId="0" fillId="0" borderId="76" xfId="0" applyNumberFormat="1" applyBorder="1" applyAlignment="1"/>
    <xf numFmtId="49" fontId="35" fillId="2" borderId="57" xfId="0" applyNumberFormat="1" applyFont="1" applyFill="1" applyBorder="1" applyAlignment="1" applyProtection="1">
      <alignment horizontal="center" wrapText="1"/>
      <protection locked="0"/>
    </xf>
    <xf numFmtId="49" fontId="35" fillId="2" borderId="38" xfId="0" applyNumberFormat="1" applyFont="1" applyFill="1" applyBorder="1" applyAlignment="1" applyProtection="1">
      <alignment horizontal="center" wrapText="1"/>
      <protection locked="0"/>
    </xf>
    <xf numFmtId="49" fontId="4" fillId="0" borderId="38" xfId="0" applyNumberFormat="1" applyFont="1" applyFill="1" applyBorder="1" applyAlignment="1" applyProtection="1">
      <alignment horizontal="center" wrapText="1"/>
      <protection locked="0"/>
    </xf>
    <xf numFmtId="49" fontId="3" fillId="0" borderId="38" xfId="0" applyNumberFormat="1" applyFont="1" applyBorder="1" applyAlignment="1">
      <alignment horizontal="center"/>
    </xf>
    <xf numFmtId="49" fontId="3" fillId="0" borderId="76" xfId="0" applyNumberFormat="1" applyFont="1" applyBorder="1" applyAlignment="1">
      <alignment horizontal="center"/>
    </xf>
    <xf numFmtId="49" fontId="36" fillId="0" borderId="38" xfId="0" applyNumberFormat="1" applyFont="1" applyBorder="1" applyAlignment="1">
      <alignment horizontal="center" wrapText="1"/>
    </xf>
    <xf numFmtId="49" fontId="4" fillId="2" borderId="57" xfId="0" applyNumberFormat="1" applyFont="1" applyFill="1" applyBorder="1" applyAlignment="1">
      <alignment horizontal="center" vertical="center"/>
    </xf>
    <xf numFmtId="49" fontId="0" fillId="0" borderId="38" xfId="0" applyNumberFormat="1" applyBorder="1" applyAlignment="1">
      <alignment horizontal="center" vertical="center"/>
    </xf>
    <xf numFmtId="49" fontId="0" fillId="0" borderId="76" xfId="0" applyNumberFormat="1" applyBorder="1" applyAlignment="1">
      <alignment horizontal="center" vertical="center"/>
    </xf>
    <xf numFmtId="49" fontId="4" fillId="2" borderId="57" xfId="0" applyNumberFormat="1" applyFont="1" applyFill="1" applyBorder="1" applyAlignment="1" applyProtection="1">
      <alignment horizontal="center" vertical="center" wrapText="1"/>
      <protection locked="0"/>
    </xf>
    <xf numFmtId="49" fontId="0" fillId="0" borderId="38" xfId="0" applyNumberFormat="1" applyBorder="1" applyAlignment="1">
      <alignment horizontal="center" vertical="center" wrapText="1"/>
    </xf>
    <xf numFmtId="49" fontId="0" fillId="0" borderId="76" xfId="0" applyNumberFormat="1" applyBorder="1" applyAlignment="1">
      <alignment horizontal="center" vertical="center" wrapText="1"/>
    </xf>
    <xf numFmtId="0" fontId="44" fillId="0" borderId="0" xfId="0" applyFont="1" applyAlignment="1">
      <alignment vertical="top" wrapText="1"/>
    </xf>
    <xf numFmtId="0" fontId="25" fillId="0" borderId="0" xfId="0" applyFont="1" applyAlignment="1">
      <alignment horizontal="center" vertical="center" wrapText="1"/>
    </xf>
    <xf numFmtId="0" fontId="27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5" fillId="11" borderId="57" xfId="0" applyNumberFormat="1" applyFont="1" applyFill="1" applyBorder="1" applyAlignment="1">
      <alignment horizontal="center" vertical="center" wrapText="1"/>
    </xf>
    <xf numFmtId="0" fontId="5" fillId="11" borderId="76" xfId="0" applyNumberFormat="1" applyFont="1" applyFill="1" applyBorder="1" applyAlignment="1">
      <alignment horizontal="center" vertical="center" wrapText="1"/>
    </xf>
    <xf numFmtId="0" fontId="5" fillId="11" borderId="57" xfId="0" applyNumberFormat="1" applyFont="1" applyFill="1" applyBorder="1" applyAlignment="1">
      <alignment horizontal="center" vertical="center" wrapText="1"/>
    </xf>
    <xf numFmtId="0" fontId="0" fillId="0" borderId="7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4" xfId="0" applyBorder="1" applyAlignment="1">
      <alignment horizontal="center" vertical="center" wrapText="1"/>
    </xf>
    <xf numFmtId="0" fontId="0" fillId="0" borderId="77" xfId="0" applyBorder="1" applyAlignment="1">
      <alignment horizontal="center" vertical="center" wrapText="1"/>
    </xf>
    <xf numFmtId="0" fontId="0" fillId="0" borderId="78" xfId="0" applyBorder="1" applyAlignment="1">
      <alignment horizontal="center" vertical="center" wrapText="1"/>
    </xf>
    <xf numFmtId="0" fontId="23" fillId="0" borderId="32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4" xfId="0" applyFont="1" applyBorder="1" applyAlignment="1">
      <alignment horizontal="center" vertical="center" wrapText="1"/>
    </xf>
    <xf numFmtId="0" fontId="23" fillId="0" borderId="31" xfId="0" applyFont="1" applyBorder="1" applyAlignment="1">
      <alignment horizontal="center" vertical="center" wrapText="1"/>
    </xf>
    <xf numFmtId="0" fontId="23" fillId="0" borderId="27" xfId="0" applyFont="1" applyBorder="1" applyAlignment="1">
      <alignment horizontal="center" vertical="center" wrapText="1"/>
    </xf>
    <xf numFmtId="0" fontId="23" fillId="0" borderId="28" xfId="0" applyFont="1" applyBorder="1" applyAlignment="1">
      <alignment horizontal="center" vertical="center" wrapText="1"/>
    </xf>
    <xf numFmtId="0" fontId="2" fillId="2" borderId="57" xfId="0" applyFont="1" applyFill="1" applyBorder="1" applyAlignment="1" applyProtection="1">
      <alignment horizontal="center" vertical="center" wrapText="1"/>
      <protection locked="0"/>
    </xf>
    <xf numFmtId="49" fontId="5" fillId="0" borderId="38" xfId="0" applyNumberFormat="1" applyFont="1" applyBorder="1" applyAlignment="1">
      <alignment horizontal="center" vertical="center" wrapText="1"/>
    </xf>
    <xf numFmtId="0" fontId="5" fillId="0" borderId="76" xfId="0" applyFont="1" applyBorder="1" applyAlignment="1">
      <alignment horizontal="center" vertical="center" wrapText="1"/>
    </xf>
    <xf numFmtId="0" fontId="5" fillId="0" borderId="23" xfId="0" applyFont="1" applyBorder="1" applyAlignment="1">
      <alignment horizontal="center" vertical="center" wrapText="1"/>
    </xf>
    <xf numFmtId="0" fontId="8" fillId="12" borderId="70" xfId="0" applyFont="1" applyFill="1" applyBorder="1" applyAlignment="1">
      <alignment horizontal="center" vertical="center" wrapText="1"/>
    </xf>
    <xf numFmtId="0" fontId="2" fillId="2" borderId="38" xfId="0" applyFont="1" applyFill="1" applyBorder="1" applyAlignment="1" applyProtection="1">
      <alignment horizontal="center" vertical="center" wrapText="1"/>
      <protection locked="0"/>
    </xf>
    <xf numFmtId="0" fontId="2" fillId="2" borderId="43" xfId="0" applyFont="1" applyFill="1" applyBorder="1" applyAlignment="1" applyProtection="1">
      <alignment horizontal="center" vertical="center" wrapText="1"/>
      <protection locked="0"/>
    </xf>
    <xf numFmtId="0" fontId="23" fillId="0" borderId="34" xfId="0" applyFont="1" applyBorder="1" applyAlignment="1">
      <alignment horizontal="left" vertical="center" wrapText="1"/>
    </xf>
    <xf numFmtId="0" fontId="23" fillId="0" borderId="79" xfId="0" applyFont="1" applyBorder="1" applyAlignment="1">
      <alignment horizontal="left" vertical="center" wrapText="1"/>
    </xf>
    <xf numFmtId="0" fontId="23" fillId="0" borderId="42" xfId="0" applyFont="1" applyBorder="1" applyAlignment="1">
      <alignment horizontal="left" vertical="center" wrapText="1"/>
    </xf>
    <xf numFmtId="0" fontId="2" fillId="2" borderId="32" xfId="0" applyFont="1" applyFill="1" applyBorder="1" applyAlignment="1" applyProtection="1">
      <alignment horizontal="center" vertical="center" wrapText="1"/>
      <protection locked="0"/>
    </xf>
    <xf numFmtId="0" fontId="2" fillId="2" borderId="23" xfId="0" applyFont="1" applyFill="1" applyBorder="1" applyAlignment="1" applyProtection="1">
      <alignment horizontal="center" vertical="center" wrapText="1"/>
      <protection locked="0"/>
    </xf>
    <xf numFmtId="0" fontId="2" fillId="2" borderId="55" xfId="0" applyFont="1" applyFill="1" applyBorder="1" applyAlignment="1" applyProtection="1">
      <alignment horizontal="center" vertical="center" wrapText="1"/>
      <protection locked="0"/>
    </xf>
    <xf numFmtId="0" fontId="23" fillId="3" borderId="18" xfId="0" applyFont="1" applyFill="1" applyBorder="1" applyAlignment="1">
      <alignment horizontal="left" vertical="center" wrapText="1"/>
    </xf>
    <xf numFmtId="0" fontId="23" fillId="3" borderId="80" xfId="0" applyFont="1" applyFill="1" applyBorder="1" applyAlignment="1">
      <alignment horizontal="left" vertical="center" wrapText="1"/>
    </xf>
    <xf numFmtId="0" fontId="23" fillId="3" borderId="81" xfId="0" applyFont="1" applyFill="1" applyBorder="1" applyAlignment="1">
      <alignment horizontal="left" vertical="center" wrapText="1"/>
    </xf>
    <xf numFmtId="0" fontId="47" fillId="0" borderId="7" xfId="0" applyFont="1" applyBorder="1" applyAlignment="1">
      <alignment horizontal="left" vertical="center"/>
    </xf>
    <xf numFmtId="0" fontId="47" fillId="0" borderId="2" xfId="0" applyFont="1" applyBorder="1" applyAlignment="1">
      <alignment horizontal="left" vertical="center"/>
    </xf>
    <xf numFmtId="0" fontId="3" fillId="2" borderId="75" xfId="0" applyFont="1" applyFill="1" applyBorder="1" applyAlignment="1">
      <alignment horizontal="center" vertical="center"/>
    </xf>
    <xf numFmtId="0" fontId="3" fillId="2" borderId="79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0" fontId="45" fillId="2" borderId="82" xfId="0" applyFont="1" applyFill="1" applyBorder="1" applyAlignment="1">
      <alignment horizontal="left" vertical="center" wrapText="1"/>
    </xf>
    <xf numFmtId="0" fontId="45" fillId="2" borderId="65" xfId="0" applyFont="1" applyFill="1" applyBorder="1" applyAlignment="1">
      <alignment horizontal="left" vertical="center" wrapText="1"/>
    </xf>
    <xf numFmtId="0" fontId="52" fillId="2" borderId="83" xfId="0" applyFont="1" applyFill="1" applyBorder="1" applyAlignment="1">
      <alignment horizontal="center" vertical="center" wrapText="1"/>
    </xf>
    <xf numFmtId="0" fontId="52" fillId="2" borderId="84" xfId="0" applyFont="1" applyFill="1" applyBorder="1" applyAlignment="1">
      <alignment horizontal="center" vertical="center" wrapText="1"/>
    </xf>
    <xf numFmtId="0" fontId="52" fillId="2" borderId="64" xfId="0" applyFont="1" applyFill="1" applyBorder="1" applyAlignment="1">
      <alignment horizontal="center" vertical="center" wrapText="1"/>
    </xf>
    <xf numFmtId="0" fontId="3" fillId="6" borderId="85" xfId="0" applyFont="1" applyFill="1" applyBorder="1" applyAlignment="1">
      <alignment horizontal="center" vertical="center"/>
    </xf>
    <xf numFmtId="0" fontId="3" fillId="6" borderId="86" xfId="0" applyFont="1" applyFill="1" applyBorder="1" applyAlignment="1">
      <alignment horizontal="center" vertical="center"/>
    </xf>
    <xf numFmtId="0" fontId="3" fillId="6" borderId="84" xfId="0" applyFont="1" applyFill="1" applyBorder="1" applyAlignment="1">
      <alignment horizontal="center" vertical="center"/>
    </xf>
    <xf numFmtId="0" fontId="3" fillId="6" borderId="64" xfId="0" applyFont="1" applyFill="1" applyBorder="1" applyAlignment="1">
      <alignment horizontal="center" vertical="center"/>
    </xf>
    <xf numFmtId="0" fontId="53" fillId="0" borderId="32" xfId="0" applyFont="1" applyBorder="1" applyAlignment="1">
      <alignment horizontal="center" vertical="center" wrapText="1"/>
    </xf>
    <xf numFmtId="0" fontId="53" fillId="0" borderId="23" xfId="0" applyFont="1" applyBorder="1" applyAlignment="1">
      <alignment horizontal="center" vertical="center" wrapText="1"/>
    </xf>
    <xf numFmtId="0" fontId="53" fillId="0" borderId="24" xfId="0" applyFont="1" applyBorder="1" applyAlignment="1">
      <alignment horizontal="center" vertical="center" wrapText="1"/>
    </xf>
    <xf numFmtId="0" fontId="53" fillId="0" borderId="30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 wrapText="1"/>
    </xf>
    <xf numFmtId="0" fontId="53" fillId="0" borderId="26" xfId="0" applyFont="1" applyBorder="1" applyAlignment="1">
      <alignment horizontal="center" vertical="center" wrapText="1"/>
    </xf>
    <xf numFmtId="0" fontId="53" fillId="0" borderId="31" xfId="0" applyFont="1" applyBorder="1" applyAlignment="1">
      <alignment horizontal="center" vertical="center" wrapText="1"/>
    </xf>
    <xf numFmtId="0" fontId="53" fillId="0" borderId="27" xfId="0" applyFont="1" applyBorder="1" applyAlignment="1">
      <alignment horizontal="center" vertical="center" wrapText="1"/>
    </xf>
    <xf numFmtId="0" fontId="53" fillId="0" borderId="28" xfId="0" applyFont="1" applyBorder="1" applyAlignment="1">
      <alignment horizontal="center" vertical="center" wrapText="1"/>
    </xf>
    <xf numFmtId="0" fontId="45" fillId="2" borderId="87" xfId="0" applyFont="1" applyFill="1" applyBorder="1" applyAlignment="1">
      <alignment horizontal="left" vertical="center" wrapText="1"/>
    </xf>
    <xf numFmtId="0" fontId="52" fillId="2" borderId="88" xfId="0" applyFont="1" applyFill="1" applyBorder="1" applyAlignment="1">
      <alignment horizontal="center" vertical="center" wrapText="1"/>
    </xf>
    <xf numFmtId="0" fontId="52" fillId="2" borderId="89" xfId="0" applyFont="1" applyFill="1" applyBorder="1" applyAlignment="1">
      <alignment horizontal="center" vertical="center" wrapText="1"/>
    </xf>
    <xf numFmtId="0" fontId="52" fillId="2" borderId="90" xfId="0" applyFont="1" applyFill="1" applyBorder="1" applyAlignment="1">
      <alignment horizontal="center" vertical="center" wrapText="1"/>
    </xf>
    <xf numFmtId="0" fontId="3" fillId="2" borderId="75" xfId="0" applyFont="1" applyFill="1" applyBorder="1" applyAlignment="1" applyProtection="1">
      <alignment horizontal="center" wrapText="1"/>
      <protection locked="0"/>
    </xf>
    <xf numFmtId="0" fontId="5" fillId="0" borderId="8" xfId="0" applyFont="1" applyBorder="1" applyAlignment="1">
      <alignment wrapText="1"/>
    </xf>
    <xf numFmtId="0" fontId="31" fillId="0" borderId="79" xfId="0" applyFont="1" applyBorder="1" applyAlignment="1">
      <alignment wrapText="1"/>
    </xf>
    <xf numFmtId="0" fontId="5" fillId="0" borderId="79" xfId="0" applyFont="1" applyBorder="1" applyAlignment="1">
      <alignment wrapText="1"/>
    </xf>
    <xf numFmtId="0" fontId="3" fillId="2" borderId="31" xfId="0" applyFont="1" applyFill="1" applyBorder="1" applyAlignment="1" applyProtection="1">
      <alignment horizontal="center" vertical="center" wrapText="1"/>
      <protection locked="0"/>
    </xf>
    <xf numFmtId="0" fontId="5" fillId="0" borderId="67" xfId="0" applyFont="1" applyBorder="1" applyAlignment="1">
      <alignment vertical="center" wrapText="1"/>
    </xf>
    <xf numFmtId="0" fontId="31" fillId="0" borderId="50" xfId="0" applyFont="1" applyBorder="1" applyAlignment="1">
      <alignment vertical="center" wrapText="1"/>
    </xf>
    <xf numFmtId="0" fontId="5" fillId="0" borderId="50" xfId="0" applyFont="1" applyBorder="1" applyAlignment="1">
      <alignment vertical="center" wrapText="1"/>
    </xf>
    <xf numFmtId="49" fontId="8" fillId="11" borderId="10" xfId="0" applyNumberFormat="1" applyFont="1" applyFill="1" applyBorder="1" applyAlignment="1">
      <alignment horizontal="left" vertical="center" wrapText="1"/>
    </xf>
    <xf numFmtId="0" fontId="26" fillId="11" borderId="11" xfId="0" applyNumberFormat="1" applyFont="1" applyFill="1" applyBorder="1" applyAlignment="1">
      <alignment horizontal="left" vertical="center" wrapText="1"/>
    </xf>
    <xf numFmtId="0" fontId="8" fillId="11" borderId="10" xfId="0" applyNumberFormat="1" applyFont="1" applyFill="1" applyBorder="1" applyAlignment="1">
      <alignment horizontal="left" vertical="center" wrapText="1"/>
    </xf>
    <xf numFmtId="49" fontId="8" fillId="0" borderId="10" xfId="0" applyNumberFormat="1" applyFont="1" applyFill="1" applyBorder="1" applyAlignment="1">
      <alignment horizontal="left" vertical="center" wrapText="1"/>
    </xf>
    <xf numFmtId="0" fontId="26" fillId="0" borderId="11" xfId="0" applyNumberFormat="1" applyFont="1" applyFill="1" applyBorder="1" applyAlignment="1">
      <alignment horizontal="left" vertical="center" wrapText="1"/>
    </xf>
    <xf numFmtId="0" fontId="38" fillId="0" borderId="10" xfId="0" applyNumberFormat="1" applyFont="1" applyFill="1" applyBorder="1" applyAlignment="1">
      <alignment horizontal="left" vertical="center" wrapText="1"/>
    </xf>
    <xf numFmtId="0" fontId="37" fillId="0" borderId="34" xfId="0" applyFont="1" applyBorder="1" applyAlignment="1">
      <alignment wrapText="1"/>
    </xf>
    <xf numFmtId="0" fontId="37" fillId="0" borderId="79" xfId="0" applyFont="1" applyBorder="1" applyAlignment="1">
      <alignment wrapText="1"/>
    </xf>
    <xf numFmtId="0" fontId="4" fillId="0" borderId="79" xfId="0" applyFont="1" applyBorder="1" applyAlignment="1">
      <alignment wrapText="1"/>
    </xf>
    <xf numFmtId="0" fontId="4" fillId="0" borderId="42" xfId="0" applyFont="1" applyBorder="1" applyAlignment="1">
      <alignment wrapText="1"/>
    </xf>
    <xf numFmtId="0" fontId="2" fillId="2" borderId="75" xfId="0" applyFont="1" applyFill="1" applyBorder="1" applyAlignment="1" applyProtection="1">
      <alignment horizontal="center" wrapText="1"/>
      <protection locked="0"/>
    </xf>
    <xf numFmtId="0" fontId="0" fillId="0" borderId="79" xfId="0" applyBorder="1" applyAlignment="1">
      <alignment wrapText="1"/>
    </xf>
    <xf numFmtId="0" fontId="0" fillId="0" borderId="8" xfId="0" applyBorder="1" applyAlignment="1">
      <alignment wrapText="1"/>
    </xf>
    <xf numFmtId="0" fontId="2" fillId="2" borderId="31" xfId="0" applyFont="1" applyFill="1" applyBorder="1" applyAlignment="1" applyProtection="1">
      <alignment horizontal="center" vertical="center" wrapText="1"/>
      <protection locked="0"/>
    </xf>
    <xf numFmtId="0" fontId="5" fillId="0" borderId="27" xfId="0" applyFont="1" applyBorder="1" applyAlignment="1">
      <alignment vertical="center" wrapText="1"/>
    </xf>
    <xf numFmtId="0" fontId="5" fillId="0" borderId="91" xfId="0" applyFont="1" applyBorder="1" applyAlignment="1">
      <alignment vertical="center" wrapText="1"/>
    </xf>
    <xf numFmtId="0" fontId="8" fillId="12" borderId="34" xfId="0" applyFont="1" applyFill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79" xfId="0" applyBorder="1" applyAlignment="1">
      <alignment vertical="center" wrapText="1"/>
    </xf>
    <xf numFmtId="0" fontId="37" fillId="0" borderId="10" xfId="0" applyFont="1" applyBorder="1" applyAlignment="1">
      <alignment vertical="center" wrapText="1"/>
    </xf>
    <xf numFmtId="0" fontId="37" fillId="0" borderId="50" xfId="0" applyFont="1" applyBorder="1" applyAlignment="1">
      <alignment vertical="center" wrapText="1"/>
    </xf>
    <xf numFmtId="0" fontId="4" fillId="0" borderId="50" xfId="0" applyFont="1" applyBorder="1" applyAlignment="1">
      <alignment vertical="center" wrapText="1"/>
    </xf>
    <xf numFmtId="0" fontId="4" fillId="0" borderId="52" xfId="0" applyFont="1" applyBorder="1" applyAlignment="1">
      <alignment vertical="center" wrapText="1"/>
    </xf>
    <xf numFmtId="49" fontId="38" fillId="0" borderId="10" xfId="0" applyNumberFormat="1" applyFont="1" applyFill="1" applyBorder="1" applyAlignment="1">
      <alignment horizontal="left" vertical="center" wrapText="1"/>
    </xf>
    <xf numFmtId="0" fontId="39" fillId="0" borderId="11" xfId="0" applyNumberFormat="1" applyFont="1" applyFill="1" applyBorder="1" applyAlignment="1">
      <alignment horizontal="left" vertical="center" wrapText="1"/>
    </xf>
    <xf numFmtId="0" fontId="16" fillId="5" borderId="4" xfId="0" applyFont="1" applyFill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7" fillId="0" borderId="4" xfId="0" applyFont="1" applyBorder="1" applyAlignment="1"/>
    <xf numFmtId="0" fontId="10" fillId="15" borderId="4" xfId="0" applyFont="1" applyFill="1" applyBorder="1" applyAlignment="1">
      <alignment horizontal="right" vertical="center"/>
    </xf>
    <xf numFmtId="0" fontId="0" fillId="0" borderId="4" xfId="0" applyBorder="1" applyAlignment="1"/>
    <xf numFmtId="0" fontId="0" fillId="0" borderId="2" xfId="0" applyBorder="1" applyAlignment="1"/>
    <xf numFmtId="0" fontId="18" fillId="2" borderId="7" xfId="0" applyFont="1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0" fontId="18" fillId="2" borderId="2" xfId="0" applyFont="1" applyFill="1" applyBorder="1" applyAlignment="1">
      <alignment horizontal="center"/>
    </xf>
    <xf numFmtId="0" fontId="10" fillId="15" borderId="0" xfId="0" applyFont="1" applyFill="1" applyBorder="1" applyAlignment="1">
      <alignment horizontal="right" vertical="center"/>
    </xf>
    <xf numFmtId="0" fontId="0" fillId="0" borderId="0" xfId="0" applyAlignment="1"/>
    <xf numFmtId="0" fontId="11" fillId="7" borderId="7" xfId="0" applyFont="1" applyFill="1" applyBorder="1" applyAlignment="1">
      <alignment horizontal="center"/>
    </xf>
    <xf numFmtId="0" fontId="11" fillId="7" borderId="4" xfId="0" applyFont="1" applyFill="1" applyBorder="1" applyAlignment="1">
      <alignment horizontal="center"/>
    </xf>
    <xf numFmtId="0" fontId="11" fillId="7" borderId="2" xfId="0" applyFont="1" applyFill="1" applyBorder="1" applyAlignment="1">
      <alignment horizontal="center"/>
    </xf>
    <xf numFmtId="0" fontId="10" fillId="15" borderId="80" xfId="0" applyFont="1" applyFill="1" applyBorder="1" applyAlignment="1">
      <alignment horizontal="right" vertical="center"/>
    </xf>
    <xf numFmtId="0" fontId="0" fillId="0" borderId="80" xfId="0" applyBorder="1" applyAlignment="1"/>
    <xf numFmtId="0" fontId="12" fillId="9" borderId="4" xfId="0" applyFont="1" applyFill="1" applyBorder="1" applyAlignment="1">
      <alignment horizontal="center" vertical="center"/>
    </xf>
    <xf numFmtId="0" fontId="0" fillId="9" borderId="4" xfId="0" applyFill="1" applyBorder="1" applyAlignment="1"/>
    <xf numFmtId="0" fontId="6" fillId="9" borderId="4" xfId="1" applyFill="1" applyBorder="1" applyAlignment="1" applyProtection="1">
      <alignment horizontal="center" vertical="center"/>
    </xf>
    <xf numFmtId="0" fontId="0" fillId="0" borderId="0" xfId="0" applyBorder="1" applyAlignment="1"/>
    <xf numFmtId="0" fontId="0" fillId="0" borderId="67" xfId="0" applyBorder="1" applyAlignment="1"/>
    <xf numFmtId="0" fontId="28" fillId="0" borderId="0" xfId="0" applyFont="1" applyAlignment="1">
      <alignment horizontal="center" vertical="center" wrapText="1"/>
    </xf>
    <xf numFmtId="0" fontId="28" fillId="0" borderId="0" xfId="0" applyFont="1" applyAlignment="1">
      <alignment horizontal="center" vertical="center"/>
    </xf>
    <xf numFmtId="0" fontId="10" fillId="15" borderId="3" xfId="0" applyFont="1" applyFill="1" applyBorder="1" applyAlignment="1">
      <alignment horizontal="right" vertical="center"/>
    </xf>
    <xf numFmtId="0" fontId="0" fillId="0" borderId="3" xfId="0" applyBorder="1" applyAlignment="1"/>
    <xf numFmtId="0" fontId="13" fillId="8" borderId="4" xfId="0" applyFont="1" applyFill="1" applyBorder="1" applyAlignment="1" applyProtection="1">
      <alignment horizontal="center" vertical="center"/>
    </xf>
    <xf numFmtId="0" fontId="0" fillId="8" borderId="4" xfId="0" applyFill="1" applyBorder="1" applyAlignment="1"/>
    <xf numFmtId="0" fontId="13" fillId="8" borderId="4" xfId="0" applyFont="1" applyFill="1" applyBorder="1" applyAlignment="1">
      <alignment horizontal="center" vertical="center"/>
    </xf>
    <xf numFmtId="0" fontId="11" fillId="5" borderId="0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13" fillId="8" borderId="80" xfId="0" applyFont="1" applyFill="1" applyBorder="1" applyAlignment="1">
      <alignment horizontal="center" vertical="center"/>
    </xf>
    <xf numFmtId="0" fontId="0" fillId="8" borderId="80" xfId="0" applyFill="1" applyBorder="1" applyAlignment="1"/>
    <xf numFmtId="49" fontId="14" fillId="16" borderId="3" xfId="0" applyNumberFormat="1" applyFont="1" applyFill="1" applyBorder="1" applyAlignment="1">
      <alignment horizontal="center" vertical="center"/>
    </xf>
    <xf numFmtId="49" fontId="15" fillId="16" borderId="3" xfId="0" applyNumberFormat="1" applyFont="1" applyFill="1" applyBorder="1" applyAlignment="1"/>
    <xf numFmtId="0" fontId="18" fillId="2" borderId="7" xfId="0" applyFont="1" applyFill="1" applyBorder="1" applyAlignment="1">
      <alignment horizontal="center" vertical="center"/>
    </xf>
    <xf numFmtId="0" fontId="18" fillId="2" borderId="4" xfId="0" applyFont="1" applyFill="1" applyBorder="1" applyAlignment="1">
      <alignment horizontal="center" vertical="center"/>
    </xf>
    <xf numFmtId="0" fontId="0" fillId="3" borderId="7" xfId="0" applyFill="1" applyBorder="1" applyAlignment="1"/>
    <xf numFmtId="0" fontId="0" fillId="3" borderId="4" xfId="0" applyFill="1" applyBorder="1" applyAlignment="1"/>
    <xf numFmtId="0" fontId="0" fillId="3" borderId="2" xfId="0" applyFill="1" applyBorder="1" applyAlignment="1"/>
    <xf numFmtId="0" fontId="3" fillId="5" borderId="7" xfId="0" applyFont="1" applyFill="1" applyBorder="1" applyAlignment="1">
      <alignment horizontal="right"/>
    </xf>
    <xf numFmtId="0" fontId="0" fillId="5" borderId="4" xfId="0" applyFill="1" applyBorder="1" applyAlignment="1">
      <alignment horizontal="right"/>
    </xf>
    <xf numFmtId="49" fontId="26" fillId="0" borderId="11" xfId="0" applyNumberFormat="1" applyFont="1" applyFill="1" applyBorder="1" applyAlignment="1">
      <alignment horizontal="left" vertical="center" wrapText="1"/>
    </xf>
    <xf numFmtId="165" fontId="8" fillId="0" borderId="10" xfId="0" applyNumberFormat="1" applyFont="1" applyFill="1" applyBorder="1" applyAlignment="1">
      <alignment horizontal="left" vertical="center" wrapText="1"/>
    </xf>
    <xf numFmtId="165" fontId="26" fillId="0" borderId="11" xfId="0" applyNumberFormat="1" applyFont="1" applyFill="1" applyBorder="1" applyAlignment="1">
      <alignment horizontal="left" vertical="center" wrapText="1"/>
    </xf>
    <xf numFmtId="0" fontId="2" fillId="2" borderId="75" xfId="0" applyFont="1" applyFill="1" applyBorder="1" applyAlignment="1" applyProtection="1">
      <alignment horizontal="left" vertical="center" wrapText="1"/>
      <protection locked="0"/>
    </xf>
    <xf numFmtId="0" fontId="0" fillId="0" borderId="79" xfId="0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23" fillId="0" borderId="34" xfId="0" applyFont="1" applyBorder="1" applyAlignment="1">
      <alignment wrapText="1"/>
    </xf>
    <xf numFmtId="0" fontId="23" fillId="0" borderId="79" xfId="0" applyFont="1" applyBorder="1" applyAlignment="1">
      <alignment wrapText="1"/>
    </xf>
    <xf numFmtId="0" fontId="0" fillId="0" borderId="42" xfId="0" applyBorder="1" applyAlignment="1">
      <alignment wrapText="1"/>
    </xf>
    <xf numFmtId="0" fontId="2" fillId="2" borderId="31" xfId="0" applyFont="1" applyFill="1" applyBorder="1" applyAlignment="1" applyProtection="1">
      <alignment horizontal="left" vertical="center" wrapText="1"/>
      <protection locked="0"/>
    </xf>
    <xf numFmtId="0" fontId="0" fillId="0" borderId="27" xfId="0" applyBorder="1" applyAlignment="1">
      <alignment horizontal="left" vertical="center" wrapText="1"/>
    </xf>
    <xf numFmtId="0" fontId="0" fillId="0" borderId="91" xfId="0" applyBorder="1" applyAlignment="1">
      <alignment horizontal="left" vertical="center" wrapText="1"/>
    </xf>
    <xf numFmtId="0" fontId="23" fillId="0" borderId="15" xfId="0" applyFont="1" applyBorder="1" applyAlignment="1">
      <alignment wrapText="1"/>
    </xf>
    <xf numFmtId="0" fontId="23" fillId="0" borderId="3" xfId="0" applyFont="1" applyBorder="1" applyAlignment="1">
      <alignment wrapText="1"/>
    </xf>
    <xf numFmtId="0" fontId="0" fillId="0" borderId="3" xfId="0" applyBorder="1" applyAlignment="1">
      <alignment wrapText="1"/>
    </xf>
    <xf numFmtId="0" fontId="0" fillId="0" borderId="92" xfId="0" applyBorder="1" applyAlignment="1">
      <alignment wrapText="1"/>
    </xf>
    <xf numFmtId="0" fontId="8" fillId="2" borderId="34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34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center" vertical="center" wrapText="1"/>
    </xf>
    <xf numFmtId="0" fontId="20" fillId="0" borderId="54" xfId="0" applyFont="1" applyBorder="1" applyAlignment="1">
      <alignment horizontal="center" vertical="center" wrapText="1"/>
    </xf>
    <xf numFmtId="0" fontId="0" fillId="0" borderId="43" xfId="0" applyBorder="1" applyAlignment="1">
      <alignment vertical="center" wrapText="1"/>
    </xf>
    <xf numFmtId="0" fontId="0" fillId="0" borderId="54" xfId="0" applyBorder="1" applyAlignment="1">
      <alignment vertical="center" wrapText="1"/>
    </xf>
    <xf numFmtId="0" fontId="0" fillId="0" borderId="38" xfId="0" applyBorder="1" applyAlignment="1">
      <alignment vertical="center" wrapText="1"/>
    </xf>
    <xf numFmtId="0" fontId="20" fillId="0" borderId="10" xfId="0" applyFont="1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50" xfId="0" applyBorder="1" applyAlignment="1">
      <alignment vertical="center" wrapText="1"/>
    </xf>
    <xf numFmtId="0" fontId="8" fillId="12" borderId="22" xfId="0" applyFont="1" applyFill="1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8" fillId="12" borderId="22" xfId="0" applyFont="1" applyFill="1" applyBorder="1" applyAlignment="1">
      <alignment horizontal="center" vertical="center" wrapText="1"/>
    </xf>
    <xf numFmtId="0" fontId="0" fillId="0" borderId="23" xfId="0" applyBorder="1" applyAlignment="1">
      <alignment vertical="center" wrapText="1"/>
    </xf>
    <xf numFmtId="0" fontId="3" fillId="0" borderId="17" xfId="0" applyFont="1" applyBorder="1" applyAlignment="1">
      <alignment horizontal="center" vertical="center" wrapText="1"/>
    </xf>
    <xf numFmtId="0" fontId="61" fillId="0" borderId="10" xfId="0" applyFont="1" applyBorder="1" applyAlignment="1">
      <alignment horizontal="center" vertical="center" wrapText="1"/>
    </xf>
  </cellXfs>
  <cellStyles count="4">
    <cellStyle name="Collegamento ipertestuale" xfId="1" builtinId="8"/>
    <cellStyle name="Normale" xfId="0" builtinId="0"/>
    <cellStyle name="Normale 2" xfId="2"/>
    <cellStyle name="Normale 3" xfId="3"/>
  </cellStyles>
  <dxfs count="4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sharedStrings" Target="sharedStrings.xml"/><Relationship Id="rId30" Type="http://schemas.openxmlformats.org/officeDocument/2006/relationships/customXml" Target="../customXml/item2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8BD21D50-EC42-11CE-9E0D-00AA006002F3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emf"/><Relationship Id="rId5" Type="http://schemas.openxmlformats.org/officeDocument/2006/relationships/image" Target="../media/image13.jpeg"/><Relationship Id="rId4" Type="http://schemas.openxmlformats.org/officeDocument/2006/relationships/image" Target="../media/image1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6.emf"/><Relationship Id="rId1" Type="http://schemas.openxmlformats.org/officeDocument/2006/relationships/image" Target="../media/image7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9.emf"/><Relationship Id="rId2" Type="http://schemas.openxmlformats.org/officeDocument/2006/relationships/image" Target="../media/image10.emf"/><Relationship Id="rId1" Type="http://schemas.openxmlformats.org/officeDocument/2006/relationships/image" Target="../media/image11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14.emf"/><Relationship Id="rId2" Type="http://schemas.openxmlformats.org/officeDocument/2006/relationships/image" Target="../media/image15.emf"/><Relationship Id="rId1" Type="http://schemas.openxmlformats.org/officeDocument/2006/relationships/image" Target="../media/image16.emf"/></Relationships>
</file>

<file path=xl/drawings/_rels/vmlDrawing6.vml.rels><?xml version="1.0" encoding="UTF-8" standalone="yes"?>
<Relationships xmlns="http://schemas.openxmlformats.org/package/2006/relationships"><Relationship Id="rId3" Type="http://schemas.openxmlformats.org/officeDocument/2006/relationships/image" Target="../media/image18.emf"/><Relationship Id="rId2" Type="http://schemas.openxmlformats.org/officeDocument/2006/relationships/image" Target="../media/image19.emf"/><Relationship Id="rId1" Type="http://schemas.openxmlformats.org/officeDocument/2006/relationships/image" Target="../media/image20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21.emf"/><Relationship Id="rId2" Type="http://schemas.openxmlformats.org/officeDocument/2006/relationships/image" Target="../media/image22.emf"/><Relationship Id="rId1" Type="http://schemas.openxmlformats.org/officeDocument/2006/relationships/image" Target="../media/image26.emf"/><Relationship Id="rId6" Type="http://schemas.openxmlformats.org/officeDocument/2006/relationships/image" Target="../media/image23.emf"/><Relationship Id="rId5" Type="http://schemas.openxmlformats.org/officeDocument/2006/relationships/image" Target="../media/image24.emf"/><Relationship Id="rId4" Type="http://schemas.openxmlformats.org/officeDocument/2006/relationships/image" Target="../media/image2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219075</xdr:colOff>
          <xdr:row>0</xdr:row>
          <xdr:rowOff>0</xdr:rowOff>
        </xdr:from>
        <xdr:to>
          <xdr:col>0</xdr:col>
          <xdr:colOff>933450</xdr:colOff>
          <xdr:row>0</xdr:row>
          <xdr:rowOff>0</xdr:rowOff>
        </xdr:to>
        <xdr:sp macro="" textlink="">
          <xdr:nvSpPr>
            <xdr:cNvPr id="448513" name="Object 1" hidden="1">
              <a:extLst>
                <a:ext uri="{63B3BB69-23CF-44E3-9099-C40C66FF867C}">
                  <a14:compatExt spid="_x0000_s44851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219075</xdr:colOff>
          <xdr:row>0</xdr:row>
          <xdr:rowOff>0</xdr:rowOff>
        </xdr:from>
        <xdr:to>
          <xdr:col>0</xdr:col>
          <xdr:colOff>933450</xdr:colOff>
          <xdr:row>0</xdr:row>
          <xdr:rowOff>0</xdr:rowOff>
        </xdr:to>
        <xdr:sp macro="" textlink="">
          <xdr:nvSpPr>
            <xdr:cNvPr id="449537" name="Object 1" hidden="1">
              <a:extLst>
                <a:ext uri="{63B3BB69-23CF-44E3-9099-C40C66FF867C}">
                  <a14:compatExt spid="_x0000_s44953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28575</xdr:colOff>
          <xdr:row>0</xdr:row>
          <xdr:rowOff>0</xdr:rowOff>
        </xdr:from>
        <xdr:to>
          <xdr:col>0</xdr:col>
          <xdr:colOff>819150</xdr:colOff>
          <xdr:row>0</xdr:row>
          <xdr:rowOff>0</xdr:rowOff>
        </xdr:to>
        <xdr:sp macro="" textlink="">
          <xdr:nvSpPr>
            <xdr:cNvPr id="449538" name="Object 2" hidden="1">
              <a:extLst>
                <a:ext uri="{63B3BB69-23CF-44E3-9099-C40C66FF867C}">
                  <a14:compatExt spid="_x0000_s44953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3962400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6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2466975</xdr:colOff>
      <xdr:row>0</xdr:row>
      <xdr:rowOff>0</xdr:rowOff>
    </xdr:from>
    <xdr:to>
      <xdr:col>3</xdr:col>
      <xdr:colOff>381000</xdr:colOff>
      <xdr:row>0</xdr:row>
      <xdr:rowOff>0</xdr:rowOff>
    </xdr:to>
    <xdr:pic>
      <xdr:nvPicPr>
        <xdr:cNvPr id="1117347" name="Picture 4" descr="Consi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9155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381000</xdr:colOff>
      <xdr:row>0</xdr:row>
      <xdr:rowOff>419100</xdr:rowOff>
    </xdr:to>
    <xdr:pic>
      <xdr:nvPicPr>
        <xdr:cNvPr id="1117348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381000</xdr:colOff>
      <xdr:row>0</xdr:row>
      <xdr:rowOff>419100</xdr:rowOff>
    </xdr:to>
    <xdr:pic>
      <xdr:nvPicPr>
        <xdr:cNvPr id="1117349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381000</xdr:colOff>
      <xdr:row>0</xdr:row>
      <xdr:rowOff>419100</xdr:rowOff>
    </xdr:to>
    <xdr:pic>
      <xdr:nvPicPr>
        <xdr:cNvPr id="1117350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59155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3</xdr:col>
      <xdr:colOff>0</xdr:colOff>
      <xdr:row>1</xdr:row>
      <xdr:rowOff>0</xdr:rowOff>
    </xdr:to>
    <xdr:pic>
      <xdr:nvPicPr>
        <xdr:cNvPr id="1117351" name="Immagine 6" descr="Logo DGSIA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210550" cy="214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0</xdr:colOff>
      <xdr:row>0</xdr:row>
      <xdr:rowOff>495300</xdr:rowOff>
    </xdr:to>
    <xdr:pic>
      <xdr:nvPicPr>
        <xdr:cNvPr id="1118228" name="Picture 12648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59075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0</xdr:col>
          <xdr:colOff>104775</xdr:colOff>
          <xdr:row>0</xdr:row>
          <xdr:rowOff>28575</xdr:rowOff>
        </xdr:from>
        <xdr:to>
          <xdr:col>1</xdr:col>
          <xdr:colOff>657225</xdr:colOff>
          <xdr:row>0</xdr:row>
          <xdr:rowOff>381000</xdr:rowOff>
        </xdr:to>
        <xdr:sp macro="" textlink="">
          <xdr:nvSpPr>
            <xdr:cNvPr id="219440" name="Btn_Insert" hidden="1">
              <a:extLst>
                <a:ext uri="{63B3BB69-23CF-44E3-9099-C40C66FF867C}">
                  <a14:compatExt spid="_x0000_s21944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1</xdr:col>
          <xdr:colOff>704850</xdr:colOff>
          <xdr:row>0</xdr:row>
          <xdr:rowOff>28575</xdr:rowOff>
        </xdr:from>
        <xdr:to>
          <xdr:col>5</xdr:col>
          <xdr:colOff>409575</xdr:colOff>
          <xdr:row>0</xdr:row>
          <xdr:rowOff>381000</xdr:rowOff>
        </xdr:to>
        <xdr:sp macro="" textlink="">
          <xdr:nvSpPr>
            <xdr:cNvPr id="219441" name="Btn_Delete" hidden="1">
              <a:extLst>
                <a:ext uri="{63B3BB69-23CF-44E3-9099-C40C66FF867C}">
                  <a14:compatExt spid="_x0000_s21944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5</xdr:col>
          <xdr:colOff>457200</xdr:colOff>
          <xdr:row>0</xdr:row>
          <xdr:rowOff>28575</xdr:rowOff>
        </xdr:from>
        <xdr:to>
          <xdr:col>6</xdr:col>
          <xdr:colOff>971550</xdr:colOff>
          <xdr:row>0</xdr:row>
          <xdr:rowOff>381000</xdr:rowOff>
        </xdr:to>
        <xdr:sp macro="" textlink="">
          <xdr:nvSpPr>
            <xdr:cNvPr id="219442" name="Btn_Duplicate" hidden="1">
              <a:extLst>
                <a:ext uri="{63B3BB69-23CF-44E3-9099-C40C66FF867C}">
                  <a14:compatExt spid="_x0000_s2194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0</xdr:row>
      <xdr:rowOff>0</xdr:rowOff>
    </xdr:from>
    <xdr:to>
      <xdr:col>19</xdr:col>
      <xdr:colOff>600075</xdr:colOff>
      <xdr:row>0</xdr:row>
      <xdr:rowOff>409575</xdr:rowOff>
    </xdr:to>
    <xdr:pic>
      <xdr:nvPicPr>
        <xdr:cNvPr id="1119252" name="Picture 4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0"/>
          <a:ext cx="228790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133350</xdr:colOff>
          <xdr:row>0</xdr:row>
          <xdr:rowOff>28575</xdr:rowOff>
        </xdr:from>
        <xdr:to>
          <xdr:col>5</xdr:col>
          <xdr:colOff>114300</xdr:colOff>
          <xdr:row>0</xdr:row>
          <xdr:rowOff>381000</xdr:rowOff>
        </xdr:to>
        <xdr:sp macro="" textlink="">
          <xdr:nvSpPr>
            <xdr:cNvPr id="451585" name="Btn_Insert" hidden="1">
              <a:extLst>
                <a:ext uri="{63B3BB69-23CF-44E3-9099-C40C66FF867C}">
                  <a14:compatExt spid="_x0000_s45158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0</xdr:row>
          <xdr:rowOff>28575</xdr:rowOff>
        </xdr:from>
        <xdr:to>
          <xdr:col>6</xdr:col>
          <xdr:colOff>638175</xdr:colOff>
          <xdr:row>0</xdr:row>
          <xdr:rowOff>381000</xdr:rowOff>
        </xdr:to>
        <xdr:sp macro="" textlink="">
          <xdr:nvSpPr>
            <xdr:cNvPr id="451586" name="Btn_Delete" hidden="1">
              <a:extLst>
                <a:ext uri="{63B3BB69-23CF-44E3-9099-C40C66FF867C}">
                  <a14:compatExt spid="_x0000_s45158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0</xdr:row>
          <xdr:rowOff>28575</xdr:rowOff>
        </xdr:from>
        <xdr:to>
          <xdr:col>7</xdr:col>
          <xdr:colOff>0</xdr:colOff>
          <xdr:row>0</xdr:row>
          <xdr:rowOff>381000</xdr:rowOff>
        </xdr:to>
        <xdr:sp macro="" textlink="">
          <xdr:nvSpPr>
            <xdr:cNvPr id="451587" name="Btn_Duplicate" hidden="1">
              <a:extLst>
                <a:ext uri="{63B3BB69-23CF-44E3-9099-C40C66FF867C}">
                  <a14:compatExt spid="_x0000_s45158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3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37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38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2466975</xdr:colOff>
      <xdr:row>0</xdr:row>
      <xdr:rowOff>0</xdr:rowOff>
    </xdr:from>
    <xdr:to>
      <xdr:col>3</xdr:col>
      <xdr:colOff>3267075</xdr:colOff>
      <xdr:row>0</xdr:row>
      <xdr:rowOff>0</xdr:rowOff>
    </xdr:to>
    <xdr:pic>
      <xdr:nvPicPr>
        <xdr:cNvPr id="1120539" name="Picture 4" descr="Consi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4325" y="0"/>
          <a:ext cx="800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4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41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0</xdr:rowOff>
    </xdr:from>
    <xdr:to>
      <xdr:col>3</xdr:col>
      <xdr:colOff>3448050</xdr:colOff>
      <xdr:row>0</xdr:row>
      <xdr:rowOff>0</xdr:rowOff>
    </xdr:to>
    <xdr:pic>
      <xdr:nvPicPr>
        <xdr:cNvPr id="112054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0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2466975</xdr:colOff>
      <xdr:row>0</xdr:row>
      <xdr:rowOff>0</xdr:rowOff>
    </xdr:from>
    <xdr:to>
      <xdr:col>3</xdr:col>
      <xdr:colOff>3267075</xdr:colOff>
      <xdr:row>0</xdr:row>
      <xdr:rowOff>0</xdr:rowOff>
    </xdr:to>
    <xdr:pic>
      <xdr:nvPicPr>
        <xdr:cNvPr id="1120543" name="Picture 8" descr="Consi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4325" y="0"/>
          <a:ext cx="8001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1120544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1120545" name="Picture 1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3962400</xdr:colOff>
      <xdr:row>0</xdr:row>
      <xdr:rowOff>123825</xdr:rowOff>
    </xdr:from>
    <xdr:to>
      <xdr:col>3</xdr:col>
      <xdr:colOff>3448050</xdr:colOff>
      <xdr:row>0</xdr:row>
      <xdr:rowOff>419100</xdr:rowOff>
    </xdr:to>
    <xdr:pic>
      <xdr:nvPicPr>
        <xdr:cNvPr id="1120546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331" b="48897"/>
        <a:stretch>
          <a:fillRect/>
        </a:stretch>
      </xdr:blipFill>
      <xdr:spPr bwMode="auto">
        <a:xfrm>
          <a:off x="8915400" y="123825"/>
          <a:ext cx="0" cy="2952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0</xdr:colOff>
      <xdr:row>0</xdr:row>
      <xdr:rowOff>0</xdr:rowOff>
    </xdr:from>
    <xdr:to>
      <xdr:col>3</xdr:col>
      <xdr:colOff>104775</xdr:colOff>
      <xdr:row>1</xdr:row>
      <xdr:rowOff>0</xdr:rowOff>
    </xdr:to>
    <xdr:pic>
      <xdr:nvPicPr>
        <xdr:cNvPr id="1120547" name="Immagine 6" descr="Logo DGSIA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5476875" cy="2143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1066800</xdr:colOff>
      <xdr:row>1</xdr:row>
      <xdr:rowOff>171450</xdr:rowOff>
    </xdr:from>
    <xdr:to>
      <xdr:col>2</xdr:col>
      <xdr:colOff>1800225</xdr:colOff>
      <xdr:row>1</xdr:row>
      <xdr:rowOff>400050</xdr:rowOff>
    </xdr:to>
    <xdr:pic>
      <xdr:nvPicPr>
        <xdr:cNvPr id="1120548" name="Picture 4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526" b="20619"/>
        <a:stretch>
          <a:fillRect/>
        </a:stretch>
      </xdr:blipFill>
      <xdr:spPr bwMode="auto">
        <a:xfrm>
          <a:off x="3248025" y="2314575"/>
          <a:ext cx="733425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2800350</xdr:colOff>
      <xdr:row>1</xdr:row>
      <xdr:rowOff>209550</xdr:rowOff>
    </xdr:from>
    <xdr:to>
      <xdr:col>3</xdr:col>
      <xdr:colOff>161925</xdr:colOff>
      <xdr:row>1</xdr:row>
      <xdr:rowOff>342900</xdr:rowOff>
    </xdr:to>
    <xdr:pic>
      <xdr:nvPicPr>
        <xdr:cNvPr id="1120549" name="Immagine 10" descr="Immagine-Sirfin-PA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81575" y="2352675"/>
          <a:ext cx="647700" cy="1333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0</xdr:colOff>
      <xdr:row>0</xdr:row>
      <xdr:rowOff>466725</xdr:rowOff>
    </xdr:to>
    <xdr:pic>
      <xdr:nvPicPr>
        <xdr:cNvPr id="1121300" name="Picture 22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51585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381000</xdr:colOff>
          <xdr:row>0</xdr:row>
          <xdr:rowOff>9525</xdr:rowOff>
        </xdr:from>
        <xdr:to>
          <xdr:col>3</xdr:col>
          <xdr:colOff>2057400</xdr:colOff>
          <xdr:row>0</xdr:row>
          <xdr:rowOff>361950</xdr:rowOff>
        </xdr:to>
        <xdr:sp macro="" textlink="">
          <xdr:nvSpPr>
            <xdr:cNvPr id="260100" name="Btn_InsLayout" hidden="1">
              <a:extLst>
                <a:ext uri="{63B3BB69-23CF-44E3-9099-C40C66FF867C}">
                  <a14:compatExt spid="_x0000_s26010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3</xdr:col>
          <xdr:colOff>2076450</xdr:colOff>
          <xdr:row>0</xdr:row>
          <xdr:rowOff>9525</xdr:rowOff>
        </xdr:from>
        <xdr:to>
          <xdr:col>4</xdr:col>
          <xdr:colOff>733425</xdr:colOff>
          <xdr:row>0</xdr:row>
          <xdr:rowOff>381000</xdr:rowOff>
        </xdr:to>
        <xdr:sp macro="" textlink="">
          <xdr:nvSpPr>
            <xdr:cNvPr id="260102" name="Btn_Delete" hidden="1">
              <a:extLst>
                <a:ext uri="{63B3BB69-23CF-44E3-9099-C40C66FF867C}">
                  <a14:compatExt spid="_x0000_s26010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absolute">
        <xdr:from>
          <xdr:col>4</xdr:col>
          <xdr:colOff>771525</xdr:colOff>
          <xdr:row>0</xdr:row>
          <xdr:rowOff>9525</xdr:rowOff>
        </xdr:from>
        <xdr:to>
          <xdr:col>4</xdr:col>
          <xdr:colOff>1895475</xdr:colOff>
          <xdr:row>0</xdr:row>
          <xdr:rowOff>371475</xdr:rowOff>
        </xdr:to>
        <xdr:sp macro="" textlink="">
          <xdr:nvSpPr>
            <xdr:cNvPr id="260103" name="Btn_Duplicate" hidden="1">
              <a:extLst>
                <a:ext uri="{63B3BB69-23CF-44E3-9099-C40C66FF867C}">
                  <a14:compatExt spid="_x0000_s26010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0</xdr:colOff>
      <xdr:row>0</xdr:row>
      <xdr:rowOff>485775</xdr:rowOff>
    </xdr:to>
    <xdr:pic>
      <xdr:nvPicPr>
        <xdr:cNvPr id="1122324" name="Picture 3"/>
        <xdr:cNvPicPr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2449175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0</xdr:row>
      <xdr:rowOff>0</xdr:rowOff>
    </xdr:from>
    <xdr:to>
      <xdr:col>9</xdr:col>
      <xdr:colOff>0</xdr:colOff>
      <xdr:row>0</xdr:row>
      <xdr:rowOff>409575</xdr:rowOff>
    </xdr:to>
    <xdr:pic>
      <xdr:nvPicPr>
        <xdr:cNvPr id="1123348" name="Picture 1" descr="pattern-CARS"/>
        <xdr:cNvPicPr preferRelativeResize="0"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0"/>
          <a:ext cx="11182350" cy="409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 fLocksWithSheet="0"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0</xdr:row>
          <xdr:rowOff>19050</xdr:rowOff>
        </xdr:from>
        <xdr:to>
          <xdr:col>3</xdr:col>
          <xdr:colOff>1676400</xdr:colOff>
          <xdr:row>0</xdr:row>
          <xdr:rowOff>371475</xdr:rowOff>
        </xdr:to>
        <xdr:sp macro="" textlink="">
          <xdr:nvSpPr>
            <xdr:cNvPr id="453634" name="Btn_InsLayout" hidden="1">
              <a:extLst>
                <a:ext uri="{63B3BB69-23CF-44E3-9099-C40C66FF867C}">
                  <a14:compatExt spid="_x0000_s4536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1695450</xdr:colOff>
          <xdr:row>0</xdr:row>
          <xdr:rowOff>19050</xdr:rowOff>
        </xdr:from>
        <xdr:to>
          <xdr:col>4</xdr:col>
          <xdr:colOff>523875</xdr:colOff>
          <xdr:row>0</xdr:row>
          <xdr:rowOff>371475</xdr:rowOff>
        </xdr:to>
        <xdr:sp macro="" textlink="">
          <xdr:nvSpPr>
            <xdr:cNvPr id="453635" name="Btn_Delete" hidden="1">
              <a:extLst>
                <a:ext uri="{63B3BB69-23CF-44E3-9099-C40C66FF867C}">
                  <a14:compatExt spid="_x0000_s4536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561975</xdr:colOff>
          <xdr:row>0</xdr:row>
          <xdr:rowOff>19050</xdr:rowOff>
        </xdr:from>
        <xdr:to>
          <xdr:col>4</xdr:col>
          <xdr:colOff>1905000</xdr:colOff>
          <xdr:row>0</xdr:row>
          <xdr:rowOff>371475</xdr:rowOff>
        </xdr:to>
        <xdr:sp macro="" textlink="">
          <xdr:nvSpPr>
            <xdr:cNvPr id="453636" name="Btn_Duplicate" hidden="1">
              <a:extLst>
                <a:ext uri="{63B3BB69-23CF-44E3-9099-C40C66FF867C}">
                  <a14:compatExt spid="_x0000_s45363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819150</xdr:colOff>
      <xdr:row>1</xdr:row>
      <xdr:rowOff>9525</xdr:rowOff>
    </xdr:to>
    <xdr:pic>
      <xdr:nvPicPr>
        <xdr:cNvPr id="1124392" name="Picture 1" descr="CARS_WB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039100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128</xdr:row>
          <xdr:rowOff>0</xdr:rowOff>
        </xdr:from>
        <xdr:to>
          <xdr:col>6</xdr:col>
          <xdr:colOff>0</xdr:colOff>
          <xdr:row>129</xdr:row>
          <xdr:rowOff>104775</xdr:rowOff>
        </xdr:to>
        <xdr:sp macro="" textlink="">
          <xdr:nvSpPr>
            <xdr:cNvPr id="6150" name="TestDBConnection" hidden="1">
              <a:extLst>
                <a:ext uri="{63B3BB69-23CF-44E3-9099-C40C66FF867C}">
                  <a14:compatExt spid="_x0000_s61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9525</xdr:colOff>
          <xdr:row>125</xdr:row>
          <xdr:rowOff>9525</xdr:rowOff>
        </xdr:from>
        <xdr:to>
          <xdr:col>1</xdr:col>
          <xdr:colOff>2028825</xdr:colOff>
          <xdr:row>125</xdr:row>
          <xdr:rowOff>209550</xdr:rowOff>
        </xdr:to>
        <xdr:grpSp>
          <xdr:nvGrpSpPr>
            <xdr:cNvPr id="1124393" name="Group 16"/>
            <xdr:cNvGrpSpPr>
              <a:grpSpLocks/>
            </xdr:cNvGrpSpPr>
          </xdr:nvGrpSpPr>
          <xdr:grpSpPr bwMode="auto">
            <a:xfrm>
              <a:off x="1971675" y="17202150"/>
              <a:ext cx="2019300" cy="200025"/>
              <a:chOff x="207" y="1823"/>
              <a:chExt cx="167" cy="21"/>
            </a:xfrm>
          </xdr:grpSpPr>
          <xdr:sp macro="" textlink="">
            <xdr:nvSpPr>
              <xdr:cNvPr id="6146" name="Auth_NT" hidden="1">
                <a:extLst>
                  <a:ext uri="{63B3BB69-23CF-44E3-9099-C40C66FF867C}">
                    <a14:compatExt spid="_x0000_s6146"/>
                  </a:ext>
                </a:extLst>
              </xdr:cNvPr>
              <xdr:cNvSpPr/>
            </xdr:nvSpPr>
            <xdr:spPr>
              <a:xfrm>
                <a:off x="207" y="1824"/>
                <a:ext cx="49" cy="19"/>
              </a:xfrm>
              <a:prstGeom prst="rect">
                <a:avLst/>
              </a:prstGeom>
            </xdr:spPr>
          </xdr:sp>
          <xdr:sp macro="" textlink="">
            <xdr:nvSpPr>
              <xdr:cNvPr id="6148" name="Auth_DB" hidden="1">
                <a:extLst>
                  <a:ext uri="{63B3BB69-23CF-44E3-9099-C40C66FF867C}">
                    <a14:compatExt spid="_x0000_s6148"/>
                  </a:ext>
                </a:extLst>
              </xdr:cNvPr>
              <xdr:cNvSpPr/>
            </xdr:nvSpPr>
            <xdr:spPr>
              <a:xfrm>
                <a:off x="255" y="1823"/>
                <a:ext cx="46" cy="20"/>
              </a:xfrm>
              <a:prstGeom prst="rect">
                <a:avLst/>
              </a:prstGeom>
            </xdr:spPr>
          </xdr:sp>
          <xdr:sp macro="" textlink="">
            <xdr:nvSpPr>
              <xdr:cNvPr id="6159" name="Auth_Custom" hidden="1">
                <a:extLst>
                  <a:ext uri="{63B3BB69-23CF-44E3-9099-C40C66FF867C}">
                    <a14:compatExt spid="_x0000_s6159"/>
                  </a:ext>
                </a:extLst>
              </xdr:cNvPr>
              <xdr:cNvSpPr/>
            </xdr:nvSpPr>
            <xdr:spPr>
              <a:xfrm>
                <a:off x="300" y="1824"/>
                <a:ext cx="74" cy="20"/>
              </a:xfrm>
              <a:prstGeom prst="rect">
                <a:avLst/>
              </a:prstGeom>
            </xdr:spPr>
          </xdr:sp>
        </xdr:grp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1905000</xdr:colOff>
          <xdr:row>14</xdr:row>
          <xdr:rowOff>19050</xdr:rowOff>
        </xdr:from>
        <xdr:to>
          <xdr:col>1</xdr:col>
          <xdr:colOff>2619375</xdr:colOff>
          <xdr:row>15</xdr:row>
          <xdr:rowOff>0</xdr:rowOff>
        </xdr:to>
        <xdr:sp macro="" textlink="">
          <xdr:nvSpPr>
            <xdr:cNvPr id="6161" name="RiskModelStandard" hidden="1">
              <a:extLst>
                <a:ext uri="{63B3BB69-23CF-44E3-9099-C40C66FF867C}">
                  <a14:compatExt spid="_x0000_s616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2667000</xdr:colOff>
          <xdr:row>14</xdr:row>
          <xdr:rowOff>19050</xdr:rowOff>
        </xdr:from>
        <xdr:to>
          <xdr:col>1</xdr:col>
          <xdr:colOff>3286125</xdr:colOff>
          <xdr:row>15</xdr:row>
          <xdr:rowOff>0</xdr:rowOff>
        </xdr:to>
        <xdr:sp macro="" textlink="">
          <xdr:nvSpPr>
            <xdr:cNvPr id="6162" name="RiskModelManual" hidden="1">
              <a:extLst>
                <a:ext uri="{63B3BB69-23CF-44E3-9099-C40C66FF867C}">
                  <a14:compatExt spid="_x0000_s616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ewall.eng.it\Igruedoc\Documents%20and%20Settings\Gianni\Local%20Settings\Temporary%20Internet%20Files\OLK29\Program%20Files\Compuware\QACenter%20Portal\qacenterportal\Planning\Templates\AQW%20Workbench_TDT_8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Program%20Files\Compuware\QACenter%20Portal\qacenterportal\Planning\Templates\AQW%20Workbench_TDT_8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hewall.eng.it\Igruedoc\Documents%20and%20Settings\Gianni\Local%20Settings\Temporary%20Internet%20Files\OLK29\CONSIP%20Allegato%201%20Tabella%20dei%20Test%20-%20Codice%20di%20Test%20070315_02%20con%20macro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wit-c0147\%25%25%20Guida%20Strumenti\&amp;&amp;%20Progetti%20in%20corso\CONSIP\Documento%20Standard%20metodologia%20di%20test\CONSIP%20Allegato%201%20Tabella%20dei%20Test%20-%20Codice%20di%20Test%20070315_02%20con%20macr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Weighting and Counts"/>
      <sheetName val="Test Decision"/>
      <sheetName val="Test Conditions"/>
      <sheetName val="Internal Transfer Lookup"/>
      <sheetName val="SyncData"/>
    </sheetNames>
    <sheetDataSet>
      <sheetData sheetId="0" refreshError="1"/>
      <sheetData sheetId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 Planning List View"/>
      <sheetName val="Test Plan (copy)"/>
      <sheetName val="Test Plan (tree)"/>
      <sheetName val="Copertina"/>
      <sheetName val="Istruzioni"/>
      <sheetName val="Tabella dei test"/>
      <sheetName val="Codice di test"/>
      <sheetName val="Standard Layout"/>
      <sheetName val="Test Planning Setup"/>
      <sheetName val="Users"/>
      <sheetName val="Raw_Data_In"/>
      <sheetName val="Raw Data Out"/>
      <sheetName val="DeletedReqs"/>
      <sheetName val="QACP_Project_Setup"/>
      <sheetName val="QACPRiskFactorWeights"/>
      <sheetName val="Error Log"/>
      <sheetName val="Calc_WS"/>
      <sheetName val="temp_users"/>
      <sheetName val="temp ws"/>
      <sheetName val="Business Rules"/>
      <sheetName val="ClipBoard"/>
    </sheetNames>
    <sheetDataSet>
      <sheetData sheetId="0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>
        <row r="2">
          <cell r="A2" t="str">
            <v>Admin</v>
          </cell>
        </row>
        <row r="3">
          <cell r="A3" t="str">
            <v>Unassigned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91440" tIns="45720" rIns="91440" bIns="4572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noFill/>
        <a:ln w="9525" cap="flat" cmpd="sng" algn="ctr">
          <a:noFill/>
          <a:prstDash val="solid"/>
          <a:round/>
          <a:headEnd type="none" w="med" len="med"/>
          <a:tailEnd type="none" w="med" len="med"/>
        </a:ln>
        <a:effectLst/>
      </a:spPr>
      <a:bodyPr vertOverflow="clip" wrap="square" lIns="91440" tIns="45720" rIns="91440" bIns="4572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6" Type="http://schemas.openxmlformats.org/officeDocument/2006/relationships/oleObject" Target="../embeddings/oleObject3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6.emf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2.xml"/><Relationship Id="rId5" Type="http://schemas.openxmlformats.org/officeDocument/2006/relationships/image" Target="../media/image5.emf"/><Relationship Id="rId4" Type="http://schemas.openxmlformats.org/officeDocument/2006/relationships/control" Target="../activeX/activeX1.xml"/><Relationship Id="rId9" Type="http://schemas.openxmlformats.org/officeDocument/2006/relationships/image" Target="../media/image7.emf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.xml"/><Relationship Id="rId3" Type="http://schemas.openxmlformats.org/officeDocument/2006/relationships/vmlDrawing" Target="../drawings/vmlDrawing4.vml"/><Relationship Id="rId7" Type="http://schemas.openxmlformats.org/officeDocument/2006/relationships/image" Target="../media/image10.emf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5.xml"/><Relationship Id="rId5" Type="http://schemas.openxmlformats.org/officeDocument/2006/relationships/image" Target="../media/image9.emf"/><Relationship Id="rId4" Type="http://schemas.openxmlformats.org/officeDocument/2006/relationships/control" Target="../activeX/activeX4.xml"/><Relationship Id="rId9" Type="http://schemas.openxmlformats.org/officeDocument/2006/relationships/image" Target="../media/image11.emf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9.xml"/><Relationship Id="rId3" Type="http://schemas.openxmlformats.org/officeDocument/2006/relationships/vmlDrawing" Target="../drawings/vmlDrawing5.vml"/><Relationship Id="rId7" Type="http://schemas.openxmlformats.org/officeDocument/2006/relationships/image" Target="../media/image15.emf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Relationship Id="rId6" Type="http://schemas.openxmlformats.org/officeDocument/2006/relationships/control" Target="../activeX/activeX8.xml"/><Relationship Id="rId5" Type="http://schemas.openxmlformats.org/officeDocument/2006/relationships/image" Target="../media/image14.emf"/><Relationship Id="rId4" Type="http://schemas.openxmlformats.org/officeDocument/2006/relationships/control" Target="../activeX/activeX7.xml"/><Relationship Id="rId9" Type="http://schemas.openxmlformats.org/officeDocument/2006/relationships/image" Target="../media/image16.emf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2.xml"/><Relationship Id="rId3" Type="http://schemas.openxmlformats.org/officeDocument/2006/relationships/vmlDrawing" Target="../drawings/vmlDrawing6.vml"/><Relationship Id="rId7" Type="http://schemas.openxmlformats.org/officeDocument/2006/relationships/image" Target="../media/image19.emf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Relationship Id="rId6" Type="http://schemas.openxmlformats.org/officeDocument/2006/relationships/control" Target="../activeX/activeX11.xml"/><Relationship Id="rId5" Type="http://schemas.openxmlformats.org/officeDocument/2006/relationships/image" Target="../media/image18.emf"/><Relationship Id="rId4" Type="http://schemas.openxmlformats.org/officeDocument/2006/relationships/control" Target="../activeX/activeX10.xml"/><Relationship Id="rId9" Type="http://schemas.openxmlformats.org/officeDocument/2006/relationships/image" Target="../media/image20.emf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5.xml"/><Relationship Id="rId13" Type="http://schemas.openxmlformats.org/officeDocument/2006/relationships/image" Target="../media/image25.emf"/><Relationship Id="rId3" Type="http://schemas.openxmlformats.org/officeDocument/2006/relationships/vmlDrawing" Target="../drawings/vmlDrawing7.vml"/><Relationship Id="rId7" Type="http://schemas.openxmlformats.org/officeDocument/2006/relationships/image" Target="../media/image22.emf"/><Relationship Id="rId12" Type="http://schemas.openxmlformats.org/officeDocument/2006/relationships/control" Target="../activeX/activeX17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Relationship Id="rId6" Type="http://schemas.openxmlformats.org/officeDocument/2006/relationships/control" Target="../activeX/activeX14.xml"/><Relationship Id="rId11" Type="http://schemas.openxmlformats.org/officeDocument/2006/relationships/image" Target="../media/image24.emf"/><Relationship Id="rId5" Type="http://schemas.openxmlformats.org/officeDocument/2006/relationships/image" Target="../media/image21.emf"/><Relationship Id="rId15" Type="http://schemas.openxmlformats.org/officeDocument/2006/relationships/image" Target="../media/image26.emf"/><Relationship Id="rId10" Type="http://schemas.openxmlformats.org/officeDocument/2006/relationships/control" Target="../activeX/activeX16.xml"/><Relationship Id="rId4" Type="http://schemas.openxmlformats.org/officeDocument/2006/relationships/control" Target="../activeX/activeX13.xml"/><Relationship Id="rId9" Type="http://schemas.openxmlformats.org/officeDocument/2006/relationships/image" Target="../media/image23.emf"/><Relationship Id="rId14" Type="http://schemas.openxmlformats.org/officeDocument/2006/relationships/control" Target="../activeX/activeX1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BN1"/>
  <sheetViews>
    <sheetView workbookViewId="0">
      <selection activeCell="A2" sqref="A2:IV65536"/>
    </sheetView>
  </sheetViews>
  <sheetFormatPr defaultRowHeight="12.75"/>
  <cols>
    <col min="1" max="1" width="57.140625" customWidth="1"/>
    <col min="2" max="2" width="23.28515625" customWidth="1"/>
    <col min="3" max="3" width="34" bestFit="1" customWidth="1"/>
    <col min="4" max="4" width="73.28515625" bestFit="1" customWidth="1"/>
    <col min="5" max="5" width="83.85546875" bestFit="1" customWidth="1"/>
    <col min="6" max="6" width="18" customWidth="1"/>
    <col min="7" max="7" width="10" customWidth="1"/>
    <col min="15" max="16" width="13.5703125" customWidth="1"/>
    <col min="17" max="17" width="10.42578125" bestFit="1" customWidth="1"/>
    <col min="18" max="18" width="9" bestFit="1" customWidth="1"/>
    <col min="19" max="29" width="9" customWidth="1"/>
    <col min="30" max="30" width="5.85546875" customWidth="1"/>
    <col min="31" max="31" width="4.7109375" bestFit="1" customWidth="1"/>
    <col min="32" max="32" width="7.42578125" bestFit="1" customWidth="1"/>
    <col min="33" max="33" width="8.5703125" customWidth="1"/>
    <col min="34" max="34" width="7.42578125" bestFit="1" customWidth="1"/>
    <col min="35" max="35" width="5.42578125" bestFit="1" customWidth="1"/>
    <col min="36" max="36" width="5.85546875" customWidth="1"/>
    <col min="37" max="37" width="5.5703125" customWidth="1"/>
    <col min="38" max="40" width="5" customWidth="1"/>
    <col min="41" max="42" width="5.28515625" customWidth="1"/>
    <col min="43" max="43" width="6.140625" customWidth="1"/>
    <col min="44" max="44" width="5.140625" customWidth="1"/>
    <col min="45" max="45" width="6.28515625" customWidth="1"/>
    <col min="46" max="46" width="7.5703125" customWidth="1"/>
    <col min="47" max="47" width="6.140625" customWidth="1"/>
    <col min="48" max="48" width="7" customWidth="1"/>
    <col min="49" max="49" width="7.28515625" customWidth="1"/>
    <col min="50" max="50" width="6.85546875" customWidth="1"/>
    <col min="51" max="51" width="7.7109375" customWidth="1"/>
    <col min="52" max="52" width="6.5703125" customWidth="1"/>
    <col min="53" max="54" width="6.140625" customWidth="1"/>
    <col min="55" max="55" width="6" customWidth="1"/>
    <col min="56" max="56" width="6.85546875" customWidth="1"/>
    <col min="57" max="57" width="6.28515625" customWidth="1"/>
    <col min="58" max="58" width="5" customWidth="1"/>
    <col min="59" max="59" width="13.5703125" customWidth="1"/>
  </cols>
  <sheetData>
    <row r="1" spans="1:66" ht="38.25">
      <c r="A1" s="79" t="s">
        <v>252</v>
      </c>
      <c r="B1" s="79" t="s">
        <v>253</v>
      </c>
      <c r="C1" s="79" t="s">
        <v>98</v>
      </c>
      <c r="D1" s="79" t="s">
        <v>99</v>
      </c>
      <c r="E1" s="79" t="s">
        <v>100</v>
      </c>
      <c r="F1" s="79" t="s">
        <v>13</v>
      </c>
      <c r="G1" s="79" t="s">
        <v>101</v>
      </c>
      <c r="H1" s="79" t="s">
        <v>102</v>
      </c>
      <c r="I1" s="79" t="s">
        <v>103</v>
      </c>
      <c r="J1" s="79" t="s">
        <v>104</v>
      </c>
      <c r="K1" s="79" t="s">
        <v>105</v>
      </c>
      <c r="L1" s="79" t="s">
        <v>106</v>
      </c>
      <c r="M1" s="79" t="s">
        <v>107</v>
      </c>
      <c r="N1" s="79" t="s">
        <v>108</v>
      </c>
      <c r="O1" s="80" t="s">
        <v>109</v>
      </c>
      <c r="P1" s="90" t="s">
        <v>284</v>
      </c>
      <c r="Q1" s="81" t="s">
        <v>228</v>
      </c>
      <c r="R1" s="80" t="s">
        <v>110</v>
      </c>
      <c r="S1" s="80" t="s">
        <v>269</v>
      </c>
      <c r="T1" s="80" t="s">
        <v>270</v>
      </c>
      <c r="U1" s="80" t="s">
        <v>260</v>
      </c>
      <c r="V1" s="80" t="s">
        <v>271</v>
      </c>
      <c r="W1" s="80" t="s">
        <v>272</v>
      </c>
      <c r="X1" s="80" t="s">
        <v>273</v>
      </c>
      <c r="Y1" s="80" t="s">
        <v>274</v>
      </c>
      <c r="Z1" s="80" t="s">
        <v>275</v>
      </c>
      <c r="AA1" s="80" t="s">
        <v>276</v>
      </c>
      <c r="AB1" s="80" t="s">
        <v>277</v>
      </c>
      <c r="AC1" s="80" t="s">
        <v>278</v>
      </c>
      <c r="AD1" s="80" t="s">
        <v>111</v>
      </c>
      <c r="AE1" s="81" t="s">
        <v>112</v>
      </c>
      <c r="AF1" s="80" t="s">
        <v>113</v>
      </c>
      <c r="AG1" s="80" t="s">
        <v>114</v>
      </c>
      <c r="AH1" s="80" t="s">
        <v>115</v>
      </c>
      <c r="AI1" s="80" t="s">
        <v>116</v>
      </c>
      <c r="AJ1" s="80" t="s">
        <v>117</v>
      </c>
      <c r="AK1" s="80" t="s">
        <v>118</v>
      </c>
      <c r="AL1" s="80" t="s">
        <v>119</v>
      </c>
      <c r="AM1" s="80" t="s">
        <v>120</v>
      </c>
      <c r="AN1" s="80" t="s">
        <v>121</v>
      </c>
      <c r="AO1" s="80" t="s">
        <v>122</v>
      </c>
      <c r="AP1" s="80" t="s">
        <v>123</v>
      </c>
      <c r="AQ1" s="80" t="s">
        <v>124</v>
      </c>
      <c r="AR1" s="80" t="s">
        <v>125</v>
      </c>
      <c r="AS1" s="80" t="s">
        <v>126</v>
      </c>
      <c r="AT1" s="80" t="s">
        <v>127</v>
      </c>
      <c r="AU1" s="80" t="s">
        <v>128</v>
      </c>
      <c r="AV1" s="80" t="s">
        <v>129</v>
      </c>
      <c r="AW1" s="80" t="s">
        <v>130</v>
      </c>
      <c r="AX1" s="80" t="s">
        <v>131</v>
      </c>
      <c r="AY1" s="80" t="s">
        <v>132</v>
      </c>
      <c r="AZ1" s="80" t="s">
        <v>133</v>
      </c>
      <c r="BA1" s="80" t="s">
        <v>134</v>
      </c>
      <c r="BB1" s="80" t="s">
        <v>135</v>
      </c>
      <c r="BC1" s="80" t="s">
        <v>136</v>
      </c>
      <c r="BD1" s="82" t="s">
        <v>137</v>
      </c>
      <c r="BE1" s="82" t="s">
        <v>138</v>
      </c>
      <c r="BF1" s="82" t="s">
        <v>139</v>
      </c>
      <c r="BG1" s="90" t="s">
        <v>14</v>
      </c>
      <c r="BH1" s="91" t="s">
        <v>15</v>
      </c>
      <c r="BI1" s="91" t="s">
        <v>16</v>
      </c>
      <c r="BJ1" s="91" t="s">
        <v>17</v>
      </c>
      <c r="BK1" s="91" t="s">
        <v>18</v>
      </c>
      <c r="BL1" s="91" t="s">
        <v>19</v>
      </c>
      <c r="BM1" s="91" t="s">
        <v>20</v>
      </c>
      <c r="BN1" s="91" t="s">
        <v>21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5">
    <pageSetUpPr fitToPage="1"/>
  </sheetPr>
  <dimension ref="A1:B16"/>
  <sheetViews>
    <sheetView zoomScale="75" zoomScaleNormal="93" workbookViewId="0">
      <selection activeCell="B18" sqref="B18"/>
    </sheetView>
  </sheetViews>
  <sheetFormatPr defaultRowHeight="12.75"/>
  <cols>
    <col min="1" max="1" width="25.85546875" customWidth="1"/>
    <col min="2" max="2" width="120.28515625" customWidth="1"/>
  </cols>
  <sheetData>
    <row r="1" spans="1:2" ht="70.900000000000006" customHeight="1">
      <c r="A1" s="257"/>
      <c r="B1" s="258" t="s">
        <v>559</v>
      </c>
    </row>
    <row r="2" spans="1:2" ht="27.6" customHeight="1">
      <c r="A2" s="257"/>
      <c r="B2" s="259"/>
    </row>
    <row r="3" spans="1:2" ht="26.45" customHeight="1">
      <c r="A3" s="355" t="s">
        <v>560</v>
      </c>
      <c r="B3" s="355"/>
    </row>
    <row r="4" spans="1:2" ht="16.899999999999999" customHeight="1">
      <c r="A4" s="355" t="s">
        <v>460</v>
      </c>
      <c r="B4" s="356"/>
    </row>
    <row r="5" spans="1:2" ht="18.600000000000001" customHeight="1">
      <c r="A5" s="355" t="s">
        <v>461</v>
      </c>
      <c r="B5" s="356"/>
    </row>
    <row r="6" spans="1:2" ht="13.15" customHeight="1">
      <c r="A6" s="260"/>
      <c r="B6" s="260"/>
    </row>
    <row r="7" spans="1:2" ht="15.75">
      <c r="A7" s="114" t="s">
        <v>462</v>
      </c>
      <c r="B7" s="114" t="s">
        <v>185</v>
      </c>
    </row>
    <row r="8" spans="1:2" ht="15.75" customHeight="1">
      <c r="A8" s="261" t="s">
        <v>489</v>
      </c>
      <c r="B8" s="262" t="s">
        <v>559</v>
      </c>
    </row>
    <row r="9" spans="1:2" ht="15.75" customHeight="1">
      <c r="A9" s="261" t="s">
        <v>490</v>
      </c>
      <c r="B9" s="262" t="s">
        <v>491</v>
      </c>
    </row>
    <row r="10" spans="1:2" ht="23.25" customHeight="1">
      <c r="A10" s="261" t="s">
        <v>492</v>
      </c>
      <c r="B10" s="262" t="s">
        <v>326</v>
      </c>
    </row>
    <row r="11" spans="1:2" ht="14.25" customHeight="1">
      <c r="A11" s="261" t="s">
        <v>493</v>
      </c>
      <c r="B11" s="262" t="s">
        <v>494</v>
      </c>
    </row>
    <row r="12" spans="1:2" ht="15.75" customHeight="1">
      <c r="A12" s="261" t="s">
        <v>561</v>
      </c>
      <c r="B12" s="262" t="s">
        <v>562</v>
      </c>
    </row>
    <row r="13" spans="1:2" ht="13.9" customHeight="1">
      <c r="A13" s="261" t="s">
        <v>495</v>
      </c>
      <c r="B13" s="262" t="s">
        <v>563</v>
      </c>
    </row>
    <row r="14" spans="1:2" ht="17.45" customHeight="1">
      <c r="A14" s="261" t="s">
        <v>496</v>
      </c>
      <c r="B14" s="262" t="s">
        <v>68</v>
      </c>
    </row>
    <row r="15" spans="1:2" ht="26.45" customHeight="1">
      <c r="A15" s="354" t="s">
        <v>67</v>
      </c>
      <c r="B15" s="354"/>
    </row>
    <row r="16" spans="1:2" ht="19.899999999999999" customHeight="1">
      <c r="A16" s="354" t="s">
        <v>564</v>
      </c>
      <c r="B16" s="354"/>
    </row>
  </sheetData>
  <mergeCells count="5">
    <mergeCell ref="A16:B16"/>
    <mergeCell ref="A3:B3"/>
    <mergeCell ref="A4:B4"/>
    <mergeCell ref="A5:B5"/>
    <mergeCell ref="A15:B15"/>
  </mergeCells>
  <phoneticPr fontId="7" type="noConversion"/>
  <pageMargins left="0.35433070866141736" right="0.55000000000000004" top="0.39370078740157483" bottom="0.35433070866141736" header="0.31496062992125984" footer="0.17"/>
  <pageSetup paperSize="9" scale="95" orientation="landscape" horizontalDpi="300" verticalDpi="300" r:id="rId1"/>
  <headerFooter alignWithMargins="0">
    <oddFooter>&amp;L&amp;F&amp;C&amp;A&amp;R&amp;P di &amp;N</oddFooter>
  </headerFooter>
  <drawing r:id="rId2"/>
  <legacyDrawing r:id="rId3"/>
  <oleObjects>
    <mc:AlternateContent xmlns:mc="http://schemas.openxmlformats.org/markup-compatibility/2006">
      <mc:Choice Requires="x14">
        <oleObject progId="MSPhotoEd.3" shapeId="448513" r:id="rId4">
          <objectPr defaultSize="0" autoPict="0" r:id="rId5">
            <anchor moveWithCells="1" sizeWithCells="1">
              <from>
                <xdr:col>0</xdr:col>
                <xdr:colOff>219075</xdr:colOff>
                <xdr:row>0</xdr:row>
                <xdr:rowOff>0</xdr:rowOff>
              </from>
              <to>
                <xdr:col>0</xdr:col>
                <xdr:colOff>933450</xdr:colOff>
                <xdr:row>0</xdr:row>
                <xdr:rowOff>0</xdr:rowOff>
              </to>
            </anchor>
          </objectPr>
        </oleObject>
      </mc:Choice>
      <mc:Fallback>
        <oleObject progId="MSPhotoEd.3" shapeId="448513" r:id="rId4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6">
    <pageSetUpPr fitToPage="1"/>
  </sheetPr>
  <dimension ref="A1:B13"/>
  <sheetViews>
    <sheetView topLeftCell="A4" zoomScale="85" zoomScaleNormal="93" workbookViewId="0"/>
  </sheetViews>
  <sheetFormatPr defaultRowHeight="12.75"/>
  <cols>
    <col min="1" max="1" width="27.140625" customWidth="1"/>
    <col min="2" max="2" width="120.28515625" customWidth="1"/>
  </cols>
  <sheetData>
    <row r="1" spans="1:2" ht="49.9" customHeight="1">
      <c r="A1" s="112"/>
      <c r="B1" s="205" t="s">
        <v>49</v>
      </c>
    </row>
    <row r="2" spans="1:2" ht="21.6" customHeight="1">
      <c r="A2" s="112"/>
      <c r="B2" s="113"/>
    </row>
    <row r="3" spans="1:2" ht="21" customHeight="1" thickBot="1">
      <c r="A3" s="114"/>
    </row>
    <row r="4" spans="1:2" ht="12.75" customHeight="1">
      <c r="A4" s="357" t="s">
        <v>50</v>
      </c>
      <c r="B4" s="358"/>
    </row>
    <row r="5" spans="1:2" ht="35.25" customHeight="1">
      <c r="A5" s="145" t="s">
        <v>51</v>
      </c>
      <c r="B5" s="146" t="s">
        <v>332</v>
      </c>
    </row>
    <row r="6" spans="1:2" ht="19.5" customHeight="1">
      <c r="A6" s="116" t="s">
        <v>52</v>
      </c>
      <c r="B6" s="115" t="s">
        <v>53</v>
      </c>
    </row>
    <row r="7" spans="1:2" ht="19.5" customHeight="1">
      <c r="A7" s="116" t="s">
        <v>54</v>
      </c>
      <c r="B7" s="147" t="s">
        <v>327</v>
      </c>
    </row>
    <row r="8" spans="1:2" ht="17.25" customHeight="1" thickBot="1">
      <c r="A8" s="117" t="s">
        <v>55</v>
      </c>
      <c r="B8" s="148" t="s">
        <v>328</v>
      </c>
    </row>
    <row r="9" spans="1:2" ht="11.25" customHeight="1">
      <c r="A9" s="357" t="s">
        <v>56</v>
      </c>
      <c r="B9" s="358"/>
    </row>
    <row r="10" spans="1:2" ht="15.75" customHeight="1">
      <c r="A10" s="145" t="s">
        <v>57</v>
      </c>
      <c r="B10" s="149" t="s">
        <v>329</v>
      </c>
    </row>
    <row r="11" spans="1:2" ht="15.75" customHeight="1">
      <c r="A11" s="116" t="s">
        <v>58</v>
      </c>
      <c r="B11" s="115" t="s">
        <v>330</v>
      </c>
    </row>
    <row r="12" spans="1:2" ht="15.75" customHeight="1">
      <c r="A12" s="116" t="s">
        <v>59</v>
      </c>
      <c r="B12" s="115" t="s">
        <v>331</v>
      </c>
    </row>
    <row r="13" spans="1:2" ht="61.5" customHeight="1" thickBot="1">
      <c r="A13" s="117" t="s">
        <v>60</v>
      </c>
      <c r="B13" s="148" t="s">
        <v>333</v>
      </c>
    </row>
  </sheetData>
  <mergeCells count="2">
    <mergeCell ref="A9:B9"/>
    <mergeCell ref="A4:B4"/>
  </mergeCells>
  <phoneticPr fontId="7" type="noConversion"/>
  <pageMargins left="0.35433070866141736" right="0.55000000000000004" top="0.39370078740157483" bottom="0.35433070866141736" header="0.31496062992125984" footer="0.17"/>
  <pageSetup paperSize="9" scale="95" orientation="landscape" horizontalDpi="300" verticalDpi="300" r:id="rId1"/>
  <headerFooter alignWithMargins="0">
    <oddFooter>&amp;L&amp;F&amp;C&amp;A&amp;R&amp;P di &amp;N</oddFooter>
  </headerFooter>
  <drawing r:id="rId2"/>
  <legacyDrawing r:id="rId3"/>
  <oleObjects>
    <mc:AlternateContent xmlns:mc="http://schemas.openxmlformats.org/markup-compatibility/2006">
      <mc:Choice Requires="x14">
        <oleObject progId="MSPhotoEd.3" shapeId="449537" r:id="rId4">
          <objectPr defaultSize="0" autoPict="0" r:id="rId5">
            <anchor moveWithCells="1" sizeWithCells="1">
              <from>
                <xdr:col>0</xdr:col>
                <xdr:colOff>219075</xdr:colOff>
                <xdr:row>0</xdr:row>
                <xdr:rowOff>0</xdr:rowOff>
              </from>
              <to>
                <xdr:col>0</xdr:col>
                <xdr:colOff>933450</xdr:colOff>
                <xdr:row>0</xdr:row>
                <xdr:rowOff>0</xdr:rowOff>
              </to>
            </anchor>
          </objectPr>
        </oleObject>
      </mc:Choice>
      <mc:Fallback>
        <oleObject progId="MSPhotoEd.3" shapeId="449537" r:id="rId4"/>
      </mc:Fallback>
    </mc:AlternateContent>
    <mc:AlternateContent xmlns:mc="http://schemas.openxmlformats.org/markup-compatibility/2006">
      <mc:Choice Requires="x14">
        <oleObject progId="MSPhotoEd.3" shapeId="449538" r:id="rId6">
          <objectPr defaultSize="0" autoPict="0" r:id="rId5">
            <anchor moveWithCells="1" sizeWithCells="1">
              <from>
                <xdr:col>0</xdr:col>
                <xdr:colOff>28575</xdr:colOff>
                <xdr:row>0</xdr:row>
                <xdr:rowOff>0</xdr:rowOff>
              </from>
              <to>
                <xdr:col>0</xdr:col>
                <xdr:colOff>819150</xdr:colOff>
                <xdr:row>0</xdr:row>
                <xdr:rowOff>0</xdr:rowOff>
              </to>
            </anchor>
          </objectPr>
        </oleObject>
      </mc:Choice>
      <mc:Fallback>
        <oleObject progId="MSPhotoEd.3" shapeId="449538" r:id="rId6"/>
      </mc:Fallback>
    </mc:AlternateContent>
  </oleObjec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Z30"/>
  <sheetViews>
    <sheetView tabSelected="1" zoomScaleNormal="100" workbookViewId="0">
      <selection sqref="A1:XFD1048576"/>
    </sheetView>
  </sheetViews>
  <sheetFormatPr defaultColWidth="5.7109375" defaultRowHeight="12.75"/>
  <cols>
    <col min="1" max="1" width="1.7109375" style="295" customWidth="1"/>
    <col min="2" max="3" width="60.7109375" style="295" customWidth="1"/>
    <col min="4" max="16384" width="5.7109375" style="295"/>
  </cols>
  <sheetData>
    <row r="1" spans="1:52" ht="168.75" customHeight="1">
      <c r="A1" s="306"/>
      <c r="D1" s="361"/>
      <c r="E1" s="361"/>
      <c r="F1" s="361"/>
      <c r="G1" s="361"/>
      <c r="H1" s="361"/>
      <c r="I1" s="361"/>
      <c r="J1" s="361"/>
      <c r="K1" s="361"/>
      <c r="L1" s="361"/>
      <c r="M1" s="361"/>
      <c r="N1" s="361"/>
      <c r="O1" s="361"/>
      <c r="P1" s="361"/>
      <c r="Q1" s="361"/>
      <c r="R1" s="361"/>
      <c r="S1" s="361"/>
      <c r="T1" s="361"/>
      <c r="U1" s="361"/>
      <c r="V1" s="361"/>
      <c r="W1" s="361"/>
      <c r="X1" s="361"/>
      <c r="Y1" s="361"/>
      <c r="Z1" s="361"/>
      <c r="AA1" s="361"/>
      <c r="AB1" s="361"/>
      <c r="AC1" s="361"/>
      <c r="AD1" s="361"/>
      <c r="AE1" s="361"/>
      <c r="AF1" s="361"/>
      <c r="AG1" s="361"/>
      <c r="AH1" s="361"/>
      <c r="AI1" s="361"/>
      <c r="AJ1" s="361"/>
      <c r="AK1" s="361"/>
      <c r="AL1" s="361"/>
      <c r="AM1" s="361"/>
      <c r="AN1" s="361"/>
      <c r="AO1" s="361"/>
      <c r="AP1" s="361"/>
      <c r="AQ1" s="361"/>
      <c r="AR1" s="361"/>
      <c r="AS1" s="361"/>
      <c r="AT1" s="361"/>
      <c r="AU1" s="361"/>
      <c r="AV1" s="361"/>
      <c r="AW1" s="361"/>
      <c r="AX1" s="361"/>
      <c r="AY1" s="361"/>
      <c r="AZ1" s="361"/>
    </row>
    <row r="2" spans="1:52" ht="75" customHeight="1">
      <c r="A2" s="306"/>
      <c r="B2" s="359" t="s">
        <v>594</v>
      </c>
      <c r="C2" s="359"/>
      <c r="D2" s="361"/>
      <c r="E2" s="361"/>
      <c r="F2" s="361"/>
      <c r="G2" s="361"/>
      <c r="H2" s="361"/>
      <c r="I2" s="361"/>
      <c r="J2" s="361"/>
      <c r="K2" s="361"/>
      <c r="L2" s="361"/>
      <c r="M2" s="361"/>
      <c r="N2" s="361"/>
      <c r="O2" s="361"/>
      <c r="P2" s="361"/>
      <c r="Q2" s="361"/>
      <c r="R2" s="361"/>
      <c r="S2" s="361"/>
      <c r="T2" s="361"/>
      <c r="U2" s="361"/>
      <c r="V2" s="361"/>
      <c r="W2" s="361"/>
      <c r="X2" s="361"/>
      <c r="Y2" s="361"/>
      <c r="Z2" s="361"/>
      <c r="AA2" s="361"/>
      <c r="AB2" s="361"/>
      <c r="AC2" s="361"/>
      <c r="AD2" s="361"/>
      <c r="AE2" s="361"/>
      <c r="AF2" s="361"/>
      <c r="AG2" s="361"/>
      <c r="AH2" s="361"/>
      <c r="AI2" s="361"/>
      <c r="AJ2" s="361"/>
      <c r="AK2" s="361"/>
      <c r="AL2" s="361"/>
      <c r="AM2" s="361"/>
      <c r="AN2" s="361"/>
      <c r="AO2" s="361"/>
      <c r="AP2" s="361"/>
      <c r="AQ2" s="361"/>
      <c r="AR2" s="361"/>
      <c r="AS2" s="361"/>
      <c r="AT2" s="361"/>
      <c r="AU2" s="361"/>
      <c r="AV2" s="361"/>
      <c r="AW2" s="361"/>
      <c r="AX2" s="361"/>
      <c r="AY2" s="361"/>
      <c r="AZ2" s="361"/>
    </row>
    <row r="3" spans="1:52" ht="17.45" customHeight="1">
      <c r="A3" s="306"/>
      <c r="B3" s="308" t="s">
        <v>601</v>
      </c>
      <c r="C3" s="307" t="s">
        <v>609</v>
      </c>
      <c r="D3" s="361"/>
      <c r="E3" s="361"/>
      <c r="F3" s="361"/>
      <c r="G3" s="361"/>
      <c r="H3" s="361"/>
      <c r="I3" s="361"/>
      <c r="J3" s="361"/>
      <c r="K3" s="361"/>
      <c r="L3" s="361"/>
      <c r="M3" s="361"/>
      <c r="N3" s="361"/>
      <c r="O3" s="361"/>
      <c r="P3" s="361"/>
      <c r="Q3" s="361"/>
      <c r="R3" s="361"/>
      <c r="S3" s="361"/>
      <c r="T3" s="361"/>
      <c r="U3" s="361"/>
      <c r="V3" s="361"/>
      <c r="W3" s="361"/>
      <c r="X3" s="361"/>
      <c r="Y3" s="361"/>
      <c r="Z3" s="361"/>
      <c r="AA3" s="361"/>
      <c r="AB3" s="361"/>
      <c r="AC3" s="361"/>
      <c r="AD3" s="361"/>
      <c r="AE3" s="361"/>
      <c r="AF3" s="361"/>
      <c r="AG3" s="361"/>
      <c r="AH3" s="361"/>
      <c r="AI3" s="361"/>
      <c r="AJ3" s="361"/>
      <c r="AK3" s="361"/>
      <c r="AL3" s="361"/>
      <c r="AM3" s="361"/>
      <c r="AN3" s="361"/>
      <c r="AO3" s="361"/>
      <c r="AP3" s="361"/>
      <c r="AQ3" s="361"/>
      <c r="AR3" s="361"/>
      <c r="AS3" s="361"/>
      <c r="AT3" s="361"/>
      <c r="AU3" s="361"/>
      <c r="AV3" s="361"/>
      <c r="AW3" s="361"/>
      <c r="AX3" s="361"/>
      <c r="AY3" s="361"/>
      <c r="AZ3" s="361"/>
    </row>
    <row r="4" spans="1:52" ht="16.149999999999999" customHeight="1">
      <c r="A4" s="306"/>
      <c r="B4" s="308" t="s">
        <v>574</v>
      </c>
      <c r="C4" s="307" t="s">
        <v>610</v>
      </c>
      <c r="D4" s="361"/>
      <c r="E4" s="361"/>
      <c r="F4" s="361"/>
      <c r="G4" s="361"/>
      <c r="H4" s="361"/>
      <c r="I4" s="361"/>
      <c r="J4" s="361"/>
      <c r="K4" s="361"/>
      <c r="L4" s="361"/>
      <c r="M4" s="361"/>
      <c r="N4" s="361"/>
      <c r="O4" s="361"/>
      <c r="P4" s="361"/>
      <c r="Q4" s="361"/>
      <c r="R4" s="361"/>
      <c r="S4" s="361"/>
      <c r="T4" s="361"/>
      <c r="U4" s="361"/>
      <c r="V4" s="361"/>
      <c r="W4" s="361"/>
      <c r="X4" s="361"/>
      <c r="Y4" s="361"/>
      <c r="Z4" s="361"/>
      <c r="AA4" s="361"/>
      <c r="AB4" s="361"/>
      <c r="AC4" s="361"/>
      <c r="AD4" s="361"/>
      <c r="AE4" s="361"/>
      <c r="AF4" s="361"/>
      <c r="AG4" s="361"/>
      <c r="AH4" s="361"/>
      <c r="AI4" s="361"/>
      <c r="AJ4" s="361"/>
      <c r="AK4" s="361"/>
      <c r="AL4" s="361"/>
      <c r="AM4" s="361"/>
      <c r="AN4" s="361"/>
      <c r="AO4" s="361"/>
      <c r="AP4" s="361"/>
      <c r="AQ4" s="361"/>
      <c r="AR4" s="361"/>
      <c r="AS4" s="361"/>
      <c r="AT4" s="361"/>
      <c r="AU4" s="361"/>
      <c r="AV4" s="361"/>
      <c r="AW4" s="361"/>
      <c r="AX4" s="361"/>
      <c r="AY4" s="361"/>
      <c r="AZ4" s="361"/>
    </row>
    <row r="5" spans="1:52" ht="16.149999999999999" customHeight="1">
      <c r="A5" s="306"/>
      <c r="B5" s="308" t="s">
        <v>174</v>
      </c>
      <c r="C5" s="307" t="s">
        <v>337</v>
      </c>
      <c r="D5" s="361"/>
      <c r="E5" s="361"/>
      <c r="F5" s="361"/>
      <c r="G5" s="361"/>
      <c r="H5" s="361"/>
      <c r="I5" s="361"/>
      <c r="J5" s="361"/>
      <c r="K5" s="361"/>
      <c r="L5" s="361"/>
      <c r="M5" s="361"/>
      <c r="N5" s="361"/>
      <c r="O5" s="361"/>
      <c r="P5" s="361"/>
      <c r="Q5" s="361"/>
      <c r="R5" s="361"/>
      <c r="S5" s="361"/>
      <c r="T5" s="361"/>
      <c r="U5" s="361"/>
      <c r="V5" s="361"/>
      <c r="W5" s="361"/>
      <c r="X5" s="361"/>
      <c r="Y5" s="361"/>
      <c r="Z5" s="361"/>
      <c r="AA5" s="361"/>
      <c r="AB5" s="361"/>
      <c r="AC5" s="361"/>
      <c r="AD5" s="361"/>
      <c r="AE5" s="361"/>
      <c r="AF5" s="361"/>
      <c r="AG5" s="361"/>
      <c r="AH5" s="361"/>
      <c r="AI5" s="361"/>
      <c r="AJ5" s="361"/>
      <c r="AK5" s="361"/>
      <c r="AL5" s="361"/>
      <c r="AM5" s="361"/>
      <c r="AN5" s="361"/>
      <c r="AO5" s="361"/>
      <c r="AP5" s="361"/>
      <c r="AQ5" s="361"/>
      <c r="AR5" s="361"/>
      <c r="AS5" s="361"/>
      <c r="AT5" s="361"/>
      <c r="AU5" s="361"/>
      <c r="AV5" s="361"/>
      <c r="AW5" s="361"/>
      <c r="AX5" s="361"/>
      <c r="AY5" s="361"/>
      <c r="AZ5" s="361"/>
    </row>
    <row r="6" spans="1:52" ht="16.149999999999999" customHeight="1">
      <c r="A6" s="306"/>
      <c r="B6" s="308" t="s">
        <v>602</v>
      </c>
      <c r="C6" s="309">
        <v>45373</v>
      </c>
      <c r="D6" s="361"/>
      <c r="E6" s="361"/>
      <c r="F6" s="361"/>
      <c r="G6" s="361"/>
      <c r="H6" s="361"/>
      <c r="I6" s="361"/>
      <c r="J6" s="361"/>
      <c r="K6" s="361"/>
      <c r="L6" s="361"/>
      <c r="M6" s="361"/>
      <c r="N6" s="361"/>
      <c r="O6" s="361"/>
      <c r="P6" s="361"/>
      <c r="Q6" s="361"/>
      <c r="R6" s="361"/>
      <c r="S6" s="361"/>
      <c r="T6" s="361"/>
      <c r="U6" s="361"/>
      <c r="V6" s="361"/>
      <c r="W6" s="361"/>
      <c r="X6" s="361"/>
      <c r="Y6" s="361"/>
      <c r="Z6" s="361"/>
      <c r="AA6" s="361"/>
      <c r="AB6" s="361"/>
      <c r="AC6" s="361"/>
      <c r="AD6" s="361"/>
      <c r="AE6" s="361"/>
      <c r="AF6" s="361"/>
      <c r="AG6" s="361"/>
      <c r="AH6" s="361"/>
      <c r="AI6" s="361"/>
      <c r="AJ6" s="361"/>
      <c r="AK6" s="361"/>
      <c r="AL6" s="361"/>
      <c r="AM6" s="361"/>
      <c r="AN6" s="361"/>
      <c r="AO6" s="361"/>
      <c r="AP6" s="361"/>
      <c r="AQ6" s="361"/>
      <c r="AR6" s="361"/>
      <c r="AS6" s="361"/>
      <c r="AT6" s="361"/>
      <c r="AU6" s="361"/>
      <c r="AV6" s="361"/>
      <c r="AW6" s="361"/>
      <c r="AX6" s="361"/>
      <c r="AY6" s="361"/>
      <c r="AZ6" s="361"/>
    </row>
    <row r="7" spans="1:52" ht="16.149999999999999" customHeight="1">
      <c r="A7" s="306"/>
      <c r="B7" s="308" t="s">
        <v>603</v>
      </c>
      <c r="C7" s="307" t="s">
        <v>608</v>
      </c>
      <c r="D7" s="361"/>
      <c r="E7" s="361"/>
      <c r="F7" s="361"/>
      <c r="G7" s="361"/>
      <c r="H7" s="361"/>
      <c r="I7" s="361"/>
      <c r="J7" s="361"/>
      <c r="K7" s="361"/>
      <c r="L7" s="361"/>
      <c r="M7" s="361"/>
      <c r="N7" s="361"/>
      <c r="O7" s="361"/>
      <c r="P7" s="361"/>
      <c r="Q7" s="361"/>
      <c r="R7" s="361"/>
      <c r="S7" s="361"/>
      <c r="T7" s="361"/>
      <c r="U7" s="361"/>
      <c r="V7" s="361"/>
      <c r="W7" s="361"/>
      <c r="X7" s="361"/>
      <c r="Y7" s="361"/>
      <c r="Z7" s="361"/>
      <c r="AA7" s="361"/>
      <c r="AB7" s="361"/>
      <c r="AC7" s="361"/>
      <c r="AD7" s="361"/>
      <c r="AE7" s="361"/>
      <c r="AF7" s="361"/>
      <c r="AG7" s="361"/>
      <c r="AH7" s="361"/>
      <c r="AI7" s="361"/>
      <c r="AJ7" s="361"/>
      <c r="AK7" s="361"/>
      <c r="AL7" s="361"/>
      <c r="AM7" s="361"/>
      <c r="AN7" s="361"/>
      <c r="AO7" s="361"/>
      <c r="AP7" s="361"/>
      <c r="AQ7" s="361"/>
      <c r="AR7" s="361"/>
      <c r="AS7" s="361"/>
      <c r="AT7" s="361"/>
      <c r="AU7" s="361"/>
      <c r="AV7" s="361"/>
      <c r="AW7" s="361"/>
      <c r="AX7" s="361"/>
      <c r="AY7" s="361"/>
      <c r="AZ7" s="361"/>
    </row>
    <row r="8" spans="1:52" ht="16.149999999999999" customHeight="1">
      <c r="A8" s="306"/>
      <c r="B8" s="308" t="s">
        <v>604</v>
      </c>
      <c r="C8" s="307" t="s">
        <v>605</v>
      </c>
      <c r="D8" s="361"/>
      <c r="E8" s="361"/>
      <c r="F8" s="361"/>
      <c r="G8" s="361"/>
      <c r="H8" s="361"/>
      <c r="I8" s="361"/>
      <c r="J8" s="361"/>
      <c r="K8" s="361"/>
      <c r="L8" s="361"/>
      <c r="M8" s="361"/>
      <c r="N8" s="361"/>
      <c r="O8" s="361"/>
      <c r="P8" s="361"/>
      <c r="Q8" s="361"/>
      <c r="R8" s="361"/>
      <c r="S8" s="361"/>
      <c r="T8" s="361"/>
      <c r="U8" s="361"/>
      <c r="V8" s="361"/>
      <c r="W8" s="361"/>
      <c r="X8" s="361"/>
      <c r="Y8" s="361"/>
      <c r="Z8" s="361"/>
      <c r="AA8" s="361"/>
      <c r="AB8" s="361"/>
      <c r="AC8" s="361"/>
      <c r="AD8" s="361"/>
      <c r="AE8" s="361"/>
      <c r="AF8" s="361"/>
      <c r="AG8" s="361"/>
      <c r="AH8" s="361"/>
      <c r="AI8" s="361"/>
      <c r="AJ8" s="361"/>
      <c r="AK8" s="361"/>
      <c r="AL8" s="361"/>
      <c r="AM8" s="361"/>
      <c r="AN8" s="361"/>
      <c r="AO8" s="361"/>
      <c r="AP8" s="361"/>
      <c r="AQ8" s="361"/>
      <c r="AR8" s="361"/>
      <c r="AS8" s="361"/>
      <c r="AT8" s="361"/>
      <c r="AU8" s="361"/>
      <c r="AV8" s="361"/>
      <c r="AW8" s="361"/>
      <c r="AX8" s="361"/>
      <c r="AY8" s="361"/>
      <c r="AZ8" s="361"/>
    </row>
    <row r="9" spans="1:52" ht="111.75" customHeight="1">
      <c r="A9" s="306"/>
      <c r="B9" s="360" t="s">
        <v>575</v>
      </c>
      <c r="C9" s="360"/>
      <c r="D9" s="361"/>
      <c r="E9" s="361"/>
      <c r="F9" s="361"/>
      <c r="G9" s="361"/>
      <c r="H9" s="361"/>
      <c r="I9" s="361"/>
      <c r="J9" s="361"/>
      <c r="K9" s="361"/>
      <c r="L9" s="361"/>
      <c r="M9" s="361"/>
      <c r="N9" s="361"/>
      <c r="O9" s="361"/>
      <c r="P9" s="361"/>
      <c r="Q9" s="361"/>
      <c r="R9" s="361"/>
      <c r="S9" s="361"/>
      <c r="T9" s="361"/>
      <c r="U9" s="361"/>
      <c r="V9" s="361"/>
      <c r="W9" s="361"/>
      <c r="X9" s="361"/>
      <c r="Y9" s="361"/>
      <c r="Z9" s="361"/>
      <c r="AA9" s="361"/>
      <c r="AB9" s="361"/>
      <c r="AC9" s="361"/>
      <c r="AD9" s="361"/>
      <c r="AE9" s="361"/>
      <c r="AF9" s="361"/>
      <c r="AG9" s="361"/>
      <c r="AH9" s="361"/>
      <c r="AI9" s="361"/>
      <c r="AJ9" s="361"/>
      <c r="AK9" s="361"/>
      <c r="AL9" s="361"/>
      <c r="AM9" s="361"/>
      <c r="AN9" s="361"/>
      <c r="AO9" s="361"/>
      <c r="AP9" s="361"/>
      <c r="AQ9" s="361"/>
      <c r="AR9" s="361"/>
      <c r="AS9" s="361"/>
      <c r="AT9" s="361"/>
      <c r="AU9" s="361"/>
      <c r="AV9" s="361"/>
      <c r="AW9" s="361"/>
      <c r="AX9" s="361"/>
      <c r="AY9" s="361"/>
      <c r="AZ9" s="361"/>
    </row>
    <row r="10" spans="1:52" ht="16.149999999999999" customHeight="1">
      <c r="B10" s="361"/>
      <c r="C10" s="361"/>
      <c r="D10" s="361"/>
      <c r="E10" s="361"/>
      <c r="F10" s="361"/>
      <c r="G10" s="361"/>
      <c r="H10" s="361"/>
      <c r="I10" s="361"/>
      <c r="J10" s="361"/>
      <c r="K10" s="361"/>
      <c r="L10" s="361"/>
      <c r="M10" s="361"/>
      <c r="N10" s="361"/>
      <c r="O10" s="361"/>
      <c r="P10" s="361"/>
      <c r="Q10" s="361"/>
      <c r="R10" s="361"/>
      <c r="S10" s="361"/>
      <c r="T10" s="361"/>
      <c r="U10" s="361"/>
      <c r="V10" s="361"/>
      <c r="W10" s="361"/>
      <c r="X10" s="361"/>
      <c r="Y10" s="361"/>
      <c r="Z10" s="361"/>
      <c r="AA10" s="361"/>
      <c r="AB10" s="361"/>
      <c r="AC10" s="361"/>
      <c r="AD10" s="361"/>
      <c r="AE10" s="361"/>
      <c r="AF10" s="361"/>
      <c r="AG10" s="361"/>
      <c r="AH10" s="361"/>
      <c r="AI10" s="361"/>
      <c r="AJ10" s="361"/>
      <c r="AK10" s="361"/>
      <c r="AL10" s="361"/>
      <c r="AM10" s="361"/>
      <c r="AN10" s="361"/>
      <c r="AO10" s="361"/>
      <c r="AP10" s="361"/>
      <c r="AQ10" s="361"/>
      <c r="AR10" s="361"/>
      <c r="AS10" s="361"/>
      <c r="AT10" s="361"/>
      <c r="AU10" s="361"/>
      <c r="AV10" s="361"/>
      <c r="AW10" s="361"/>
      <c r="AX10" s="361"/>
      <c r="AY10" s="361"/>
      <c r="AZ10" s="361"/>
    </row>
    <row r="11" spans="1:52">
      <c r="B11" s="361"/>
      <c r="C11" s="361"/>
      <c r="D11" s="361"/>
      <c r="E11" s="361"/>
      <c r="F11" s="361"/>
      <c r="G11" s="361"/>
      <c r="H11" s="361"/>
      <c r="I11" s="361"/>
      <c r="J11" s="361"/>
      <c r="K11" s="361"/>
      <c r="L11" s="361"/>
      <c r="M11" s="361"/>
      <c r="N11" s="361"/>
      <c r="O11" s="361"/>
      <c r="P11" s="361"/>
      <c r="Q11" s="361"/>
      <c r="R11" s="361"/>
      <c r="S11" s="361"/>
      <c r="T11" s="361"/>
      <c r="U11" s="361"/>
      <c r="V11" s="361"/>
      <c r="W11" s="361"/>
      <c r="X11" s="361"/>
      <c r="Y11" s="361"/>
      <c r="Z11" s="361"/>
      <c r="AA11" s="361"/>
      <c r="AB11" s="361"/>
      <c r="AC11" s="361"/>
      <c r="AD11" s="361"/>
      <c r="AE11" s="361"/>
      <c r="AF11" s="361"/>
      <c r="AG11" s="361"/>
      <c r="AH11" s="361"/>
      <c r="AI11" s="361"/>
      <c r="AJ11" s="361"/>
      <c r="AK11" s="361"/>
      <c r="AL11" s="361"/>
      <c r="AM11" s="361"/>
      <c r="AN11" s="361"/>
      <c r="AO11" s="361"/>
      <c r="AP11" s="361"/>
      <c r="AQ11" s="361"/>
      <c r="AR11" s="361"/>
      <c r="AS11" s="361"/>
      <c r="AT11" s="361"/>
      <c r="AU11" s="361"/>
      <c r="AV11" s="361"/>
      <c r="AW11" s="361"/>
      <c r="AX11" s="361"/>
      <c r="AY11" s="361"/>
      <c r="AZ11" s="361"/>
    </row>
    <row r="12" spans="1:52">
      <c r="B12" s="361"/>
      <c r="C12" s="361"/>
      <c r="D12" s="361"/>
      <c r="E12" s="361"/>
      <c r="F12" s="361"/>
      <c r="G12" s="361"/>
      <c r="H12" s="361"/>
      <c r="I12" s="361"/>
      <c r="J12" s="361"/>
      <c r="K12" s="361"/>
      <c r="L12" s="361"/>
      <c r="M12" s="361"/>
      <c r="N12" s="361"/>
      <c r="O12" s="361"/>
      <c r="P12" s="361"/>
      <c r="Q12" s="361"/>
      <c r="R12" s="361"/>
      <c r="S12" s="361"/>
      <c r="T12" s="361"/>
      <c r="U12" s="361"/>
      <c r="V12" s="361"/>
      <c r="W12" s="361"/>
      <c r="X12" s="361"/>
      <c r="Y12" s="361"/>
      <c r="Z12" s="361"/>
      <c r="AA12" s="361"/>
      <c r="AB12" s="361"/>
      <c r="AC12" s="361"/>
      <c r="AD12" s="361"/>
      <c r="AE12" s="361"/>
      <c r="AF12" s="361"/>
      <c r="AG12" s="361"/>
      <c r="AH12" s="361"/>
      <c r="AI12" s="361"/>
      <c r="AJ12" s="361"/>
      <c r="AK12" s="361"/>
      <c r="AL12" s="361"/>
      <c r="AM12" s="361"/>
      <c r="AN12" s="361"/>
      <c r="AO12" s="361"/>
      <c r="AP12" s="361"/>
      <c r="AQ12" s="361"/>
      <c r="AR12" s="361"/>
      <c r="AS12" s="361"/>
      <c r="AT12" s="361"/>
      <c r="AU12" s="361"/>
      <c r="AV12" s="361"/>
      <c r="AW12" s="361"/>
      <c r="AX12" s="361"/>
      <c r="AY12" s="361"/>
      <c r="AZ12" s="361"/>
    </row>
    <row r="13" spans="1:52">
      <c r="B13" s="361"/>
      <c r="C13" s="361"/>
      <c r="D13" s="361"/>
      <c r="E13" s="361"/>
      <c r="F13" s="361"/>
      <c r="G13" s="361"/>
      <c r="H13" s="361"/>
      <c r="I13" s="361"/>
      <c r="J13" s="361"/>
      <c r="K13" s="361"/>
      <c r="L13" s="361"/>
      <c r="M13" s="361"/>
      <c r="N13" s="361"/>
      <c r="O13" s="361"/>
      <c r="P13" s="361"/>
      <c r="Q13" s="361"/>
      <c r="R13" s="361"/>
      <c r="S13" s="361"/>
      <c r="T13" s="361"/>
      <c r="U13" s="361"/>
      <c r="V13" s="361"/>
      <c r="W13" s="361"/>
      <c r="X13" s="361"/>
      <c r="Y13" s="361"/>
      <c r="Z13" s="361"/>
      <c r="AA13" s="361"/>
      <c r="AB13" s="361"/>
      <c r="AC13" s="361"/>
      <c r="AD13" s="361"/>
      <c r="AE13" s="361"/>
      <c r="AF13" s="361"/>
      <c r="AG13" s="361"/>
      <c r="AH13" s="361"/>
      <c r="AI13" s="361"/>
      <c r="AJ13" s="361"/>
      <c r="AK13" s="361"/>
      <c r="AL13" s="361"/>
      <c r="AM13" s="361"/>
      <c r="AN13" s="361"/>
      <c r="AO13" s="361"/>
      <c r="AP13" s="361"/>
      <c r="AQ13" s="361"/>
      <c r="AR13" s="361"/>
      <c r="AS13" s="361"/>
      <c r="AT13" s="361"/>
      <c r="AU13" s="361"/>
      <c r="AV13" s="361"/>
      <c r="AW13" s="361"/>
      <c r="AX13" s="361"/>
      <c r="AY13" s="361"/>
      <c r="AZ13" s="361"/>
    </row>
    <row r="14" spans="1:52">
      <c r="B14" s="361"/>
      <c r="C14" s="361"/>
      <c r="D14" s="361"/>
      <c r="E14" s="361"/>
      <c r="F14" s="361"/>
      <c r="G14" s="361"/>
      <c r="H14" s="361"/>
      <c r="I14" s="361"/>
      <c r="J14" s="361"/>
      <c r="K14" s="361"/>
      <c r="L14" s="361"/>
      <c r="M14" s="361"/>
      <c r="N14" s="361"/>
      <c r="O14" s="361"/>
      <c r="P14" s="361"/>
      <c r="Q14" s="361"/>
      <c r="R14" s="361"/>
      <c r="S14" s="361"/>
      <c r="T14" s="361"/>
      <c r="U14" s="361"/>
      <c r="V14" s="361"/>
      <c r="W14" s="361"/>
      <c r="X14" s="361"/>
      <c r="Y14" s="361"/>
      <c r="Z14" s="361"/>
      <c r="AA14" s="361"/>
      <c r="AB14" s="361"/>
      <c r="AC14" s="361"/>
      <c r="AD14" s="361"/>
      <c r="AE14" s="361"/>
      <c r="AF14" s="361"/>
      <c r="AG14" s="361"/>
      <c r="AH14" s="361"/>
      <c r="AI14" s="361"/>
      <c r="AJ14" s="361"/>
      <c r="AK14" s="361"/>
      <c r="AL14" s="361"/>
      <c r="AM14" s="361"/>
      <c r="AN14" s="361"/>
      <c r="AO14" s="361"/>
      <c r="AP14" s="361"/>
      <c r="AQ14" s="361"/>
      <c r="AR14" s="361"/>
      <c r="AS14" s="361"/>
      <c r="AT14" s="361"/>
      <c r="AU14" s="361"/>
      <c r="AV14" s="361"/>
      <c r="AW14" s="361"/>
      <c r="AX14" s="361"/>
      <c r="AY14" s="361"/>
      <c r="AZ14" s="361"/>
    </row>
    <row r="15" spans="1:52">
      <c r="B15" s="361"/>
      <c r="C15" s="361"/>
      <c r="D15" s="361"/>
      <c r="E15" s="361"/>
      <c r="F15" s="361"/>
      <c r="G15" s="361"/>
      <c r="H15" s="361"/>
      <c r="I15" s="361"/>
      <c r="J15" s="361"/>
      <c r="K15" s="361"/>
      <c r="L15" s="361"/>
      <c r="M15" s="361"/>
      <c r="N15" s="361"/>
      <c r="O15" s="361"/>
      <c r="P15" s="361"/>
      <c r="Q15" s="361"/>
      <c r="R15" s="361"/>
      <c r="S15" s="361"/>
      <c r="T15" s="361"/>
      <c r="U15" s="361"/>
      <c r="V15" s="361"/>
      <c r="W15" s="361"/>
      <c r="X15" s="361"/>
      <c r="Y15" s="361"/>
      <c r="Z15" s="361"/>
      <c r="AA15" s="361"/>
      <c r="AB15" s="361"/>
      <c r="AC15" s="361"/>
      <c r="AD15" s="361"/>
      <c r="AE15" s="361"/>
      <c r="AF15" s="361"/>
      <c r="AG15" s="361"/>
      <c r="AH15" s="361"/>
      <c r="AI15" s="361"/>
      <c r="AJ15" s="361"/>
      <c r="AK15" s="361"/>
      <c r="AL15" s="361"/>
      <c r="AM15" s="361"/>
      <c r="AN15" s="361"/>
      <c r="AO15" s="361"/>
      <c r="AP15" s="361"/>
      <c r="AQ15" s="361"/>
      <c r="AR15" s="361"/>
      <c r="AS15" s="361"/>
      <c r="AT15" s="361"/>
      <c r="AU15" s="361"/>
      <c r="AV15" s="361"/>
      <c r="AW15" s="361"/>
      <c r="AX15" s="361"/>
      <c r="AY15" s="361"/>
      <c r="AZ15" s="361"/>
    </row>
    <row r="16" spans="1:52">
      <c r="B16" s="361"/>
      <c r="C16" s="361"/>
      <c r="D16" s="361"/>
      <c r="E16" s="361"/>
      <c r="F16" s="361"/>
      <c r="G16" s="361"/>
      <c r="H16" s="361"/>
      <c r="I16" s="361"/>
      <c r="J16" s="361"/>
      <c r="K16" s="361"/>
      <c r="L16" s="361"/>
      <c r="M16" s="361"/>
      <c r="N16" s="361"/>
      <c r="O16" s="361"/>
      <c r="P16" s="361"/>
      <c r="Q16" s="361"/>
      <c r="R16" s="361"/>
      <c r="S16" s="361"/>
      <c r="T16" s="361"/>
      <c r="U16" s="361"/>
      <c r="V16" s="361"/>
      <c r="W16" s="361"/>
      <c r="X16" s="361"/>
      <c r="Y16" s="361"/>
      <c r="Z16" s="361"/>
      <c r="AA16" s="361"/>
      <c r="AB16" s="361"/>
      <c r="AC16" s="361"/>
      <c r="AD16" s="361"/>
      <c r="AE16" s="361"/>
      <c r="AF16" s="361"/>
      <c r="AG16" s="361"/>
      <c r="AH16" s="361"/>
      <c r="AI16" s="361"/>
      <c r="AJ16" s="361"/>
      <c r="AK16" s="361"/>
      <c r="AL16" s="361"/>
      <c r="AM16" s="361"/>
      <c r="AN16" s="361"/>
      <c r="AO16" s="361"/>
      <c r="AP16" s="361"/>
      <c r="AQ16" s="361"/>
      <c r="AR16" s="361"/>
      <c r="AS16" s="361"/>
      <c r="AT16" s="361"/>
      <c r="AU16" s="361"/>
      <c r="AV16" s="361"/>
      <c r="AW16" s="361"/>
      <c r="AX16" s="361"/>
      <c r="AY16" s="361"/>
      <c r="AZ16" s="361"/>
    </row>
    <row r="17" spans="2:52">
      <c r="B17" s="361"/>
      <c r="C17" s="361"/>
      <c r="D17" s="361"/>
      <c r="E17" s="361"/>
      <c r="F17" s="361"/>
      <c r="G17" s="361"/>
      <c r="H17" s="361"/>
      <c r="I17" s="361"/>
      <c r="J17" s="361"/>
      <c r="K17" s="361"/>
      <c r="L17" s="361"/>
      <c r="M17" s="361"/>
      <c r="N17" s="361"/>
      <c r="O17" s="361"/>
      <c r="P17" s="361"/>
      <c r="Q17" s="361"/>
      <c r="R17" s="361"/>
      <c r="S17" s="361"/>
      <c r="T17" s="361"/>
      <c r="U17" s="361"/>
      <c r="V17" s="361"/>
      <c r="W17" s="361"/>
      <c r="X17" s="361"/>
      <c r="Y17" s="361"/>
      <c r="Z17" s="361"/>
      <c r="AA17" s="361"/>
      <c r="AB17" s="361"/>
      <c r="AC17" s="361"/>
      <c r="AD17" s="361"/>
      <c r="AE17" s="361"/>
      <c r="AF17" s="361"/>
      <c r="AG17" s="361"/>
      <c r="AH17" s="361"/>
      <c r="AI17" s="361"/>
      <c r="AJ17" s="361"/>
      <c r="AK17" s="361"/>
      <c r="AL17" s="361"/>
      <c r="AM17" s="361"/>
      <c r="AN17" s="361"/>
      <c r="AO17" s="361"/>
      <c r="AP17" s="361"/>
      <c r="AQ17" s="361"/>
      <c r="AR17" s="361"/>
      <c r="AS17" s="361"/>
      <c r="AT17" s="361"/>
      <c r="AU17" s="361"/>
      <c r="AV17" s="361"/>
      <c r="AW17" s="361"/>
      <c r="AX17" s="361"/>
      <c r="AY17" s="361"/>
      <c r="AZ17" s="361"/>
    </row>
    <row r="18" spans="2:52">
      <c r="B18" s="361"/>
      <c r="C18" s="361"/>
      <c r="D18" s="361"/>
      <c r="E18" s="361"/>
      <c r="F18" s="361"/>
      <c r="G18" s="361"/>
      <c r="H18" s="361"/>
      <c r="I18" s="361"/>
      <c r="J18" s="361"/>
      <c r="K18" s="361"/>
      <c r="L18" s="361"/>
      <c r="M18" s="361"/>
      <c r="N18" s="361"/>
      <c r="O18" s="361"/>
      <c r="P18" s="361"/>
      <c r="Q18" s="361"/>
      <c r="R18" s="361"/>
      <c r="S18" s="361"/>
      <c r="T18" s="361"/>
      <c r="U18" s="361"/>
      <c r="V18" s="361"/>
      <c r="W18" s="361"/>
      <c r="X18" s="361"/>
      <c r="Y18" s="361"/>
      <c r="Z18" s="361"/>
      <c r="AA18" s="361"/>
      <c r="AB18" s="361"/>
      <c r="AC18" s="361"/>
      <c r="AD18" s="361"/>
      <c r="AE18" s="361"/>
      <c r="AF18" s="361"/>
      <c r="AG18" s="361"/>
      <c r="AH18" s="361"/>
      <c r="AI18" s="361"/>
      <c r="AJ18" s="361"/>
      <c r="AK18" s="361"/>
      <c r="AL18" s="361"/>
      <c r="AM18" s="361"/>
      <c r="AN18" s="361"/>
      <c r="AO18" s="361"/>
      <c r="AP18" s="361"/>
      <c r="AQ18" s="361"/>
      <c r="AR18" s="361"/>
      <c r="AS18" s="361"/>
      <c r="AT18" s="361"/>
      <c r="AU18" s="361"/>
      <c r="AV18" s="361"/>
      <c r="AW18" s="361"/>
      <c r="AX18" s="361"/>
      <c r="AY18" s="361"/>
      <c r="AZ18" s="361"/>
    </row>
    <row r="19" spans="2:52">
      <c r="B19" s="361"/>
      <c r="C19" s="361"/>
      <c r="D19" s="361"/>
      <c r="E19" s="361"/>
      <c r="F19" s="361"/>
      <c r="G19" s="361"/>
      <c r="H19" s="361"/>
      <c r="I19" s="361"/>
      <c r="J19" s="361"/>
      <c r="K19" s="361"/>
      <c r="L19" s="361"/>
      <c r="M19" s="361"/>
      <c r="N19" s="361"/>
      <c r="O19" s="361"/>
      <c r="P19" s="361"/>
      <c r="Q19" s="361"/>
      <c r="R19" s="361"/>
      <c r="S19" s="361"/>
      <c r="T19" s="361"/>
      <c r="U19" s="361"/>
      <c r="V19" s="361"/>
      <c r="W19" s="361"/>
      <c r="X19" s="361"/>
      <c r="Y19" s="361"/>
      <c r="Z19" s="361"/>
      <c r="AA19" s="361"/>
      <c r="AB19" s="361"/>
      <c r="AC19" s="361"/>
      <c r="AD19" s="361"/>
      <c r="AE19" s="361"/>
      <c r="AF19" s="361"/>
      <c r="AG19" s="361"/>
      <c r="AH19" s="361"/>
      <c r="AI19" s="361"/>
      <c r="AJ19" s="361"/>
      <c r="AK19" s="361"/>
      <c r="AL19" s="361"/>
      <c r="AM19" s="361"/>
      <c r="AN19" s="361"/>
      <c r="AO19" s="361"/>
      <c r="AP19" s="361"/>
      <c r="AQ19" s="361"/>
      <c r="AR19" s="361"/>
      <c r="AS19" s="361"/>
      <c r="AT19" s="361"/>
      <c r="AU19" s="361"/>
      <c r="AV19" s="361"/>
      <c r="AW19" s="361"/>
      <c r="AX19" s="361"/>
      <c r="AY19" s="361"/>
      <c r="AZ19" s="361"/>
    </row>
    <row r="20" spans="2:52">
      <c r="B20" s="361"/>
      <c r="C20" s="361"/>
      <c r="D20" s="361"/>
      <c r="E20" s="361"/>
      <c r="F20" s="361"/>
      <c r="G20" s="361"/>
      <c r="H20" s="361"/>
      <c r="I20" s="361"/>
      <c r="J20" s="361"/>
      <c r="K20" s="361"/>
      <c r="L20" s="361"/>
      <c r="M20" s="361"/>
      <c r="N20" s="361"/>
      <c r="O20" s="361"/>
      <c r="P20" s="361"/>
      <c r="Q20" s="361"/>
      <c r="R20" s="361"/>
      <c r="S20" s="361"/>
      <c r="T20" s="361"/>
      <c r="U20" s="361"/>
      <c r="V20" s="361"/>
      <c r="W20" s="361"/>
      <c r="X20" s="361"/>
      <c r="Y20" s="361"/>
      <c r="Z20" s="361"/>
      <c r="AA20" s="361"/>
      <c r="AB20" s="361"/>
      <c r="AC20" s="361"/>
      <c r="AD20" s="361"/>
      <c r="AE20" s="361"/>
      <c r="AF20" s="361"/>
      <c r="AG20" s="361"/>
      <c r="AH20" s="361"/>
      <c r="AI20" s="361"/>
      <c r="AJ20" s="361"/>
      <c r="AK20" s="361"/>
      <c r="AL20" s="361"/>
      <c r="AM20" s="361"/>
      <c r="AN20" s="361"/>
      <c r="AO20" s="361"/>
      <c r="AP20" s="361"/>
      <c r="AQ20" s="361"/>
      <c r="AR20" s="361"/>
      <c r="AS20" s="361"/>
      <c r="AT20" s="361"/>
      <c r="AU20" s="361"/>
      <c r="AV20" s="361"/>
      <c r="AW20" s="361"/>
      <c r="AX20" s="361"/>
      <c r="AY20" s="361"/>
      <c r="AZ20" s="361"/>
    </row>
    <row r="21" spans="2:52">
      <c r="B21" s="361"/>
      <c r="C21" s="361"/>
      <c r="D21" s="361"/>
      <c r="E21" s="361"/>
      <c r="F21" s="361"/>
      <c r="G21" s="361"/>
      <c r="H21" s="361"/>
      <c r="I21" s="361"/>
      <c r="J21" s="361"/>
      <c r="K21" s="361"/>
      <c r="L21" s="361"/>
      <c r="M21" s="361"/>
      <c r="N21" s="361"/>
      <c r="O21" s="361"/>
      <c r="P21" s="361"/>
      <c r="Q21" s="361"/>
      <c r="R21" s="361"/>
      <c r="S21" s="361"/>
      <c r="T21" s="361"/>
      <c r="U21" s="361"/>
      <c r="V21" s="361"/>
      <c r="W21" s="361"/>
      <c r="X21" s="361"/>
      <c r="Y21" s="361"/>
      <c r="Z21" s="361"/>
      <c r="AA21" s="361"/>
      <c r="AB21" s="361"/>
      <c r="AC21" s="361"/>
      <c r="AD21" s="361"/>
      <c r="AE21" s="361"/>
      <c r="AF21" s="361"/>
      <c r="AG21" s="361"/>
      <c r="AH21" s="361"/>
      <c r="AI21" s="361"/>
      <c r="AJ21" s="361"/>
      <c r="AK21" s="361"/>
      <c r="AL21" s="361"/>
      <c r="AM21" s="361"/>
      <c r="AN21" s="361"/>
      <c r="AO21" s="361"/>
      <c r="AP21" s="361"/>
      <c r="AQ21" s="361"/>
      <c r="AR21" s="361"/>
      <c r="AS21" s="361"/>
      <c r="AT21" s="361"/>
      <c r="AU21" s="361"/>
      <c r="AV21" s="361"/>
      <c r="AW21" s="361"/>
      <c r="AX21" s="361"/>
      <c r="AY21" s="361"/>
      <c r="AZ21" s="361"/>
    </row>
    <row r="22" spans="2:52">
      <c r="B22" s="361"/>
      <c r="C22" s="361"/>
      <c r="D22" s="361"/>
      <c r="E22" s="361"/>
      <c r="F22" s="361"/>
      <c r="G22" s="361"/>
      <c r="H22" s="361"/>
      <c r="I22" s="361"/>
      <c r="J22" s="361"/>
      <c r="K22" s="361"/>
      <c r="L22" s="361"/>
      <c r="M22" s="361"/>
      <c r="N22" s="361"/>
      <c r="O22" s="361"/>
      <c r="P22" s="361"/>
      <c r="Q22" s="361"/>
      <c r="R22" s="361"/>
      <c r="S22" s="361"/>
      <c r="T22" s="361"/>
      <c r="U22" s="361"/>
      <c r="V22" s="361"/>
      <c r="W22" s="361"/>
      <c r="X22" s="361"/>
      <c r="Y22" s="361"/>
      <c r="Z22" s="361"/>
      <c r="AA22" s="361"/>
      <c r="AB22" s="361"/>
      <c r="AC22" s="361"/>
      <c r="AD22" s="361"/>
      <c r="AE22" s="361"/>
      <c r="AF22" s="361"/>
      <c r="AG22" s="361"/>
      <c r="AH22" s="361"/>
      <c r="AI22" s="361"/>
      <c r="AJ22" s="361"/>
      <c r="AK22" s="361"/>
      <c r="AL22" s="361"/>
      <c r="AM22" s="361"/>
      <c r="AN22" s="361"/>
      <c r="AO22" s="361"/>
      <c r="AP22" s="361"/>
      <c r="AQ22" s="361"/>
      <c r="AR22" s="361"/>
      <c r="AS22" s="361"/>
      <c r="AT22" s="361"/>
      <c r="AU22" s="361"/>
      <c r="AV22" s="361"/>
      <c r="AW22" s="361"/>
      <c r="AX22" s="361"/>
      <c r="AY22" s="361"/>
      <c r="AZ22" s="361"/>
    </row>
    <row r="23" spans="2:52">
      <c r="B23" s="361"/>
      <c r="C23" s="361"/>
      <c r="D23" s="361"/>
      <c r="E23" s="361"/>
      <c r="F23" s="361"/>
      <c r="G23" s="361"/>
      <c r="H23" s="361"/>
      <c r="I23" s="361"/>
      <c r="J23" s="361"/>
      <c r="K23" s="361"/>
      <c r="L23" s="361"/>
      <c r="M23" s="361"/>
      <c r="N23" s="361"/>
      <c r="O23" s="361"/>
      <c r="P23" s="361"/>
      <c r="Q23" s="361"/>
      <c r="R23" s="361"/>
      <c r="S23" s="361"/>
      <c r="T23" s="361"/>
      <c r="U23" s="361"/>
      <c r="V23" s="361"/>
      <c r="W23" s="361"/>
      <c r="X23" s="361"/>
      <c r="Y23" s="361"/>
      <c r="Z23" s="361"/>
      <c r="AA23" s="361"/>
      <c r="AB23" s="361"/>
      <c r="AC23" s="361"/>
      <c r="AD23" s="361"/>
      <c r="AE23" s="361"/>
      <c r="AF23" s="361"/>
      <c r="AG23" s="361"/>
      <c r="AH23" s="361"/>
      <c r="AI23" s="361"/>
      <c r="AJ23" s="361"/>
      <c r="AK23" s="361"/>
      <c r="AL23" s="361"/>
      <c r="AM23" s="361"/>
      <c r="AN23" s="361"/>
      <c r="AO23" s="361"/>
      <c r="AP23" s="361"/>
      <c r="AQ23" s="361"/>
      <c r="AR23" s="361"/>
      <c r="AS23" s="361"/>
      <c r="AT23" s="361"/>
      <c r="AU23" s="361"/>
      <c r="AV23" s="361"/>
      <c r="AW23" s="361"/>
      <c r="AX23" s="361"/>
      <c r="AY23" s="361"/>
      <c r="AZ23" s="361"/>
    </row>
    <row r="24" spans="2:52">
      <c r="B24" s="361"/>
      <c r="C24" s="361"/>
      <c r="D24" s="361"/>
      <c r="E24" s="361"/>
      <c r="F24" s="361"/>
      <c r="G24" s="361"/>
      <c r="H24" s="361"/>
      <c r="I24" s="361"/>
      <c r="J24" s="361"/>
      <c r="K24" s="361"/>
      <c r="L24" s="361"/>
      <c r="M24" s="361"/>
      <c r="N24" s="361"/>
      <c r="O24" s="361"/>
      <c r="P24" s="361"/>
      <c r="Q24" s="361"/>
      <c r="R24" s="361"/>
      <c r="S24" s="361"/>
      <c r="T24" s="361"/>
      <c r="U24" s="361"/>
      <c r="V24" s="361"/>
      <c r="W24" s="361"/>
      <c r="X24" s="361"/>
      <c r="Y24" s="361"/>
      <c r="Z24" s="361"/>
      <c r="AA24" s="361"/>
      <c r="AB24" s="361"/>
      <c r="AC24" s="361"/>
      <c r="AD24" s="361"/>
      <c r="AE24" s="361"/>
      <c r="AF24" s="361"/>
      <c r="AG24" s="361"/>
      <c r="AH24" s="361"/>
      <c r="AI24" s="361"/>
      <c r="AJ24" s="361"/>
      <c r="AK24" s="361"/>
      <c r="AL24" s="361"/>
      <c r="AM24" s="361"/>
      <c r="AN24" s="361"/>
      <c r="AO24" s="361"/>
      <c r="AP24" s="361"/>
      <c r="AQ24" s="361"/>
      <c r="AR24" s="361"/>
      <c r="AS24" s="361"/>
      <c r="AT24" s="361"/>
      <c r="AU24" s="361"/>
      <c r="AV24" s="361"/>
      <c r="AW24" s="361"/>
      <c r="AX24" s="361"/>
      <c r="AY24" s="361"/>
      <c r="AZ24" s="361"/>
    </row>
    <row r="25" spans="2:52">
      <c r="B25" s="361"/>
      <c r="C25" s="361"/>
      <c r="D25" s="361"/>
      <c r="E25" s="361"/>
      <c r="F25" s="361"/>
      <c r="G25" s="361"/>
      <c r="H25" s="361"/>
      <c r="I25" s="361"/>
      <c r="J25" s="361"/>
      <c r="K25" s="361"/>
      <c r="L25" s="361"/>
      <c r="M25" s="361"/>
      <c r="N25" s="361"/>
      <c r="O25" s="361"/>
      <c r="P25" s="361"/>
      <c r="Q25" s="361"/>
      <c r="R25" s="361"/>
      <c r="S25" s="361"/>
      <c r="T25" s="361"/>
      <c r="U25" s="361"/>
      <c r="V25" s="361"/>
      <c r="W25" s="361"/>
      <c r="X25" s="361"/>
      <c r="Y25" s="361"/>
      <c r="Z25" s="361"/>
      <c r="AA25" s="361"/>
      <c r="AB25" s="361"/>
      <c r="AC25" s="361"/>
      <c r="AD25" s="361"/>
      <c r="AE25" s="361"/>
      <c r="AF25" s="361"/>
      <c r="AG25" s="361"/>
      <c r="AH25" s="361"/>
      <c r="AI25" s="361"/>
      <c r="AJ25" s="361"/>
      <c r="AK25" s="361"/>
      <c r="AL25" s="361"/>
      <c r="AM25" s="361"/>
      <c r="AN25" s="361"/>
      <c r="AO25" s="361"/>
      <c r="AP25" s="361"/>
      <c r="AQ25" s="361"/>
      <c r="AR25" s="361"/>
      <c r="AS25" s="361"/>
      <c r="AT25" s="361"/>
      <c r="AU25" s="361"/>
      <c r="AV25" s="361"/>
      <c r="AW25" s="361"/>
      <c r="AX25" s="361"/>
      <c r="AY25" s="361"/>
      <c r="AZ25" s="361"/>
    </row>
    <row r="26" spans="2:52">
      <c r="B26" s="361"/>
      <c r="C26" s="361"/>
      <c r="D26" s="361"/>
      <c r="E26" s="361"/>
      <c r="F26" s="361"/>
      <c r="G26" s="361"/>
      <c r="H26" s="361"/>
      <c r="I26" s="361"/>
      <c r="J26" s="361"/>
      <c r="K26" s="361"/>
      <c r="L26" s="361"/>
      <c r="M26" s="361"/>
      <c r="N26" s="361"/>
      <c r="O26" s="361"/>
      <c r="P26" s="361"/>
      <c r="Q26" s="361"/>
      <c r="R26" s="361"/>
      <c r="S26" s="361"/>
      <c r="T26" s="361"/>
      <c r="U26" s="361"/>
      <c r="V26" s="361"/>
      <c r="W26" s="361"/>
      <c r="X26" s="361"/>
      <c r="Y26" s="361"/>
      <c r="Z26" s="361"/>
      <c r="AA26" s="361"/>
      <c r="AB26" s="361"/>
      <c r="AC26" s="361"/>
      <c r="AD26" s="361"/>
      <c r="AE26" s="361"/>
      <c r="AF26" s="361"/>
      <c r="AG26" s="361"/>
      <c r="AH26" s="361"/>
      <c r="AI26" s="361"/>
      <c r="AJ26" s="361"/>
      <c r="AK26" s="361"/>
      <c r="AL26" s="361"/>
      <c r="AM26" s="361"/>
      <c r="AN26" s="361"/>
      <c r="AO26" s="361"/>
      <c r="AP26" s="361"/>
      <c r="AQ26" s="361"/>
      <c r="AR26" s="361"/>
      <c r="AS26" s="361"/>
      <c r="AT26" s="361"/>
      <c r="AU26" s="361"/>
      <c r="AV26" s="361"/>
      <c r="AW26" s="361"/>
      <c r="AX26" s="361"/>
      <c r="AY26" s="361"/>
      <c r="AZ26" s="361"/>
    </row>
    <row r="27" spans="2:52">
      <c r="B27" s="361"/>
      <c r="C27" s="361"/>
      <c r="D27" s="361"/>
      <c r="E27" s="361"/>
      <c r="F27" s="361"/>
      <c r="G27" s="361"/>
      <c r="H27" s="361"/>
      <c r="I27" s="361"/>
      <c r="J27" s="361"/>
      <c r="K27" s="361"/>
      <c r="L27" s="361"/>
      <c r="M27" s="361"/>
      <c r="N27" s="361"/>
      <c r="O27" s="361"/>
      <c r="P27" s="361"/>
      <c r="Q27" s="361"/>
      <c r="R27" s="361"/>
      <c r="S27" s="361"/>
      <c r="T27" s="361"/>
      <c r="U27" s="361"/>
      <c r="V27" s="361"/>
      <c r="W27" s="361"/>
      <c r="X27" s="361"/>
      <c r="Y27" s="361"/>
      <c r="Z27" s="361"/>
      <c r="AA27" s="361"/>
      <c r="AB27" s="361"/>
      <c r="AC27" s="361"/>
      <c r="AD27" s="361"/>
      <c r="AE27" s="361"/>
      <c r="AF27" s="361"/>
      <c r="AG27" s="361"/>
      <c r="AH27" s="361"/>
      <c r="AI27" s="361"/>
      <c r="AJ27" s="361"/>
      <c r="AK27" s="361"/>
      <c r="AL27" s="361"/>
      <c r="AM27" s="361"/>
      <c r="AN27" s="361"/>
      <c r="AO27" s="361"/>
      <c r="AP27" s="361"/>
      <c r="AQ27" s="361"/>
      <c r="AR27" s="361"/>
      <c r="AS27" s="361"/>
      <c r="AT27" s="361"/>
      <c r="AU27" s="361"/>
      <c r="AV27" s="361"/>
      <c r="AW27" s="361"/>
      <c r="AX27" s="361"/>
      <c r="AY27" s="361"/>
      <c r="AZ27" s="361"/>
    </row>
    <row r="28" spans="2:52">
      <c r="B28" s="361"/>
      <c r="C28" s="361"/>
      <c r="D28" s="361"/>
      <c r="E28" s="361"/>
      <c r="F28" s="361"/>
      <c r="G28" s="361"/>
      <c r="H28" s="361"/>
      <c r="I28" s="361"/>
      <c r="J28" s="361"/>
      <c r="K28" s="361"/>
      <c r="L28" s="361"/>
      <c r="M28" s="361"/>
      <c r="N28" s="361"/>
      <c r="O28" s="361"/>
      <c r="P28" s="361"/>
      <c r="Q28" s="361"/>
      <c r="R28" s="361"/>
      <c r="S28" s="361"/>
      <c r="T28" s="361"/>
      <c r="U28" s="361"/>
      <c r="V28" s="361"/>
      <c r="W28" s="361"/>
      <c r="X28" s="361"/>
      <c r="Y28" s="361"/>
      <c r="Z28" s="361"/>
      <c r="AA28" s="361"/>
      <c r="AB28" s="361"/>
      <c r="AC28" s="361"/>
      <c r="AD28" s="361"/>
      <c r="AE28" s="361"/>
      <c r="AF28" s="361"/>
      <c r="AG28" s="361"/>
      <c r="AH28" s="361"/>
      <c r="AI28" s="361"/>
      <c r="AJ28" s="361"/>
      <c r="AK28" s="361"/>
      <c r="AL28" s="361"/>
      <c r="AM28" s="361"/>
      <c r="AN28" s="361"/>
      <c r="AO28" s="361"/>
      <c r="AP28" s="361"/>
      <c r="AQ28" s="361"/>
      <c r="AR28" s="361"/>
      <c r="AS28" s="361"/>
      <c r="AT28" s="361"/>
      <c r="AU28" s="361"/>
      <c r="AV28" s="361"/>
      <c r="AW28" s="361"/>
      <c r="AX28" s="361"/>
      <c r="AY28" s="361"/>
      <c r="AZ28" s="361"/>
    </row>
    <row r="29" spans="2:52">
      <c r="B29" s="361"/>
      <c r="C29" s="361"/>
      <c r="D29" s="361"/>
      <c r="E29" s="361"/>
      <c r="F29" s="361"/>
      <c r="G29" s="361"/>
      <c r="H29" s="361"/>
      <c r="I29" s="361"/>
      <c r="J29" s="361"/>
      <c r="K29" s="361"/>
      <c r="L29" s="361"/>
      <c r="M29" s="361"/>
      <c r="N29" s="361"/>
      <c r="O29" s="361"/>
      <c r="P29" s="361"/>
      <c r="Q29" s="361"/>
      <c r="R29" s="361"/>
      <c r="S29" s="361"/>
      <c r="T29" s="361"/>
      <c r="U29" s="361"/>
      <c r="V29" s="361"/>
      <c r="W29" s="361"/>
      <c r="X29" s="361"/>
      <c r="Y29" s="361"/>
      <c r="Z29" s="361"/>
      <c r="AA29" s="361"/>
      <c r="AB29" s="361"/>
      <c r="AC29" s="361"/>
      <c r="AD29" s="361"/>
      <c r="AE29" s="361"/>
      <c r="AF29" s="361"/>
      <c r="AG29" s="361"/>
      <c r="AH29" s="361"/>
      <c r="AI29" s="361"/>
      <c r="AJ29" s="361"/>
      <c r="AK29" s="361"/>
      <c r="AL29" s="361"/>
      <c r="AM29" s="361"/>
      <c r="AN29" s="361"/>
      <c r="AO29" s="361"/>
      <c r="AP29" s="361"/>
      <c r="AQ29" s="361"/>
      <c r="AR29" s="361"/>
      <c r="AS29" s="361"/>
      <c r="AT29" s="361"/>
      <c r="AU29" s="361"/>
      <c r="AV29" s="361"/>
      <c r="AW29" s="361"/>
      <c r="AX29" s="361"/>
      <c r="AY29" s="361"/>
      <c r="AZ29" s="361"/>
    </row>
    <row r="30" spans="2:52">
      <c r="B30" s="361"/>
      <c r="C30" s="361"/>
      <c r="D30" s="361"/>
      <c r="E30" s="361"/>
      <c r="F30" s="361"/>
      <c r="G30" s="361"/>
      <c r="H30" s="361"/>
      <c r="I30" s="361"/>
      <c r="J30" s="361"/>
      <c r="K30" s="361"/>
      <c r="L30" s="361"/>
      <c r="M30" s="361"/>
      <c r="N30" s="361"/>
      <c r="O30" s="361"/>
      <c r="P30" s="361"/>
      <c r="Q30" s="361"/>
      <c r="R30" s="361"/>
      <c r="S30" s="361"/>
      <c r="T30" s="361"/>
      <c r="U30" s="361"/>
      <c r="V30" s="361"/>
      <c r="W30" s="361"/>
      <c r="X30" s="361"/>
      <c r="Y30" s="361"/>
      <c r="Z30" s="361"/>
      <c r="AA30" s="361"/>
      <c r="AB30" s="361"/>
      <c r="AC30" s="361"/>
      <c r="AD30" s="361"/>
      <c r="AE30" s="361"/>
      <c r="AF30" s="361"/>
      <c r="AG30" s="361"/>
      <c r="AH30" s="361"/>
      <c r="AI30" s="361"/>
      <c r="AJ30" s="361"/>
      <c r="AK30" s="361"/>
      <c r="AL30" s="361"/>
      <c r="AM30" s="361"/>
      <c r="AN30" s="361"/>
      <c r="AO30" s="361"/>
      <c r="AP30" s="361"/>
      <c r="AQ30" s="361"/>
      <c r="AR30" s="361"/>
      <c r="AS30" s="361"/>
      <c r="AT30" s="361"/>
      <c r="AU30" s="361"/>
      <c r="AV30" s="361"/>
      <c r="AW30" s="361"/>
      <c r="AX30" s="361"/>
      <c r="AY30" s="361"/>
      <c r="AZ30" s="361"/>
    </row>
  </sheetData>
  <mergeCells count="4">
    <mergeCell ref="B2:C2"/>
    <mergeCell ref="B9:C9"/>
    <mergeCell ref="D1:AZ30"/>
    <mergeCell ref="B10:C30"/>
  </mergeCells>
  <phoneticPr fontId="7" type="noConversion"/>
  <pageMargins left="0.38" right="0.55000000000000004" top="0.67" bottom="0.62" header="0.46" footer="0.5"/>
  <pageSetup paperSize="9" orientation="landscape" verticalDpi="3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01"/>
  <dimension ref="A1:AG5"/>
  <sheetViews>
    <sheetView zoomScaleNormal="100" zoomScaleSheetLayoutView="40" workbookViewId="0">
      <pane ySplit="3" topLeftCell="A4" activePane="bottomLeft" state="frozen"/>
      <selection activeCell="C6" sqref="C6"/>
      <selection pane="bottomLeft" sqref="A1:XFD1048576"/>
    </sheetView>
  </sheetViews>
  <sheetFormatPr defaultRowHeight="30" customHeight="1"/>
  <cols>
    <col min="1" max="2" width="10.7109375" style="298" customWidth="1"/>
    <col min="3" max="3" width="12.7109375" style="298" customWidth="1"/>
    <col min="4" max="4" width="8.7109375" style="298" hidden="1" customWidth="1"/>
    <col min="5" max="5" width="20.28515625" style="298" hidden="1" customWidth="1"/>
    <col min="6" max="6" width="12.7109375" style="298" customWidth="1"/>
    <col min="7" max="7" width="30.7109375" style="298" customWidth="1"/>
    <col min="8" max="8" width="4.5703125" style="298" hidden="1" customWidth="1"/>
    <col min="9" max="9" width="10.7109375" style="298" customWidth="1"/>
    <col min="10" max="10" width="45.7109375" style="298" customWidth="1"/>
    <col min="11" max="11" width="10.7109375" style="294" customWidth="1"/>
    <col min="12" max="12" width="30.7109375" style="298" customWidth="1"/>
    <col min="13" max="13" width="15.42578125" style="298" hidden="1" customWidth="1"/>
    <col min="14" max="14" width="7.42578125" style="298" hidden="1" customWidth="1"/>
    <col min="15" max="15" width="6.7109375" style="298" hidden="1" customWidth="1"/>
    <col min="16" max="16" width="45.7109375" style="294" customWidth="1"/>
    <col min="17" max="17" width="10.7109375" style="298" customWidth="1"/>
    <col min="18" max="18" width="7.85546875" style="298" hidden="1" customWidth="1"/>
    <col min="19" max="19" width="14.5703125" style="298" hidden="1" customWidth="1"/>
    <col min="20" max="20" width="14.5703125" style="294" hidden="1" customWidth="1"/>
    <col min="21" max="21" width="27.140625" style="298" hidden="1" customWidth="1"/>
    <col min="22" max="26" width="9.140625" style="298"/>
    <col min="27" max="32" width="0" style="298" hidden="1" customWidth="1"/>
    <col min="33" max="33" width="15.85546875" style="298" hidden="1" customWidth="1"/>
    <col min="34" max="35" width="0" style="298" hidden="1" customWidth="1"/>
    <col min="36" max="36" width="27.7109375" style="298" customWidth="1"/>
    <col min="37" max="16384" width="9.140625" style="298"/>
  </cols>
  <sheetData>
    <row r="1" spans="1:21" s="293" customFormat="1" ht="90" customHeight="1" thickTop="1" thickBot="1">
      <c r="A1" s="362" t="s">
        <v>515</v>
      </c>
      <c r="B1" s="362"/>
      <c r="C1" s="362"/>
      <c r="D1" s="364" t="str">
        <f xml:space="preserve"> Copertina!C7</f>
        <v>SIES v.12.5.7.0</v>
      </c>
      <c r="E1" s="364"/>
      <c r="F1" s="364"/>
      <c r="G1" s="364"/>
      <c r="H1" s="362" t="s">
        <v>424</v>
      </c>
      <c r="I1" s="365"/>
      <c r="J1" s="317" t="str">
        <f>Copertina!C3</f>
        <v>SIUT-SIES-CT-1.0-20240322-Allegato_al_piano_test_SIES_v.12.5.7.0.xlsx</v>
      </c>
      <c r="K1" s="300" t="s">
        <v>174</v>
      </c>
      <c r="L1" s="318" t="str">
        <f>Copertina!C5</f>
        <v>1.0</v>
      </c>
      <c r="M1" s="301"/>
      <c r="N1" s="301"/>
      <c r="O1" s="363"/>
      <c r="P1" s="363"/>
      <c r="Q1" s="363"/>
      <c r="R1" s="363"/>
      <c r="S1" s="363"/>
      <c r="T1" s="363"/>
      <c r="U1" s="363"/>
    </row>
    <row r="2" spans="1:21" s="293" customFormat="1" ht="30" customHeight="1" thickTop="1" thickBot="1">
      <c r="A2" s="366" t="s">
        <v>175</v>
      </c>
      <c r="B2" s="367"/>
      <c r="C2" s="367"/>
      <c r="D2" s="362" t="s">
        <v>338</v>
      </c>
      <c r="E2" s="368"/>
      <c r="F2" s="368"/>
      <c r="G2" s="368"/>
      <c r="H2" s="368"/>
      <c r="I2" s="368"/>
      <c r="J2" s="368"/>
      <c r="K2" s="362" t="s">
        <v>8</v>
      </c>
      <c r="L2" s="362"/>
      <c r="M2" s="362"/>
      <c r="N2" s="362"/>
      <c r="O2" s="362"/>
      <c r="P2" s="362"/>
      <c r="Q2" s="362"/>
      <c r="R2" s="362"/>
      <c r="S2" s="362"/>
      <c r="T2" s="362"/>
      <c r="U2" s="362"/>
    </row>
    <row r="3" spans="1:21" s="293" customFormat="1" ht="30" customHeight="1" thickTop="1" thickBot="1">
      <c r="A3" s="310" t="s">
        <v>515</v>
      </c>
      <c r="B3" s="311" t="s">
        <v>516</v>
      </c>
      <c r="C3" s="311" t="s">
        <v>7</v>
      </c>
      <c r="D3" s="312" t="s">
        <v>168</v>
      </c>
      <c r="E3" s="312" t="s">
        <v>5</v>
      </c>
      <c r="F3" s="312" t="s">
        <v>168</v>
      </c>
      <c r="G3" s="312" t="s">
        <v>591</v>
      </c>
      <c r="H3" s="313" t="s">
        <v>176</v>
      </c>
      <c r="I3" s="312" t="s">
        <v>168</v>
      </c>
      <c r="J3" s="312" t="s">
        <v>592</v>
      </c>
      <c r="K3" s="314" t="s">
        <v>168</v>
      </c>
      <c r="L3" s="315" t="s">
        <v>177</v>
      </c>
      <c r="M3" s="313" t="s">
        <v>576</v>
      </c>
      <c r="N3" s="315" t="s">
        <v>178</v>
      </c>
      <c r="O3" s="315" t="s">
        <v>213</v>
      </c>
      <c r="P3" s="314" t="s">
        <v>179</v>
      </c>
      <c r="Q3" s="316" t="s">
        <v>174</v>
      </c>
      <c r="R3" s="290" t="s">
        <v>64</v>
      </c>
      <c r="S3" s="291" t="s">
        <v>533</v>
      </c>
      <c r="T3" s="292" t="s">
        <v>590</v>
      </c>
      <c r="U3" s="292" t="s">
        <v>573</v>
      </c>
    </row>
    <row r="4" spans="1:21" s="299" customFormat="1" ht="45" customHeight="1" thickTop="1" thickBot="1">
      <c r="A4" s="343" t="s">
        <v>593</v>
      </c>
      <c r="B4" s="344" t="s">
        <v>595</v>
      </c>
      <c r="C4" s="345">
        <v>20240228011</v>
      </c>
      <c r="D4" s="345"/>
      <c r="E4" s="345"/>
      <c r="F4" s="345">
        <f t="shared" ref="F4" si="0">C4</f>
        <v>20240228011</v>
      </c>
      <c r="G4" s="346" t="s">
        <v>611</v>
      </c>
      <c r="H4" s="344"/>
      <c r="I4" s="347" t="s">
        <v>612</v>
      </c>
      <c r="J4" s="348" t="str">
        <f t="shared" ref="J4" si="1">CONCATENATE(I4," - ",G4)</f>
        <v>SIEP - SIEP Fascicolo non validato</v>
      </c>
      <c r="K4" s="349" t="str">
        <f>CONCATENATE("TF001.",I4)</f>
        <v>TF001.SIEP</v>
      </c>
      <c r="L4" s="350" t="s">
        <v>613</v>
      </c>
      <c r="M4" s="350"/>
      <c r="N4" s="350"/>
      <c r="O4" s="350"/>
      <c r="P4" s="349" t="s">
        <v>614</v>
      </c>
      <c r="Q4" s="351" t="s">
        <v>337</v>
      </c>
      <c r="T4" s="294"/>
    </row>
    <row r="5" spans="1:21" ht="30" customHeight="1" thickTop="1"/>
  </sheetData>
  <sheetProtection formatCells="0" formatColumns="0" formatRows="0" deleteRows="0" autoFilter="0"/>
  <dataConsolidate/>
  <mergeCells count="7">
    <mergeCell ref="K2:U2"/>
    <mergeCell ref="O1:U1"/>
    <mergeCell ref="A1:C1"/>
    <mergeCell ref="D1:G1"/>
    <mergeCell ref="H1:I1"/>
    <mergeCell ref="A2:C2"/>
    <mergeCell ref="D2:J2"/>
  </mergeCells>
  <phoneticPr fontId="7" type="noConversion"/>
  <pageMargins left="0.27559055118110237" right="0.23622047244094491" top="0.47244094488188981" bottom="0.43307086614173229" header="0.31496062992125984" footer="0.23622047244094491"/>
  <pageSetup paperSize="9" scale="70" orientation="landscape" horizontalDpi="300" verticalDpi="300" r:id="rId1"/>
  <headerFooter alignWithMargins="0">
    <oddHeader>&amp;R&amp;D &amp;T</oddHeader>
    <oddFooter>&amp;L&amp;F&amp;C&amp;A&amp;RPagina &amp;P di &amp;N</oddFooter>
  </headerFooter>
  <drawing r:id="rId2"/>
  <legacyDrawing r:id="rId3"/>
  <controls>
    <mc:AlternateContent xmlns:mc="http://schemas.openxmlformats.org/markup-compatibility/2006">
      <mc:Choice Requires="x14">
        <control shapeId="219442" r:id="rId4" name="Btn_Duplicate">
          <controlPr defaultSize="0" print="0" autoLine="0" r:id="rId5">
            <anchor>
              <from>
                <xdr:col>5</xdr:col>
                <xdr:colOff>457200</xdr:colOff>
                <xdr:row>0</xdr:row>
                <xdr:rowOff>28575</xdr:rowOff>
              </from>
              <to>
                <xdr:col>6</xdr:col>
                <xdr:colOff>971550</xdr:colOff>
                <xdr:row>0</xdr:row>
                <xdr:rowOff>381000</xdr:rowOff>
              </to>
            </anchor>
          </controlPr>
        </control>
      </mc:Choice>
      <mc:Fallback>
        <control shapeId="219442" r:id="rId4" name="Btn_Duplicate"/>
      </mc:Fallback>
    </mc:AlternateContent>
    <mc:AlternateContent xmlns:mc="http://schemas.openxmlformats.org/markup-compatibility/2006">
      <mc:Choice Requires="x14">
        <control shapeId="219441" r:id="rId6" name="Btn_Delete">
          <controlPr defaultSize="0" print="0" autoLine="0" r:id="rId7">
            <anchor>
              <from>
                <xdr:col>1</xdr:col>
                <xdr:colOff>704850</xdr:colOff>
                <xdr:row>0</xdr:row>
                <xdr:rowOff>28575</xdr:rowOff>
              </from>
              <to>
                <xdr:col>5</xdr:col>
                <xdr:colOff>409575</xdr:colOff>
                <xdr:row>0</xdr:row>
                <xdr:rowOff>381000</xdr:rowOff>
              </to>
            </anchor>
          </controlPr>
        </control>
      </mc:Choice>
      <mc:Fallback>
        <control shapeId="219441" r:id="rId6" name="Btn_Delete"/>
      </mc:Fallback>
    </mc:AlternateContent>
    <mc:AlternateContent xmlns:mc="http://schemas.openxmlformats.org/markup-compatibility/2006">
      <mc:Choice Requires="x14">
        <control shapeId="219440" r:id="rId8" name="Btn_Insert">
          <controlPr defaultSize="0" print="0" autoLine="0" r:id="rId9">
            <anchor>
              <from>
                <xdr:col>0</xdr:col>
                <xdr:colOff>104775</xdr:colOff>
                <xdr:row>0</xdr:row>
                <xdr:rowOff>28575</xdr:rowOff>
              </from>
              <to>
                <xdr:col>1</xdr:col>
                <xdr:colOff>657225</xdr:colOff>
                <xdr:row>0</xdr:row>
                <xdr:rowOff>381000</xdr:rowOff>
              </to>
            </anchor>
          </controlPr>
        </control>
      </mc:Choice>
      <mc:Fallback>
        <control shapeId="219440" r:id="rId8" name="Btn_Insert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T15"/>
  <sheetViews>
    <sheetView zoomScale="57" zoomScaleNormal="57" zoomScaleSheetLayoutView="40" workbookViewId="0">
      <pane ySplit="3" topLeftCell="A4" activePane="bottomLeft" state="frozen"/>
      <selection pane="bottomLeft" activeCell="H1" sqref="H1:I1"/>
    </sheetView>
  </sheetViews>
  <sheetFormatPr defaultRowHeight="33.75" customHeight="1"/>
  <cols>
    <col min="1" max="2" width="9.28515625" style="216" customWidth="1"/>
    <col min="3" max="3" width="12.7109375" style="216" customWidth="1"/>
    <col min="4" max="4" width="8.28515625" style="216" customWidth="1"/>
    <col min="5" max="5" width="19.28515625" style="216" customWidth="1"/>
    <col min="6" max="6" width="9.42578125" style="216" customWidth="1"/>
    <col min="7" max="7" width="20.140625" style="216" customWidth="1"/>
    <col min="8" max="8" width="6.28515625" style="216" customWidth="1"/>
    <col min="9" max="9" width="12.42578125" style="216" customWidth="1"/>
    <col min="10" max="10" width="68.5703125" style="216" bestFit="1" customWidth="1"/>
    <col min="11" max="11" width="20" style="216" customWidth="1"/>
    <col min="12" max="12" width="27.85546875" style="216" customWidth="1"/>
    <col min="13" max="13" width="6.5703125" style="216" customWidth="1"/>
    <col min="14" max="14" width="7.140625" style="216" customWidth="1"/>
    <col min="15" max="15" width="9.28515625" style="216" customWidth="1"/>
    <col min="16" max="16" width="71.140625" style="216" customWidth="1"/>
    <col min="17" max="17" width="11.140625" style="216" hidden="1" customWidth="1"/>
    <col min="18" max="19" width="8.42578125" style="216" customWidth="1"/>
    <col min="20" max="20" width="9.42578125" style="236" customWidth="1"/>
    <col min="21" max="16384" width="9.140625" style="216"/>
  </cols>
  <sheetData>
    <row r="1" spans="1:20" ht="75.75" customHeight="1" thickBot="1">
      <c r="A1" s="374" t="s">
        <v>212</v>
      </c>
      <c r="B1" s="375"/>
      <c r="C1" s="375"/>
      <c r="D1" s="376" t="s">
        <v>554</v>
      </c>
      <c r="E1" s="377"/>
      <c r="F1" s="377"/>
      <c r="G1" s="378"/>
      <c r="H1" s="374" t="s">
        <v>335</v>
      </c>
      <c r="I1" s="379"/>
      <c r="J1" s="217" t="s">
        <v>555</v>
      </c>
      <c r="K1" s="218"/>
      <c r="L1" s="141" t="s">
        <v>0</v>
      </c>
      <c r="M1" s="103"/>
      <c r="N1" s="103"/>
      <c r="O1" s="103"/>
      <c r="P1" s="239"/>
      <c r="Q1" s="103"/>
      <c r="R1" s="372"/>
      <c r="S1" s="372"/>
      <c r="T1" s="373"/>
    </row>
    <row r="2" spans="1:20" ht="21" customHeight="1" thickBot="1">
      <c r="A2" s="380" t="s">
        <v>175</v>
      </c>
      <c r="B2" s="381"/>
      <c r="C2" s="382"/>
      <c r="D2" s="383" t="s">
        <v>338</v>
      </c>
      <c r="E2" s="384"/>
      <c r="F2" s="384"/>
      <c r="G2" s="384"/>
      <c r="H2" s="384"/>
      <c r="I2" s="384"/>
      <c r="J2" s="385"/>
      <c r="K2" s="369" t="s">
        <v>8</v>
      </c>
      <c r="L2" s="370"/>
      <c r="M2" s="370"/>
      <c r="N2" s="370"/>
      <c r="O2" s="370"/>
      <c r="P2" s="370"/>
      <c r="Q2" s="370"/>
      <c r="R2" s="370"/>
      <c r="S2" s="370"/>
      <c r="T2" s="371"/>
    </row>
    <row r="3" spans="1:20" ht="54.75" customHeight="1">
      <c r="A3" s="206" t="s">
        <v>515</v>
      </c>
      <c r="B3" s="92" t="s">
        <v>516</v>
      </c>
      <c r="C3" s="93" t="s">
        <v>7</v>
      </c>
      <c r="D3" s="94" t="s">
        <v>168</v>
      </c>
      <c r="E3" s="95" t="s">
        <v>5</v>
      </c>
      <c r="F3" s="96" t="s">
        <v>168</v>
      </c>
      <c r="G3" s="95" t="s">
        <v>6</v>
      </c>
      <c r="H3" s="219" t="s">
        <v>176</v>
      </c>
      <c r="I3" s="96" t="s">
        <v>168</v>
      </c>
      <c r="J3" s="220" t="s">
        <v>339</v>
      </c>
      <c r="K3" s="102" t="s">
        <v>168</v>
      </c>
      <c r="L3" s="221" t="s">
        <v>177</v>
      </c>
      <c r="M3" s="222" t="s">
        <v>176</v>
      </c>
      <c r="N3" s="104" t="s">
        <v>178</v>
      </c>
      <c r="O3" s="104" t="s">
        <v>213</v>
      </c>
      <c r="P3" s="223" t="s">
        <v>179</v>
      </c>
      <c r="Q3" s="203" t="s">
        <v>174</v>
      </c>
      <c r="R3" s="104" t="s">
        <v>64</v>
      </c>
      <c r="S3" s="104" t="s">
        <v>533</v>
      </c>
      <c r="T3" s="244" t="s">
        <v>447</v>
      </c>
    </row>
    <row r="4" spans="1:20" ht="183" customHeight="1">
      <c r="A4" s="150" t="s">
        <v>340</v>
      </c>
      <c r="B4" s="151" t="s">
        <v>375</v>
      </c>
      <c r="C4" s="152" t="s">
        <v>519</v>
      </c>
      <c r="D4" s="153" t="s">
        <v>520</v>
      </c>
      <c r="E4" s="154" t="s">
        <v>334</v>
      </c>
      <c r="F4" s="237" t="s">
        <v>521</v>
      </c>
      <c r="G4" s="154" t="s">
        <v>341</v>
      </c>
      <c r="H4" s="155" t="s">
        <v>372</v>
      </c>
      <c r="I4" s="156" t="s">
        <v>522</v>
      </c>
      <c r="J4" s="154" t="s">
        <v>342</v>
      </c>
      <c r="K4" s="156" t="s">
        <v>542</v>
      </c>
      <c r="L4" s="157" t="s">
        <v>343</v>
      </c>
      <c r="M4" s="158" t="s">
        <v>369</v>
      </c>
      <c r="N4" s="159" t="s">
        <v>370</v>
      </c>
      <c r="O4" s="160" t="s">
        <v>373</v>
      </c>
      <c r="P4" s="254" t="s">
        <v>73</v>
      </c>
      <c r="Q4" s="161" t="s">
        <v>337</v>
      </c>
      <c r="R4" s="151">
        <v>7</v>
      </c>
      <c r="S4" s="151" t="s">
        <v>534</v>
      </c>
      <c r="T4" s="245" t="str">
        <f>IF(H4*M4&lt;1,"Nessuna",IF(H4*M4&lt;=2,"Bassa",IF(H4*M4&lt;=4,"Medio bassa",IF(H4*M4&lt;=9,"Media",IF(H4*M4&lt;=12,"Medio alta","Alta")))))</f>
        <v>Medio bassa</v>
      </c>
    </row>
    <row r="5" spans="1:20" ht="45.75" customHeight="1">
      <c r="A5" s="150" t="s">
        <v>340</v>
      </c>
      <c r="B5" s="151" t="s">
        <v>375</v>
      </c>
      <c r="C5" s="152" t="s">
        <v>519</v>
      </c>
      <c r="D5" s="153" t="s">
        <v>520</v>
      </c>
      <c r="E5" s="162" t="s">
        <v>334</v>
      </c>
      <c r="F5" s="237" t="s">
        <v>521</v>
      </c>
      <c r="G5" s="162" t="s">
        <v>341</v>
      </c>
      <c r="H5" s="163" t="s">
        <v>372</v>
      </c>
      <c r="I5" s="156" t="s">
        <v>522</v>
      </c>
      <c r="J5" s="162" t="s">
        <v>342</v>
      </c>
      <c r="K5" s="156" t="s">
        <v>543</v>
      </c>
      <c r="L5" s="162" t="s">
        <v>344</v>
      </c>
      <c r="M5" s="164" t="s">
        <v>368</v>
      </c>
      <c r="N5" s="165" t="s">
        <v>380</v>
      </c>
      <c r="O5" s="166" t="s">
        <v>378</v>
      </c>
      <c r="P5" s="238" t="s">
        <v>345</v>
      </c>
      <c r="Q5" s="161" t="s">
        <v>337</v>
      </c>
      <c r="R5" s="151">
        <v>8</v>
      </c>
      <c r="S5" s="250" t="s">
        <v>534</v>
      </c>
      <c r="T5" s="245" t="str">
        <f t="shared" ref="T5:T15" si="0">IF(H5*M5&lt;1,"Nessuna",IF(H5*M5&lt;=2,"Bassa",IF(H5*M5&lt;=4,"Medio bassa",IF(H5*M5&lt;=9,"Media",IF(H5*M5&lt;=12,"Medio alta","Alta")))))</f>
        <v>Alta</v>
      </c>
    </row>
    <row r="6" spans="1:20" ht="45.75" customHeight="1">
      <c r="A6" s="150" t="s">
        <v>340</v>
      </c>
      <c r="B6" s="151" t="s">
        <v>375</v>
      </c>
      <c r="C6" s="152" t="s">
        <v>519</v>
      </c>
      <c r="D6" s="153" t="s">
        <v>520</v>
      </c>
      <c r="E6" s="162" t="s">
        <v>334</v>
      </c>
      <c r="F6" s="237" t="s">
        <v>521</v>
      </c>
      <c r="G6" s="162" t="s">
        <v>341</v>
      </c>
      <c r="H6" s="163" t="s">
        <v>372</v>
      </c>
      <c r="I6" s="156" t="s">
        <v>522</v>
      </c>
      <c r="J6" s="162" t="s">
        <v>342</v>
      </c>
      <c r="K6" s="156" t="s">
        <v>544</v>
      </c>
      <c r="L6" s="162" t="s">
        <v>346</v>
      </c>
      <c r="M6" s="164" t="s">
        <v>368</v>
      </c>
      <c r="N6" s="165" t="s">
        <v>370</v>
      </c>
      <c r="O6" s="166" t="s">
        <v>374</v>
      </c>
      <c r="P6" s="238" t="s">
        <v>347</v>
      </c>
      <c r="Q6" s="161" t="s">
        <v>337</v>
      </c>
      <c r="R6" s="151">
        <v>1</v>
      </c>
      <c r="S6" s="250" t="s">
        <v>534</v>
      </c>
      <c r="T6" s="245" t="str">
        <f t="shared" si="0"/>
        <v>Alta</v>
      </c>
    </row>
    <row r="7" spans="1:20" ht="45.75" customHeight="1">
      <c r="A7" s="150" t="s">
        <v>340</v>
      </c>
      <c r="B7" s="151" t="s">
        <v>375</v>
      </c>
      <c r="C7" s="152" t="s">
        <v>519</v>
      </c>
      <c r="D7" s="153" t="s">
        <v>520</v>
      </c>
      <c r="E7" s="162" t="s">
        <v>334</v>
      </c>
      <c r="F7" s="237" t="s">
        <v>521</v>
      </c>
      <c r="G7" s="162" t="s">
        <v>341</v>
      </c>
      <c r="H7" s="163" t="s">
        <v>372</v>
      </c>
      <c r="I7" s="156" t="s">
        <v>522</v>
      </c>
      <c r="J7" s="162" t="s">
        <v>342</v>
      </c>
      <c r="K7" s="156" t="s">
        <v>545</v>
      </c>
      <c r="L7" s="162" t="s">
        <v>348</v>
      </c>
      <c r="M7" s="164" t="s">
        <v>370</v>
      </c>
      <c r="N7" s="165" t="s">
        <v>370</v>
      </c>
      <c r="O7" s="166" t="s">
        <v>374</v>
      </c>
      <c r="P7" s="238" t="s">
        <v>349</v>
      </c>
      <c r="Q7" s="161" t="s">
        <v>337</v>
      </c>
      <c r="R7" s="151">
        <v>5</v>
      </c>
      <c r="S7" s="250" t="s">
        <v>534</v>
      </c>
      <c r="T7" s="245" t="str">
        <f t="shared" si="0"/>
        <v>Media</v>
      </c>
    </row>
    <row r="8" spans="1:20" ht="45.75" customHeight="1">
      <c r="A8" s="150" t="s">
        <v>340</v>
      </c>
      <c r="B8" s="151" t="s">
        <v>375</v>
      </c>
      <c r="C8" s="152" t="s">
        <v>519</v>
      </c>
      <c r="D8" s="153" t="s">
        <v>520</v>
      </c>
      <c r="E8" s="162" t="s">
        <v>334</v>
      </c>
      <c r="F8" s="237" t="s">
        <v>521</v>
      </c>
      <c r="G8" s="162" t="s">
        <v>341</v>
      </c>
      <c r="H8" s="163" t="s">
        <v>372</v>
      </c>
      <c r="I8" s="156" t="s">
        <v>522</v>
      </c>
      <c r="J8" s="162" t="s">
        <v>342</v>
      </c>
      <c r="K8" s="156" t="s">
        <v>546</v>
      </c>
      <c r="L8" s="162" t="s">
        <v>350</v>
      </c>
      <c r="M8" s="164" t="s">
        <v>370</v>
      </c>
      <c r="N8" s="165" t="s">
        <v>372</v>
      </c>
      <c r="O8" s="166" t="s">
        <v>374</v>
      </c>
      <c r="P8" s="238" t="s">
        <v>352</v>
      </c>
      <c r="Q8" s="161" t="s">
        <v>337</v>
      </c>
      <c r="R8" s="151">
        <v>6</v>
      </c>
      <c r="S8" s="250" t="s">
        <v>534</v>
      </c>
      <c r="T8" s="245" t="str">
        <f t="shared" si="0"/>
        <v>Media</v>
      </c>
    </row>
    <row r="9" spans="1:20" ht="45.75" customHeight="1">
      <c r="A9" s="150" t="s">
        <v>340</v>
      </c>
      <c r="B9" s="151" t="s">
        <v>375</v>
      </c>
      <c r="C9" s="152" t="s">
        <v>519</v>
      </c>
      <c r="D9" s="153" t="s">
        <v>520</v>
      </c>
      <c r="E9" s="162" t="s">
        <v>334</v>
      </c>
      <c r="F9" s="237" t="s">
        <v>521</v>
      </c>
      <c r="G9" s="162" t="s">
        <v>341</v>
      </c>
      <c r="H9" s="163" t="s">
        <v>372</v>
      </c>
      <c r="I9" s="156" t="s">
        <v>522</v>
      </c>
      <c r="J9" s="162" t="s">
        <v>342</v>
      </c>
      <c r="K9" s="156" t="s">
        <v>547</v>
      </c>
      <c r="L9" s="162" t="s">
        <v>353</v>
      </c>
      <c r="M9" s="164" t="s">
        <v>370</v>
      </c>
      <c r="N9" s="167" t="s">
        <v>372</v>
      </c>
      <c r="O9" s="166" t="s">
        <v>377</v>
      </c>
      <c r="P9" s="238" t="s">
        <v>354</v>
      </c>
      <c r="Q9" s="161" t="s">
        <v>337</v>
      </c>
      <c r="R9" s="151">
        <v>6</v>
      </c>
      <c r="S9" s="250" t="s">
        <v>369</v>
      </c>
      <c r="T9" s="245" t="str">
        <f t="shared" si="0"/>
        <v>Media</v>
      </c>
    </row>
    <row r="10" spans="1:20" ht="45.75" customHeight="1">
      <c r="A10" s="150" t="s">
        <v>340</v>
      </c>
      <c r="B10" s="151" t="s">
        <v>375</v>
      </c>
      <c r="C10" s="152" t="s">
        <v>519</v>
      </c>
      <c r="D10" s="153" t="s">
        <v>520</v>
      </c>
      <c r="E10" s="162" t="s">
        <v>334</v>
      </c>
      <c r="F10" s="237" t="s">
        <v>521</v>
      </c>
      <c r="G10" s="162" t="s">
        <v>341</v>
      </c>
      <c r="H10" s="163" t="s">
        <v>372</v>
      </c>
      <c r="I10" s="156"/>
      <c r="J10" s="168"/>
      <c r="K10" s="156" t="s">
        <v>548</v>
      </c>
      <c r="L10" s="157" t="s">
        <v>355</v>
      </c>
      <c r="M10" s="164" t="s">
        <v>372</v>
      </c>
      <c r="N10" s="167" t="s">
        <v>381</v>
      </c>
      <c r="O10" s="166" t="s">
        <v>376</v>
      </c>
      <c r="P10" s="238" t="s">
        <v>356</v>
      </c>
      <c r="Q10" s="161" t="s">
        <v>337</v>
      </c>
      <c r="R10" s="151">
        <v>3</v>
      </c>
      <c r="S10" s="250" t="s">
        <v>369</v>
      </c>
      <c r="T10" s="245" t="str">
        <f t="shared" si="0"/>
        <v>Alta</v>
      </c>
    </row>
    <row r="11" spans="1:20" ht="45.75" customHeight="1">
      <c r="A11" s="150" t="s">
        <v>340</v>
      </c>
      <c r="B11" s="151" t="s">
        <v>375</v>
      </c>
      <c r="C11" s="152" t="s">
        <v>519</v>
      </c>
      <c r="D11" s="153" t="s">
        <v>520</v>
      </c>
      <c r="E11" s="162" t="s">
        <v>334</v>
      </c>
      <c r="F11" s="237"/>
      <c r="G11" s="162"/>
      <c r="H11" s="163" t="s">
        <v>368</v>
      </c>
      <c r="I11" s="156"/>
      <c r="J11" s="168"/>
      <c r="K11" s="156" t="s">
        <v>549</v>
      </c>
      <c r="L11" s="157" t="s">
        <v>463</v>
      </c>
      <c r="M11" s="164" t="s">
        <v>372</v>
      </c>
      <c r="N11" s="167" t="s">
        <v>371</v>
      </c>
      <c r="O11" s="166" t="s">
        <v>377</v>
      </c>
      <c r="P11" s="238" t="s">
        <v>464</v>
      </c>
      <c r="Q11" s="161" t="s">
        <v>337</v>
      </c>
      <c r="R11" s="151">
        <v>3</v>
      </c>
      <c r="S11" s="250" t="s">
        <v>369</v>
      </c>
      <c r="T11" s="245" t="str">
        <f t="shared" si="0"/>
        <v>Alta</v>
      </c>
    </row>
    <row r="12" spans="1:20" ht="45.75" customHeight="1">
      <c r="A12" s="150" t="s">
        <v>340</v>
      </c>
      <c r="B12" s="151" t="s">
        <v>375</v>
      </c>
      <c r="C12" s="152" t="s">
        <v>519</v>
      </c>
      <c r="D12" s="153" t="s">
        <v>520</v>
      </c>
      <c r="E12" s="162" t="s">
        <v>334</v>
      </c>
      <c r="F12" s="237" t="s">
        <v>79</v>
      </c>
      <c r="G12" s="162" t="s">
        <v>465</v>
      </c>
      <c r="H12" s="163" t="s">
        <v>371</v>
      </c>
      <c r="I12" s="156" t="s">
        <v>523</v>
      </c>
      <c r="J12" s="168" t="s">
        <v>466</v>
      </c>
      <c r="K12" s="156" t="s">
        <v>550</v>
      </c>
      <c r="L12" s="157" t="s">
        <v>467</v>
      </c>
      <c r="M12" s="164" t="s">
        <v>368</v>
      </c>
      <c r="N12" s="167" t="s">
        <v>371</v>
      </c>
      <c r="O12" s="167" t="s">
        <v>376</v>
      </c>
      <c r="P12" s="238" t="s">
        <v>468</v>
      </c>
      <c r="Q12" s="161" t="s">
        <v>337</v>
      </c>
      <c r="R12" s="151">
        <v>1</v>
      </c>
      <c r="S12" s="250" t="s">
        <v>534</v>
      </c>
      <c r="T12" s="245" t="str">
        <f t="shared" si="0"/>
        <v>Alta</v>
      </c>
    </row>
    <row r="13" spans="1:20" ht="45.75" customHeight="1">
      <c r="A13" s="150" t="s">
        <v>340</v>
      </c>
      <c r="B13" s="151" t="s">
        <v>375</v>
      </c>
      <c r="C13" s="152" t="s">
        <v>519</v>
      </c>
      <c r="D13" s="153" t="s">
        <v>520</v>
      </c>
      <c r="E13" s="162" t="s">
        <v>334</v>
      </c>
      <c r="F13" s="237" t="s">
        <v>79</v>
      </c>
      <c r="G13" s="162" t="s">
        <v>465</v>
      </c>
      <c r="H13" s="163" t="s">
        <v>371</v>
      </c>
      <c r="I13" s="156" t="s">
        <v>524</v>
      </c>
      <c r="J13" s="168" t="s">
        <v>469</v>
      </c>
      <c r="K13" s="156" t="s">
        <v>551</v>
      </c>
      <c r="L13" s="157" t="s">
        <v>470</v>
      </c>
      <c r="M13" s="164" t="s">
        <v>370</v>
      </c>
      <c r="N13" s="167" t="s">
        <v>371</v>
      </c>
      <c r="O13" s="167" t="s">
        <v>376</v>
      </c>
      <c r="P13" s="238" t="s">
        <v>471</v>
      </c>
      <c r="Q13" s="161" t="s">
        <v>337</v>
      </c>
      <c r="R13" s="151">
        <v>1</v>
      </c>
      <c r="S13" s="250" t="s">
        <v>369</v>
      </c>
      <c r="T13" s="245" t="str">
        <f t="shared" si="0"/>
        <v>Media</v>
      </c>
    </row>
    <row r="14" spans="1:20" ht="45.75" customHeight="1">
      <c r="A14" s="150" t="s">
        <v>340</v>
      </c>
      <c r="B14" s="151" t="s">
        <v>375</v>
      </c>
      <c r="C14" s="169" t="s">
        <v>472</v>
      </c>
      <c r="D14" s="153" t="s">
        <v>472</v>
      </c>
      <c r="E14" s="162" t="s">
        <v>473</v>
      </c>
      <c r="F14" s="240" t="s">
        <v>525</v>
      </c>
      <c r="G14" s="154" t="s">
        <v>474</v>
      </c>
      <c r="H14" s="155" t="s">
        <v>368</v>
      </c>
      <c r="I14" s="171"/>
      <c r="J14" s="170"/>
      <c r="K14" s="171" t="s">
        <v>552</v>
      </c>
      <c r="L14" s="162" t="s">
        <v>475</v>
      </c>
      <c r="M14" s="164" t="s">
        <v>371</v>
      </c>
      <c r="N14" s="167" t="s">
        <v>372</v>
      </c>
      <c r="O14" s="172" t="s">
        <v>379</v>
      </c>
      <c r="P14" s="241" t="s">
        <v>476</v>
      </c>
      <c r="Q14" s="161" t="s">
        <v>337</v>
      </c>
      <c r="R14" s="151">
        <v>22</v>
      </c>
      <c r="S14" s="250" t="s">
        <v>369</v>
      </c>
      <c r="T14" s="245" t="str">
        <f t="shared" si="0"/>
        <v>Alta</v>
      </c>
    </row>
    <row r="15" spans="1:20" ht="45.75" customHeight="1" thickBot="1">
      <c r="A15" s="173" t="s">
        <v>340</v>
      </c>
      <c r="B15" s="174" t="s">
        <v>375</v>
      </c>
      <c r="C15" s="175" t="s">
        <v>477</v>
      </c>
      <c r="D15" s="176" t="s">
        <v>477</v>
      </c>
      <c r="E15" s="177" t="s">
        <v>69</v>
      </c>
      <c r="F15" s="242" t="s">
        <v>526</v>
      </c>
      <c r="G15" s="177" t="s">
        <v>70</v>
      </c>
      <c r="H15" s="178" t="s">
        <v>371</v>
      </c>
      <c r="I15" s="180"/>
      <c r="J15" s="179"/>
      <c r="K15" s="180" t="s">
        <v>553</v>
      </c>
      <c r="L15" s="177" t="s">
        <v>71</v>
      </c>
      <c r="M15" s="181" t="s">
        <v>372</v>
      </c>
      <c r="N15" s="182" t="s">
        <v>372</v>
      </c>
      <c r="O15" s="183" t="s">
        <v>376</v>
      </c>
      <c r="P15" s="243" t="s">
        <v>72</v>
      </c>
      <c r="Q15" s="184" t="s">
        <v>337</v>
      </c>
      <c r="R15" s="174">
        <v>1</v>
      </c>
      <c r="S15" s="174" t="s">
        <v>534</v>
      </c>
      <c r="T15" s="246" t="str">
        <f t="shared" si="0"/>
        <v>Medio alta</v>
      </c>
    </row>
  </sheetData>
  <sheetProtection formatCells="0" formatColumns="0" formatRows="0" deleteRows="0" autoFilter="0"/>
  <dataConsolidate/>
  <mergeCells count="7">
    <mergeCell ref="K2:T2"/>
    <mergeCell ref="R1:T1"/>
    <mergeCell ref="A1:C1"/>
    <mergeCell ref="D1:G1"/>
    <mergeCell ref="H1:I1"/>
    <mergeCell ref="A2:C2"/>
    <mergeCell ref="D2:J2"/>
  </mergeCells>
  <phoneticPr fontId="7" type="noConversion"/>
  <pageMargins left="0.27559055118110237" right="0.23622047244094491" top="0.46" bottom="0.43307086614173229" header="0.31496062992125984" footer="0.23622047244094491"/>
  <pageSetup paperSize="9" scale="41" orientation="landscape" horizontalDpi="300" verticalDpi="300" r:id="rId1"/>
  <headerFooter alignWithMargins="0">
    <oddHeader>&amp;R&amp;D  &amp;T</oddHeader>
    <oddFooter>&amp;L&amp;F&amp;C&amp;A&amp;RPagina &amp;P di &amp;N</oddFooter>
  </headerFooter>
  <drawing r:id="rId2"/>
  <legacyDrawing r:id="rId3"/>
  <controls>
    <mc:AlternateContent xmlns:mc="http://schemas.openxmlformats.org/markup-compatibility/2006">
      <mc:Choice Requires="x14">
        <control shapeId="451587" r:id="rId4" name="Btn_Duplicate">
          <controlPr defaultSize="0" autoLine="0" r:id="rId5">
            <anchor moveWithCells="1">
              <from>
                <xdr:col>6</xdr:col>
                <xdr:colOff>0</xdr:colOff>
                <xdr:row>0</xdr:row>
                <xdr:rowOff>28575</xdr:rowOff>
              </from>
              <to>
                <xdr:col>7</xdr:col>
                <xdr:colOff>0</xdr:colOff>
                <xdr:row>0</xdr:row>
                <xdr:rowOff>381000</xdr:rowOff>
              </to>
            </anchor>
          </controlPr>
        </control>
      </mc:Choice>
      <mc:Fallback>
        <control shapeId="451587" r:id="rId4" name="Btn_Duplicate"/>
      </mc:Fallback>
    </mc:AlternateContent>
    <mc:AlternateContent xmlns:mc="http://schemas.openxmlformats.org/markup-compatibility/2006">
      <mc:Choice Requires="x14">
        <control shapeId="451586" r:id="rId6" name="Btn_Delete">
          <controlPr defaultSize="0" autoLine="0" r:id="rId7">
            <anchor moveWithCells="1">
              <from>
                <xdr:col>5</xdr:col>
                <xdr:colOff>0</xdr:colOff>
                <xdr:row>0</xdr:row>
                <xdr:rowOff>28575</xdr:rowOff>
              </from>
              <to>
                <xdr:col>6</xdr:col>
                <xdr:colOff>638175</xdr:colOff>
                <xdr:row>0</xdr:row>
                <xdr:rowOff>381000</xdr:rowOff>
              </to>
            </anchor>
          </controlPr>
        </control>
      </mc:Choice>
      <mc:Fallback>
        <control shapeId="451586" r:id="rId6" name="Btn_Delete"/>
      </mc:Fallback>
    </mc:AlternateContent>
    <mc:AlternateContent xmlns:mc="http://schemas.openxmlformats.org/markup-compatibility/2006">
      <mc:Choice Requires="x14">
        <control shapeId="451585" r:id="rId8" name="Btn_Insert">
          <controlPr defaultSize="0" autoLine="0" r:id="rId9">
            <anchor moveWithCells="1">
              <from>
                <xdr:col>4</xdr:col>
                <xdr:colOff>133350</xdr:colOff>
                <xdr:row>0</xdr:row>
                <xdr:rowOff>28575</xdr:rowOff>
              </from>
              <to>
                <xdr:col>5</xdr:col>
                <xdr:colOff>114300</xdr:colOff>
                <xdr:row>0</xdr:row>
                <xdr:rowOff>381000</xdr:rowOff>
              </to>
            </anchor>
          </controlPr>
        </control>
      </mc:Choice>
      <mc:Fallback>
        <control shapeId="451585" r:id="rId8" name="Btn_Insert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8"/>
  <dimension ref="A1:F1"/>
  <sheetViews>
    <sheetView zoomScale="85" workbookViewId="0"/>
  </sheetViews>
  <sheetFormatPr defaultRowHeight="12.75"/>
  <cols>
    <col min="1" max="1" width="9.28515625" style="227" customWidth="1"/>
    <col min="2" max="2" width="15.7109375" style="227" bestFit="1" customWidth="1"/>
    <col min="3" max="3" width="23.28515625" style="227" customWidth="1"/>
    <col min="4" max="4" width="52" style="227" customWidth="1"/>
    <col min="5" max="5" width="8.42578125" style="228" customWidth="1"/>
    <col min="6" max="6" width="78.28515625" style="229" customWidth="1"/>
    <col min="7" max="16384" width="9.140625" style="227"/>
  </cols>
  <sheetData>
    <row r="1" spans="1:6" ht="12.75" customHeight="1">
      <c r="A1" s="224" t="s">
        <v>216</v>
      </c>
      <c r="B1" s="225" t="s">
        <v>91</v>
      </c>
      <c r="C1" s="225" t="s">
        <v>168</v>
      </c>
      <c r="D1" s="225" t="s">
        <v>92</v>
      </c>
      <c r="E1" s="224" t="s">
        <v>229</v>
      </c>
      <c r="F1" s="226" t="s">
        <v>284</v>
      </c>
    </row>
  </sheetData>
  <phoneticPr fontId="7" type="noConversion"/>
  <pageMargins left="0.24" right="0.55000000000000004" top="0.66" bottom="0.65" header="0.5" footer="0.32"/>
  <pageSetup paperSize="9" orientation="landscape" r:id="rId1"/>
  <headerFooter alignWithMargins="0">
    <oddFooter>&amp;LTabella funzioni / requisiti &amp;R&amp;P di 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9"/>
  <dimension ref="A1:F1"/>
  <sheetViews>
    <sheetView zoomScale="85" workbookViewId="0">
      <selection sqref="A1:IV65536"/>
    </sheetView>
  </sheetViews>
  <sheetFormatPr defaultRowHeight="12.75"/>
  <cols>
    <col min="1" max="1" width="9.28515625" style="227" customWidth="1"/>
    <col min="2" max="2" width="15.7109375" style="227" bestFit="1" customWidth="1"/>
    <col min="3" max="3" width="23.28515625" style="227" customWidth="1"/>
    <col min="4" max="4" width="52" style="227" customWidth="1"/>
    <col min="5" max="5" width="8.42578125" style="228" customWidth="1"/>
    <col min="6" max="6" width="78.28515625" style="229" customWidth="1"/>
    <col min="7" max="16384" width="9.140625" style="227"/>
  </cols>
  <sheetData>
    <row r="1" spans="1:6" ht="12.75" customHeight="1">
      <c r="A1" s="224" t="s">
        <v>216</v>
      </c>
      <c r="B1" s="225" t="s">
        <v>91</v>
      </c>
      <c r="C1" s="225" t="s">
        <v>168</v>
      </c>
      <c r="D1" s="225" t="s">
        <v>92</v>
      </c>
      <c r="E1" s="224" t="s">
        <v>229</v>
      </c>
      <c r="F1" s="226" t="s">
        <v>284</v>
      </c>
    </row>
  </sheetData>
  <phoneticPr fontId="7" type="noConversion"/>
  <pageMargins left="0.75" right="0.75" top="1" bottom="1" header="0.5" footer="0.5"/>
  <pageSetup orientation="portrait" horizontalDpi="4294967294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D10"/>
  <sheetViews>
    <sheetView zoomScale="85" zoomScaleNormal="75" workbookViewId="0">
      <selection activeCell="D2" sqref="D2"/>
    </sheetView>
  </sheetViews>
  <sheetFormatPr defaultRowHeight="12.75"/>
  <cols>
    <col min="1" max="1" width="1.42578125" customWidth="1"/>
    <col min="2" max="2" width="31.28515625" customWidth="1"/>
    <col min="3" max="3" width="49.28515625" customWidth="1"/>
    <col min="4" max="4" width="51.7109375" customWidth="1"/>
  </cols>
  <sheetData>
    <row r="1" spans="1:4" ht="168.75" customHeight="1">
      <c r="A1" s="87"/>
    </row>
    <row r="2" spans="1:4" ht="97.5" customHeight="1">
      <c r="A2" s="87"/>
      <c r="B2" s="386" t="s">
        <v>565</v>
      </c>
      <c r="C2" s="386"/>
    </row>
    <row r="3" spans="1:4" ht="17.45" customHeight="1">
      <c r="A3" s="87"/>
      <c r="B3" s="263" t="s">
        <v>566</v>
      </c>
    </row>
    <row r="4" spans="1:4" ht="16.149999999999999" customHeight="1">
      <c r="A4" s="87"/>
      <c r="B4" s="263" t="s">
        <v>567</v>
      </c>
    </row>
    <row r="5" spans="1:4" ht="16.149999999999999" customHeight="1">
      <c r="A5" s="87"/>
      <c r="B5" s="263" t="s">
        <v>568</v>
      </c>
    </row>
    <row r="6" spans="1:4" ht="16.149999999999999" customHeight="1">
      <c r="A6" s="87"/>
      <c r="B6" s="263" t="s">
        <v>569</v>
      </c>
    </row>
    <row r="7" spans="1:4" ht="16.149999999999999" customHeight="1">
      <c r="A7" s="87"/>
      <c r="B7" s="263" t="s">
        <v>570</v>
      </c>
    </row>
    <row r="8" spans="1:4" ht="16.149999999999999" customHeight="1">
      <c r="A8" s="87"/>
      <c r="B8" s="263" t="s">
        <v>571</v>
      </c>
    </row>
    <row r="9" spans="1:4" ht="113.25" customHeight="1">
      <c r="A9" s="87"/>
      <c r="B9" s="387" t="s">
        <v>572</v>
      </c>
      <c r="C9" s="388"/>
      <c r="D9" s="389"/>
    </row>
    <row r="10" spans="1:4" ht="16.149999999999999" customHeight="1"/>
  </sheetData>
  <mergeCells count="2">
    <mergeCell ref="B2:C2"/>
    <mergeCell ref="B9:D9"/>
  </mergeCells>
  <phoneticPr fontId="7" type="noConversion"/>
  <pageMargins left="0.38" right="0.55000000000000004" top="0.67" bottom="0.62" header="0.46" footer="0.5"/>
  <pageSetup paperSize="9" orientation="landscape" verticalDpi="30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07">
    <outlinePr summaryBelow="0"/>
  </sheetPr>
  <dimension ref="A1:J13"/>
  <sheetViews>
    <sheetView zoomScaleNormal="100" workbookViewId="0">
      <selection sqref="A1:XFD1048576"/>
    </sheetView>
  </sheetViews>
  <sheetFormatPr defaultRowHeight="12.75"/>
  <cols>
    <col min="1" max="1" width="12.7109375" style="296" customWidth="1"/>
    <col min="2" max="2" width="12.7109375" style="297" customWidth="1"/>
    <col min="3" max="3" width="15.7109375" style="295" customWidth="1"/>
    <col min="4" max="5" width="38.7109375" style="295" customWidth="1"/>
    <col min="6" max="6" width="51.7109375" style="295" customWidth="1"/>
    <col min="7" max="7" width="8.7109375" style="295" customWidth="1"/>
    <col min="8" max="9" width="10.7109375" style="295" hidden="1" customWidth="1"/>
    <col min="10" max="10" width="8.7109375" style="295" customWidth="1"/>
    <col min="11" max="16384" width="9.140625" style="295"/>
  </cols>
  <sheetData>
    <row r="1" spans="1:10" ht="90" customHeight="1" thickBot="1">
      <c r="A1" s="405" t="s">
        <v>212</v>
      </c>
      <c r="B1" s="406"/>
      <c r="C1" s="407"/>
      <c r="D1" s="399" t="str">
        <f>Copertina!C7</f>
        <v>SIES v.12.5.7.0</v>
      </c>
      <c r="E1" s="400"/>
      <c r="F1" s="400"/>
      <c r="G1" s="400"/>
      <c r="H1" s="400"/>
      <c r="I1" s="400"/>
      <c r="J1" s="401"/>
    </row>
    <row r="2" spans="1:10" ht="30" customHeight="1" thickBot="1">
      <c r="A2" s="405" t="s">
        <v>74</v>
      </c>
      <c r="B2" s="406"/>
      <c r="C2" s="408"/>
      <c r="D2" s="402" t="str">
        <f>Copertina!C3</f>
        <v>SIUT-SIES-CT-1.0-20240322-Allegato_al_piano_test_SIES_v.12.5.7.0.xlsx</v>
      </c>
      <c r="E2" s="403"/>
      <c r="F2" s="403"/>
      <c r="G2" s="403"/>
      <c r="H2" s="403"/>
      <c r="I2" s="403"/>
      <c r="J2" s="404"/>
    </row>
    <row r="3" spans="1:10" ht="30" customHeight="1" thickBot="1">
      <c r="A3" s="302" t="s">
        <v>184</v>
      </c>
      <c r="B3" s="303" t="s">
        <v>588</v>
      </c>
      <c r="C3" s="409" t="s">
        <v>589</v>
      </c>
      <c r="D3" s="409"/>
      <c r="E3" s="409" t="s">
        <v>185</v>
      </c>
      <c r="F3" s="409"/>
      <c r="G3" s="304" t="s">
        <v>174</v>
      </c>
      <c r="H3" s="304" t="s">
        <v>208</v>
      </c>
      <c r="I3" s="304" t="s">
        <v>63</v>
      </c>
      <c r="J3" s="304" t="s">
        <v>573</v>
      </c>
    </row>
    <row r="4" spans="1:10" s="340" customFormat="1" ht="30" customHeight="1" thickBot="1">
      <c r="A4" s="319" t="str">
        <f>TabellaTest!K4</f>
        <v>TF001.SIEP</v>
      </c>
      <c r="B4" s="320" t="str">
        <f>TabellaTest!I4</f>
        <v>SIEP</v>
      </c>
      <c r="C4" s="390" t="str">
        <f>TabellaTest!L4</f>
        <v>Errore nella gestione della pena residua in fase di inserimento cumulo</v>
      </c>
      <c r="D4" s="391"/>
      <c r="E4" s="392" t="str">
        <f>TabellaTest!P4</f>
        <v>Verifica: Verificare che in fase di iscrizione di una richiesta conversione pena pecuniaria su un fascicolo di classe VII, la pena residua sia gestita correttamente</v>
      </c>
      <c r="F4" s="391"/>
      <c r="G4" s="319" t="str">
        <f>TabellaTest!Q4</f>
        <v>1.0</v>
      </c>
      <c r="H4" s="305"/>
      <c r="I4" s="305"/>
      <c r="J4" s="319" t="s">
        <v>600</v>
      </c>
    </row>
    <row r="5" spans="1:10" s="340" customFormat="1" ht="30" customHeight="1">
      <c r="A5" s="393"/>
      <c r="B5" s="321" t="s">
        <v>188</v>
      </c>
      <c r="C5" s="322" t="s">
        <v>189</v>
      </c>
      <c r="D5" s="322" t="s">
        <v>596</v>
      </c>
      <c r="E5" s="322" t="s">
        <v>597</v>
      </c>
      <c r="F5" s="323" t="s">
        <v>598</v>
      </c>
      <c r="G5" s="393"/>
      <c r="H5" s="326"/>
      <c r="I5" s="326"/>
      <c r="J5" s="396"/>
    </row>
    <row r="6" spans="1:10" s="340" customFormat="1" ht="45" customHeight="1">
      <c r="A6" s="394"/>
      <c r="B6" s="324" t="s">
        <v>164</v>
      </c>
      <c r="C6" s="327" t="s">
        <v>193</v>
      </c>
      <c r="D6" s="328" t="s">
        <v>615</v>
      </c>
      <c r="E6" s="328" t="s">
        <v>616</v>
      </c>
      <c r="F6" s="342"/>
      <c r="G6" s="394"/>
      <c r="H6" s="341"/>
      <c r="I6" s="341"/>
      <c r="J6" s="397"/>
    </row>
    <row r="7" spans="1:10" s="340" customFormat="1" ht="60" customHeight="1">
      <c r="A7" s="394"/>
      <c r="B7" s="324" t="s">
        <v>164</v>
      </c>
      <c r="C7" s="327" t="s">
        <v>194</v>
      </c>
      <c r="D7" s="328" t="s">
        <v>606</v>
      </c>
      <c r="E7" s="332" t="s">
        <v>622</v>
      </c>
      <c r="F7" s="342"/>
      <c r="G7" s="394"/>
      <c r="H7" s="341"/>
      <c r="I7" s="341"/>
      <c r="J7" s="397"/>
    </row>
    <row r="8" spans="1:10" s="340" customFormat="1" ht="30" customHeight="1">
      <c r="A8" s="394"/>
      <c r="B8" s="338">
        <v>1</v>
      </c>
      <c r="C8" s="330" t="s">
        <v>195</v>
      </c>
      <c r="D8" s="554" t="s">
        <v>617</v>
      </c>
      <c r="E8" s="339"/>
      <c r="F8" s="333" t="s">
        <v>619</v>
      </c>
      <c r="G8" s="394"/>
      <c r="H8" s="341"/>
      <c r="I8" s="341"/>
      <c r="J8" s="397"/>
    </row>
    <row r="9" spans="1:10" s="340" customFormat="1" ht="30" customHeight="1">
      <c r="A9" s="394"/>
      <c r="B9" s="337">
        <v>2</v>
      </c>
      <c r="C9" s="329" t="s">
        <v>196</v>
      </c>
      <c r="D9" s="331" t="s">
        <v>607</v>
      </c>
      <c r="E9" s="339"/>
      <c r="F9" s="333" t="s">
        <v>618</v>
      </c>
      <c r="G9" s="394"/>
      <c r="H9" s="341"/>
      <c r="I9" s="341"/>
      <c r="J9" s="397"/>
    </row>
    <row r="10" spans="1:10" s="352" customFormat="1" ht="45" customHeight="1">
      <c r="A10" s="394"/>
      <c r="B10" s="338">
        <v>3</v>
      </c>
      <c r="C10" s="330" t="s">
        <v>195</v>
      </c>
      <c r="D10" s="554" t="s">
        <v>620</v>
      </c>
      <c r="E10" s="339"/>
      <c r="F10" s="333" t="s">
        <v>621</v>
      </c>
      <c r="G10" s="394"/>
      <c r="H10" s="353"/>
      <c r="I10" s="353"/>
      <c r="J10" s="397"/>
    </row>
    <row r="11" spans="1:10" s="340" customFormat="1" ht="30" customHeight="1">
      <c r="A11" s="394"/>
      <c r="B11" s="337">
        <v>4</v>
      </c>
      <c r="C11" s="329" t="s">
        <v>196</v>
      </c>
      <c r="D11" s="331" t="s">
        <v>607</v>
      </c>
      <c r="E11" s="332" t="s">
        <v>623</v>
      </c>
      <c r="F11" s="333" t="s">
        <v>624</v>
      </c>
      <c r="G11" s="394"/>
      <c r="H11" s="341"/>
      <c r="I11" s="341"/>
      <c r="J11" s="397"/>
    </row>
    <row r="12" spans="1:10" s="340" customFormat="1" ht="15" customHeight="1">
      <c r="A12" s="394"/>
      <c r="B12" s="337">
        <v>5</v>
      </c>
      <c r="C12" s="329" t="s">
        <v>196</v>
      </c>
      <c r="D12" s="331" t="s">
        <v>625</v>
      </c>
      <c r="E12" s="339"/>
      <c r="F12" s="333" t="s">
        <v>626</v>
      </c>
      <c r="G12" s="394"/>
      <c r="H12" s="341"/>
      <c r="I12" s="341"/>
      <c r="J12" s="397"/>
    </row>
    <row r="13" spans="1:10" s="340" customFormat="1" ht="30" customHeight="1" thickBot="1">
      <c r="A13" s="395"/>
      <c r="B13" s="325" t="s">
        <v>199</v>
      </c>
      <c r="C13" s="334" t="s">
        <v>599</v>
      </c>
      <c r="D13" s="335" t="s">
        <v>628</v>
      </c>
      <c r="E13" s="335"/>
      <c r="F13" s="555" t="s">
        <v>627</v>
      </c>
      <c r="G13" s="395"/>
      <c r="H13" s="336"/>
      <c r="I13" s="336"/>
      <c r="J13" s="398"/>
    </row>
  </sheetData>
  <mergeCells count="11">
    <mergeCell ref="D1:J1"/>
    <mergeCell ref="D2:J2"/>
    <mergeCell ref="A1:C1"/>
    <mergeCell ref="A2:C2"/>
    <mergeCell ref="E3:F3"/>
    <mergeCell ref="C3:D3"/>
    <mergeCell ref="C4:D4"/>
    <mergeCell ref="E4:F4"/>
    <mergeCell ref="A5:A13"/>
    <mergeCell ref="G5:G13"/>
    <mergeCell ref="J5:J13"/>
  </mergeCells>
  <phoneticPr fontId="7" type="noConversion"/>
  <pageMargins left="0.27559055118110237" right="0.55118110236220474" top="0.43307086614173229" bottom="0.39370078740157483" header="0.23622047244094491" footer="0.23622047244094491"/>
  <pageSetup paperSize="9" scale="80" orientation="landscape" horizontalDpi="300" verticalDpi="300" r:id="rId1"/>
  <headerFooter alignWithMargins="0">
    <oddHeader>&amp;R&amp;D &amp;T</oddHeader>
    <oddFooter>&amp;L&amp;F&amp;C&amp;A&amp;RPagina &amp;P di &amp;N</oddFooter>
  </headerFooter>
  <drawing r:id="rId2"/>
  <legacyDrawing r:id="rId3"/>
  <controls>
    <mc:AlternateContent xmlns:mc="http://schemas.openxmlformats.org/markup-compatibility/2006">
      <mc:Choice Requires="x14">
        <control shapeId="260103" r:id="rId4" name="Btn_Duplicate">
          <controlPr defaultSize="0" print="0" autoLine="0" r:id="rId5">
            <anchor>
              <from>
                <xdr:col>4</xdr:col>
                <xdr:colOff>771525</xdr:colOff>
                <xdr:row>0</xdr:row>
                <xdr:rowOff>9525</xdr:rowOff>
              </from>
              <to>
                <xdr:col>4</xdr:col>
                <xdr:colOff>1895475</xdr:colOff>
                <xdr:row>0</xdr:row>
                <xdr:rowOff>371475</xdr:rowOff>
              </to>
            </anchor>
          </controlPr>
        </control>
      </mc:Choice>
      <mc:Fallback>
        <control shapeId="260103" r:id="rId4" name="Btn_Duplicate"/>
      </mc:Fallback>
    </mc:AlternateContent>
    <mc:AlternateContent xmlns:mc="http://schemas.openxmlformats.org/markup-compatibility/2006">
      <mc:Choice Requires="x14">
        <control shapeId="260102" r:id="rId6" name="Btn_Delete">
          <controlPr defaultSize="0" print="0" autoLine="0" r:id="rId7">
            <anchor>
              <from>
                <xdr:col>3</xdr:col>
                <xdr:colOff>2076450</xdr:colOff>
                <xdr:row>0</xdr:row>
                <xdr:rowOff>9525</xdr:rowOff>
              </from>
              <to>
                <xdr:col>4</xdr:col>
                <xdr:colOff>733425</xdr:colOff>
                <xdr:row>0</xdr:row>
                <xdr:rowOff>381000</xdr:rowOff>
              </to>
            </anchor>
          </controlPr>
        </control>
      </mc:Choice>
      <mc:Fallback>
        <control shapeId="260102" r:id="rId6" name="Btn_Delete"/>
      </mc:Fallback>
    </mc:AlternateContent>
    <mc:AlternateContent xmlns:mc="http://schemas.openxmlformats.org/markup-compatibility/2006">
      <mc:Choice Requires="x14">
        <control shapeId="260100" r:id="rId8" name="Btn_InsLayout">
          <controlPr defaultSize="0" print="0" autoLine="0" r:id="rId9">
            <anchor>
              <from>
                <xdr:col>3</xdr:col>
                <xdr:colOff>381000</xdr:colOff>
                <xdr:row>0</xdr:row>
                <xdr:rowOff>9525</xdr:rowOff>
              </from>
              <to>
                <xdr:col>3</xdr:col>
                <xdr:colOff>2057400</xdr:colOff>
                <xdr:row>0</xdr:row>
                <xdr:rowOff>361950</xdr:rowOff>
              </to>
            </anchor>
          </controlPr>
        </control>
      </mc:Choice>
      <mc:Fallback>
        <control shapeId="260100" r:id="rId8" name="Btn_InsLayout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zoomScale="85" zoomScaleNormal="85" workbookViewId="0">
      <selection activeCell="C9" sqref="C9"/>
    </sheetView>
  </sheetViews>
  <sheetFormatPr defaultRowHeight="12.75"/>
  <cols>
    <col min="1" max="1" width="4" style="267" bestFit="1" customWidth="1"/>
    <col min="2" max="2" width="26.7109375" style="267" bestFit="1" customWidth="1"/>
    <col min="3" max="3" width="22.7109375" style="267" bestFit="1" customWidth="1"/>
    <col min="4" max="4" width="32.5703125" style="267" customWidth="1"/>
    <col min="5" max="5" width="57.28515625" style="267" customWidth="1"/>
    <col min="6" max="6" width="15.5703125" style="268" customWidth="1"/>
    <col min="7" max="7" width="16.7109375" style="267" customWidth="1"/>
    <col min="8" max="16384" width="9.140625" style="267"/>
  </cols>
  <sheetData>
    <row r="1" spans="1:11" s="88" customFormat="1" ht="21" thickBot="1">
      <c r="A1" s="405" t="s">
        <v>212</v>
      </c>
      <c r="B1" s="410"/>
      <c r="C1" s="410"/>
      <c r="D1" s="411"/>
      <c r="E1" s="412" t="str">
        <f xml:space="preserve"> Copertina!B7</f>
        <v>Intervento</v>
      </c>
      <c r="F1" s="413"/>
      <c r="G1" s="414"/>
      <c r="H1" s="264"/>
      <c r="I1" s="265"/>
      <c r="J1" s="284"/>
      <c r="K1" s="285"/>
    </row>
    <row r="2" spans="1:11" s="88" customFormat="1" ht="20.25">
      <c r="A2" s="415" t="s">
        <v>74</v>
      </c>
      <c r="B2" s="416"/>
      <c r="C2" s="416"/>
      <c r="D2" s="417"/>
      <c r="E2" s="418" t="e">
        <f xml:space="preserve"> Copertina!#REF!</f>
        <v>#REF!</v>
      </c>
      <c r="F2" s="419"/>
      <c r="G2" s="420"/>
      <c r="H2" s="266"/>
      <c r="I2" s="266"/>
      <c r="J2" s="266"/>
    </row>
    <row r="3" spans="1:11" ht="32.25" thickBot="1">
      <c r="A3" s="287" t="s">
        <v>168</v>
      </c>
      <c r="B3" s="288" t="s">
        <v>577</v>
      </c>
      <c r="C3" s="288" t="s">
        <v>578</v>
      </c>
      <c r="D3" s="288" t="s">
        <v>579</v>
      </c>
      <c r="E3" s="288" t="s">
        <v>580</v>
      </c>
      <c r="F3" s="288" t="s">
        <v>581</v>
      </c>
      <c r="G3" s="289" t="s">
        <v>582</v>
      </c>
      <c r="H3" s="286"/>
    </row>
    <row r="4" spans="1:11">
      <c r="A4" s="281"/>
      <c r="B4" s="282"/>
      <c r="C4" s="282"/>
      <c r="D4" s="282"/>
      <c r="E4" s="282"/>
      <c r="F4" s="283"/>
      <c r="G4" s="282"/>
    </row>
    <row r="5" spans="1:11">
      <c r="A5" s="281"/>
      <c r="B5" s="282"/>
      <c r="C5" s="282"/>
      <c r="D5" s="282"/>
      <c r="E5" s="282"/>
      <c r="F5" s="283"/>
      <c r="G5" s="282"/>
    </row>
    <row r="6" spans="1:11">
      <c r="A6" s="281"/>
      <c r="B6" s="282"/>
      <c r="C6" s="282"/>
      <c r="D6" s="282"/>
      <c r="E6" s="282"/>
      <c r="F6" s="283"/>
      <c r="G6" s="282"/>
    </row>
    <row r="7" spans="1:11">
      <c r="A7" s="281"/>
      <c r="B7" s="282"/>
      <c r="C7" s="282"/>
      <c r="D7" s="282"/>
      <c r="E7" s="282"/>
      <c r="F7" s="283"/>
      <c r="G7" s="282"/>
    </row>
    <row r="8" spans="1:11">
      <c r="A8" s="281"/>
      <c r="B8" s="282"/>
      <c r="C8" s="282"/>
      <c r="D8" s="282"/>
      <c r="E8" s="282"/>
      <c r="F8" s="283"/>
      <c r="G8" s="282"/>
    </row>
    <row r="9" spans="1:11">
      <c r="A9" s="281"/>
      <c r="B9" s="282"/>
      <c r="C9" s="282"/>
      <c r="D9" s="282"/>
      <c r="E9" s="282"/>
      <c r="F9" s="283"/>
      <c r="G9" s="282"/>
    </row>
    <row r="10" spans="1:11">
      <c r="A10" s="281"/>
      <c r="B10" s="282"/>
      <c r="C10" s="282"/>
      <c r="D10" s="282"/>
      <c r="E10" s="282"/>
      <c r="F10" s="283"/>
      <c r="G10" s="282"/>
    </row>
    <row r="11" spans="1:11">
      <c r="A11" s="281"/>
      <c r="B11" s="282"/>
      <c r="C11" s="282"/>
      <c r="D11" s="282"/>
      <c r="E11" s="282"/>
      <c r="F11" s="283"/>
      <c r="G11" s="282"/>
    </row>
  </sheetData>
  <mergeCells count="4">
    <mergeCell ref="A1:D1"/>
    <mergeCell ref="E1:G1"/>
    <mergeCell ref="A2:D2"/>
    <mergeCell ref="E2:G2"/>
  </mergeCells>
  <phoneticPr fontId="54" type="noConversion"/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>
      <selection activeCell="D2" sqref="D2:J2"/>
    </sheetView>
  </sheetViews>
  <sheetFormatPr defaultRowHeight="12.75"/>
  <cols>
    <col min="1" max="1" width="24.140625" customWidth="1"/>
    <col min="2" max="2" width="29.85546875" customWidth="1"/>
    <col min="3" max="3" width="28.140625" customWidth="1"/>
    <col min="4" max="4" width="27" customWidth="1"/>
    <col min="5" max="5" width="30.5703125" customWidth="1"/>
    <col min="6" max="6" width="1.7109375" customWidth="1"/>
  </cols>
  <sheetData>
    <row r="1" spans="1:9" ht="16.5" customHeight="1" thickBot="1">
      <c r="A1" s="405" t="s">
        <v>212</v>
      </c>
      <c r="B1" s="410"/>
      <c r="C1" s="410"/>
      <c r="D1" s="421" t="str">
        <f>VerificheConformità!E1</f>
        <v>Intervento</v>
      </c>
      <c r="E1" s="422"/>
    </row>
    <row r="2" spans="1:9" ht="21" customHeight="1" thickBot="1">
      <c r="A2" s="405" t="s">
        <v>74</v>
      </c>
      <c r="B2" s="410"/>
      <c r="C2" s="410"/>
      <c r="D2" s="421" t="e">
        <f>VerificheConformità!E2</f>
        <v>#REF!</v>
      </c>
      <c r="E2" s="422"/>
    </row>
    <row r="3" spans="1:9" s="88" customFormat="1" ht="27" customHeight="1" thickBot="1">
      <c r="A3" s="431" t="s">
        <v>583</v>
      </c>
      <c r="B3" s="432"/>
      <c r="C3" s="432"/>
      <c r="D3" s="433"/>
      <c r="E3" s="434"/>
      <c r="G3" s="435" t="s">
        <v>584</v>
      </c>
      <c r="H3" s="436"/>
      <c r="I3" s="437"/>
    </row>
    <row r="4" spans="1:9" ht="23.25" customHeight="1" thickBot="1">
      <c r="A4" s="444" t="s">
        <v>585</v>
      </c>
      <c r="B4" s="445" t="s">
        <v>586</v>
      </c>
      <c r="C4" s="446"/>
      <c r="D4" s="446"/>
      <c r="E4" s="447"/>
      <c r="G4" s="438"/>
      <c r="H4" s="439"/>
      <c r="I4" s="440"/>
    </row>
    <row r="5" spans="1:9" ht="26.25" customHeight="1" thickBot="1">
      <c r="A5" s="427"/>
      <c r="B5" s="269">
        <v>1</v>
      </c>
      <c r="C5" s="269">
        <v>2</v>
      </c>
      <c r="D5" s="269">
        <v>3</v>
      </c>
      <c r="E5" s="270">
        <v>4</v>
      </c>
      <c r="G5" s="438"/>
      <c r="H5" s="439"/>
      <c r="I5" s="440"/>
    </row>
    <row r="6" spans="1:9" ht="15.75" thickBot="1">
      <c r="A6" s="271" t="s">
        <v>152</v>
      </c>
      <c r="B6" s="272">
        <f>COUNTIFS(TabellaTest!M4:M277,1,TabellaTest!T4:T277,"A",TabellaTest!U4:U277,"KO")</f>
        <v>0</v>
      </c>
      <c r="C6" s="272">
        <f>COUNTIFS(TabellaTest!M4:M277,2,TabellaTest!T4:T277,"A",TabellaTest!U4:U277,"KO")</f>
        <v>0</v>
      </c>
      <c r="D6" s="272">
        <f>COUNTIFS(TabellaTest!M4:M277,3,TabellaTest!T4:T277,"A",TabellaTest!U4:U277,"KO")</f>
        <v>0</v>
      </c>
      <c r="E6" s="272">
        <f>COUNTIFS(TabellaTest!M4:M277,4,TabellaTest!T4:T277,"A",TabellaTest!U4:U277,"KO")</f>
        <v>0</v>
      </c>
      <c r="G6" s="438"/>
      <c r="H6" s="439"/>
      <c r="I6" s="440"/>
    </row>
    <row r="7" spans="1:9" ht="15.75" thickBot="1">
      <c r="A7" s="273" t="s">
        <v>153</v>
      </c>
      <c r="B7" s="272">
        <f>COUNTIFS(TabellaTest!M4:M277,1,TabellaTest!T4:T277,"B",TabellaTest!U4:U277,"KO")</f>
        <v>0</v>
      </c>
      <c r="C7" s="272">
        <f>COUNTIFS(TabellaTest!M4:M277,2,TabellaTest!T4:T277,"B",TabellaTest!U4:U277,"KO")</f>
        <v>0</v>
      </c>
      <c r="D7" s="272">
        <f>COUNTIFS(TabellaTest!M4:M277,3,TabellaTest!T4:T277,"B",TabellaTest!U4:U277,"KO")</f>
        <v>0</v>
      </c>
      <c r="E7" s="272">
        <f>COUNTIFS(TabellaTest!M4:M277,4,TabellaTest!T4:T277,"B",TabellaTest!U4:U277,"KO")</f>
        <v>0</v>
      </c>
      <c r="G7" s="438"/>
      <c r="H7" s="439"/>
      <c r="I7" s="440"/>
    </row>
    <row r="8" spans="1:9" ht="15.75" thickBot="1">
      <c r="A8" s="274" t="s">
        <v>154</v>
      </c>
      <c r="B8" s="272">
        <f>COUNTIFS(TabellaTest!M4:M277,1,TabellaTest!T4:T277,"C",TabellaTest!U4:U277,"KO")</f>
        <v>0</v>
      </c>
      <c r="C8" s="272">
        <f>COUNTIFS(TabellaTest!M4:M277,2,TabellaTest!T4:T277,"C",TabellaTest!U4:U277,"KO")</f>
        <v>0</v>
      </c>
      <c r="D8" s="272">
        <f>COUNTIFS(TabellaTest!M4:M277,3,TabellaTest!T4:T277,"C",TabellaTest!U4:U277,"KO")</f>
        <v>0</v>
      </c>
      <c r="E8" s="272">
        <f>COUNTIFS(TabellaTest!M4:M277,4,TabellaTest!T4:T277,"C",TabellaTest!U4:U277,"KO")</f>
        <v>0</v>
      </c>
      <c r="G8" s="441"/>
      <c r="H8" s="442"/>
      <c r="I8" s="443"/>
    </row>
    <row r="9" spans="1:9">
      <c r="G9" s="267"/>
      <c r="H9" s="267"/>
      <c r="I9" s="267"/>
    </row>
    <row r="12" spans="1:9" ht="10.5" customHeight="1" thickBot="1"/>
    <row r="13" spans="1:9" ht="13.5" hidden="1" thickBot="1"/>
    <row r="14" spans="1:9" s="88" customFormat="1" ht="28.5" customHeight="1">
      <c r="A14" s="423" t="s">
        <v>587</v>
      </c>
      <c r="B14" s="424"/>
      <c r="C14" s="424"/>
      <c r="D14" s="424"/>
      <c r="E14" s="425"/>
    </row>
    <row r="15" spans="1:9" ht="15.75" thickBot="1">
      <c r="A15" s="426" t="s">
        <v>585</v>
      </c>
      <c r="B15" s="428" t="s">
        <v>586</v>
      </c>
      <c r="C15" s="429"/>
      <c r="D15" s="429"/>
      <c r="E15" s="430"/>
    </row>
    <row r="16" spans="1:9" ht="15" thickBot="1">
      <c r="A16" s="427"/>
      <c r="B16" s="275">
        <v>1</v>
      </c>
      <c r="C16" s="275">
        <v>2</v>
      </c>
      <c r="D16" s="275">
        <v>3</v>
      </c>
      <c r="E16" s="276">
        <v>4</v>
      </c>
    </row>
    <row r="17" spans="1:5" ht="15" thickBot="1">
      <c r="A17" s="277" t="s">
        <v>152</v>
      </c>
      <c r="B17" s="280">
        <f>COUNTIFS(TabellaTest!M4:M277,1,TabellaTest!T4:T277,"A")</f>
        <v>0</v>
      </c>
      <c r="C17" s="280">
        <f>COUNTIFS(TabellaTest!M4:M277,2,TabellaTest!T4:T277,"A")</f>
        <v>0</v>
      </c>
      <c r="D17" s="280">
        <f>COUNTIFS(TabellaTest!M4:M277,3,TabellaTest!T4:T277,"A")</f>
        <v>0</v>
      </c>
      <c r="E17" s="280">
        <f>COUNTIFS(TabellaTest!M4:M277,4,TabellaTest!T4:T277,"A")</f>
        <v>0</v>
      </c>
    </row>
    <row r="18" spans="1:5" ht="15" thickBot="1">
      <c r="A18" s="278" t="s">
        <v>153</v>
      </c>
      <c r="B18" s="280">
        <f>COUNTIFS(TabellaTest!M4:M277,1,TabellaTest!T4:T277,"B")</f>
        <v>0</v>
      </c>
      <c r="C18" s="280">
        <f>COUNTIFS(TabellaTest!M4:M277,2,TabellaTest!T4:T277,"B")</f>
        <v>0</v>
      </c>
      <c r="D18" s="280">
        <f>COUNTIFS(TabellaTest!M4:M277,3,TabellaTest!T4:T277,"B")</f>
        <v>0</v>
      </c>
      <c r="E18" s="280">
        <f>COUNTIFS(TabellaTest!M4:M277,4,TabellaTest!T4:T277,"B")</f>
        <v>0</v>
      </c>
    </row>
    <row r="19" spans="1:5" ht="15" thickBot="1">
      <c r="A19" s="279" t="s">
        <v>154</v>
      </c>
      <c r="B19" s="280">
        <f>COUNTIFS(TabellaTest!M4:M277,1,TabellaTest!T4:T277,"C")</f>
        <v>0</v>
      </c>
      <c r="C19" s="280">
        <f>COUNTIFS(TabellaTest!M4:M277,2,TabellaTest!T4:T277,"C")</f>
        <v>0</v>
      </c>
      <c r="D19" s="280">
        <f>COUNTIFS(TabellaTest!M4:M277,3,TabellaTest!T4:T277,"C")</f>
        <v>0</v>
      </c>
      <c r="E19" s="280">
        <f>COUNTIFS(TabellaTest!M4:M277,4,TabellaTest!T4:T277,"C")</f>
        <v>0</v>
      </c>
    </row>
  </sheetData>
  <sheetProtection password="A7EC" sheet="1" objects="1" scenarios="1" selectLockedCells="1" selectUnlockedCells="1"/>
  <mergeCells count="11">
    <mergeCell ref="A15:A16"/>
    <mergeCell ref="B15:E15"/>
    <mergeCell ref="A3:E3"/>
    <mergeCell ref="G3:I8"/>
    <mergeCell ref="A4:A5"/>
    <mergeCell ref="B4:E4"/>
    <mergeCell ref="A1:C1"/>
    <mergeCell ref="D1:E1"/>
    <mergeCell ref="A2:C2"/>
    <mergeCell ref="D2:E2"/>
    <mergeCell ref="A14:E14"/>
  </mergeCells>
  <phoneticPr fontId="54" type="noConversion"/>
  <conditionalFormatting sqref="B6:B8">
    <cfRule type="expression" dxfId="3" priority="9" stopIfTrue="1">
      <formula>$E$6&gt;$E$17</formula>
    </cfRule>
    <cfRule type="expression" dxfId="2" priority="10" stopIfTrue="1">
      <formula>$D$6&gt;$D$17</formula>
    </cfRule>
    <cfRule type="expression" dxfId="1" priority="11" stopIfTrue="1">
      <formula>$C$6&gt;$C$17</formula>
    </cfRule>
    <cfRule type="expression" dxfId="0" priority="12" stopIfTrue="1">
      <formula>$B$6&gt;($B$17)</formula>
    </cfRule>
  </conditionalFormatting>
  <pageMargins left="0.27559055118110237" right="0.55118110236220474" top="0.43307086614173229" bottom="0.39370078740157483" header="0.23622047244094491" footer="0.23622047244094491"/>
  <pageSetup paperSize="9" scale="80" orientation="landscape" r:id="rId1"/>
  <headerFooter alignWithMargins="0">
    <oddHeader>&amp;R&amp;D &amp;T</oddHeader>
    <oddFooter>&amp;L&amp;F&amp;C&amp;A&amp;RPagina &amp;P di &amp;N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H4"/>
  <sheetViews>
    <sheetView workbookViewId="0">
      <selection activeCell="B15" sqref="B15"/>
    </sheetView>
  </sheetViews>
  <sheetFormatPr defaultRowHeight="12.75"/>
  <cols>
    <col min="1" max="1" width="16" style="247" bestFit="1" customWidth="1"/>
    <col min="2" max="2" width="56.28515625" style="247" customWidth="1"/>
    <col min="3" max="3" width="20.5703125" style="247" customWidth="1"/>
    <col min="4" max="4" width="16" style="249" customWidth="1"/>
    <col min="5" max="5" width="20.5703125" style="247" customWidth="1"/>
    <col min="6" max="6" width="34.5703125" style="247" bestFit="1" customWidth="1"/>
    <col min="7" max="7" width="22.7109375" style="249" customWidth="1"/>
    <col min="8" max="8" width="9.140625" style="247" hidden="1" customWidth="1"/>
    <col min="9" max="16384" width="9.140625" style="247"/>
  </cols>
  <sheetData>
    <row r="1" spans="1:8" ht="36.75" customHeight="1" thickBot="1"/>
    <row r="2" spans="1:8">
      <c r="A2" s="448" t="s">
        <v>212</v>
      </c>
      <c r="B2" s="449"/>
      <c r="C2" s="450"/>
      <c r="D2" s="450"/>
      <c r="E2" s="450"/>
      <c r="F2" s="450"/>
      <c r="G2" s="450"/>
      <c r="H2" s="451"/>
    </row>
    <row r="3" spans="1:8" ht="13.5" thickBot="1">
      <c r="A3" s="452" t="s">
        <v>74</v>
      </c>
      <c r="B3" s="453"/>
      <c r="C3" s="454"/>
      <c r="D3" s="454"/>
      <c r="E3" s="454"/>
      <c r="F3" s="454"/>
      <c r="G3" s="455"/>
      <c r="H3" s="455"/>
    </row>
    <row r="4" spans="1:8" ht="28.5" customHeight="1" thickBot="1">
      <c r="A4" s="251" t="s">
        <v>184</v>
      </c>
      <c r="B4" s="252" t="s">
        <v>529</v>
      </c>
      <c r="C4" s="252" t="s">
        <v>185</v>
      </c>
      <c r="D4" s="252" t="s">
        <v>530</v>
      </c>
      <c r="E4" s="253" t="s">
        <v>527</v>
      </c>
      <c r="F4" s="253" t="s">
        <v>528</v>
      </c>
      <c r="G4" s="253" t="s">
        <v>531</v>
      </c>
      <c r="H4" s="248" t="s">
        <v>208</v>
      </c>
    </row>
  </sheetData>
  <mergeCells count="4">
    <mergeCell ref="A2:B2"/>
    <mergeCell ref="C2:H2"/>
    <mergeCell ref="A3:B3"/>
    <mergeCell ref="C3:H3"/>
  </mergeCells>
  <phoneticPr fontId="7" type="noConversion"/>
  <pageMargins left="0.75" right="0.75" top="1" bottom="1" header="0.5" footer="0.5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2">
    <pageSetUpPr fitToPage="1"/>
  </sheetPr>
  <dimension ref="A1:I47"/>
  <sheetViews>
    <sheetView zoomScale="85" zoomScaleNormal="85" workbookViewId="0">
      <pane ySplit="3" topLeftCell="A10" activePane="bottomLeft" state="frozen"/>
      <selection pane="bottomLeft" activeCell="B11" sqref="B11:C11"/>
    </sheetView>
  </sheetViews>
  <sheetFormatPr defaultRowHeight="12.75"/>
  <cols>
    <col min="1" max="1" width="11.5703125" customWidth="1"/>
    <col min="3" max="3" width="19.28515625" customWidth="1"/>
    <col min="4" max="5" width="36.42578125" customWidth="1"/>
    <col min="6" max="6" width="31.42578125" customWidth="1"/>
    <col min="8" max="8" width="7.28515625" customWidth="1"/>
    <col min="9" max="9" width="7.5703125" customWidth="1"/>
  </cols>
  <sheetData>
    <row r="1" spans="1:9" ht="54.75" customHeight="1">
      <c r="A1" s="466" t="s">
        <v>212</v>
      </c>
      <c r="B1" s="467"/>
      <c r="C1" s="468"/>
      <c r="D1" s="462" t="s">
        <v>334</v>
      </c>
      <c r="E1" s="463"/>
      <c r="F1" s="463"/>
      <c r="G1" s="463"/>
      <c r="H1" s="464"/>
      <c r="I1" s="465"/>
    </row>
    <row r="2" spans="1:9" ht="22.5" customHeight="1" thickBot="1">
      <c r="A2" s="469" t="s">
        <v>74</v>
      </c>
      <c r="B2" s="470"/>
      <c r="C2" s="471"/>
      <c r="D2" s="475" t="s">
        <v>336</v>
      </c>
      <c r="E2" s="476"/>
      <c r="F2" s="477"/>
      <c r="G2" s="477"/>
      <c r="H2" s="477"/>
      <c r="I2" s="478"/>
    </row>
    <row r="3" spans="1:9" ht="52.5" customHeight="1">
      <c r="A3" s="72" t="s">
        <v>184</v>
      </c>
      <c r="B3" s="36" t="s">
        <v>62</v>
      </c>
      <c r="C3" s="472" t="s">
        <v>61</v>
      </c>
      <c r="D3" s="473"/>
      <c r="E3" s="472" t="s">
        <v>185</v>
      </c>
      <c r="F3" s="474"/>
      <c r="G3" s="144" t="s">
        <v>174</v>
      </c>
      <c r="H3" s="185" t="s">
        <v>213</v>
      </c>
      <c r="I3" s="186" t="s">
        <v>64</v>
      </c>
    </row>
    <row r="4" spans="1:9" ht="57" customHeight="1" thickBot="1">
      <c r="A4" s="187" t="s">
        <v>361</v>
      </c>
      <c r="B4" s="188" t="s">
        <v>75</v>
      </c>
      <c r="C4" s="479" t="s">
        <v>497</v>
      </c>
      <c r="D4" s="480"/>
      <c r="E4" s="461" t="s">
        <v>498</v>
      </c>
      <c r="F4" s="460"/>
      <c r="G4" s="189"/>
      <c r="H4" s="131"/>
      <c r="I4" s="190"/>
    </row>
    <row r="5" spans="1:9" ht="15">
      <c r="A5" s="75"/>
      <c r="B5" s="76" t="s">
        <v>188</v>
      </c>
      <c r="C5" s="77" t="s">
        <v>499</v>
      </c>
      <c r="D5" s="77" t="s">
        <v>500</v>
      </c>
      <c r="E5" s="77" t="s">
        <v>501</v>
      </c>
      <c r="F5" s="78" t="s">
        <v>502</v>
      </c>
      <c r="G5" s="65"/>
      <c r="H5" s="66"/>
      <c r="I5" s="67"/>
    </row>
    <row r="6" spans="1:9" ht="42.75" customHeight="1">
      <c r="A6" s="73"/>
      <c r="B6" s="42" t="s">
        <v>164</v>
      </c>
      <c r="C6" s="43" t="s">
        <v>503</v>
      </c>
      <c r="D6" s="191" t="s">
        <v>26</v>
      </c>
      <c r="E6" s="191" t="s">
        <v>27</v>
      </c>
      <c r="F6" s="192" t="s">
        <v>28</v>
      </c>
      <c r="G6" s="68"/>
      <c r="H6" s="38"/>
      <c r="I6" s="69"/>
    </row>
    <row r="7" spans="1:9" ht="42.75" customHeight="1">
      <c r="A7" s="73"/>
      <c r="B7" s="46" t="s">
        <v>164</v>
      </c>
      <c r="C7" s="47" t="s">
        <v>194</v>
      </c>
      <c r="D7" s="191" t="s">
        <v>29</v>
      </c>
      <c r="E7" s="191" t="s">
        <v>30</v>
      </c>
      <c r="F7" s="192" t="s">
        <v>31</v>
      </c>
      <c r="G7" s="68"/>
      <c r="H7" s="38"/>
      <c r="I7" s="69"/>
    </row>
    <row r="8" spans="1:9" ht="42.75" customHeight="1">
      <c r="A8" s="73"/>
      <c r="B8" s="50">
        <v>1</v>
      </c>
      <c r="C8" s="51" t="s">
        <v>195</v>
      </c>
      <c r="D8" s="191" t="s">
        <v>32</v>
      </c>
      <c r="E8" s="191" t="s">
        <v>33</v>
      </c>
      <c r="F8" s="192" t="s">
        <v>34</v>
      </c>
      <c r="G8" s="68"/>
      <c r="H8" s="38"/>
      <c r="I8" s="69"/>
    </row>
    <row r="9" spans="1:9" ht="42.75" customHeight="1">
      <c r="A9" s="73"/>
      <c r="B9" s="109">
        <v>2</v>
      </c>
      <c r="C9" s="110" t="s">
        <v>196</v>
      </c>
      <c r="D9" s="191" t="s">
        <v>35</v>
      </c>
      <c r="E9" s="191" t="s">
        <v>36</v>
      </c>
      <c r="F9" s="192" t="s">
        <v>37</v>
      </c>
      <c r="G9" s="68"/>
      <c r="H9" s="38"/>
      <c r="I9" s="69"/>
    </row>
    <row r="10" spans="1:9" ht="42.75" customHeight="1">
      <c r="A10" s="73"/>
      <c r="B10" s="50">
        <v>3</v>
      </c>
      <c r="C10" s="56" t="s">
        <v>195</v>
      </c>
      <c r="D10" s="191" t="s">
        <v>32</v>
      </c>
      <c r="E10" s="191" t="s">
        <v>33</v>
      </c>
      <c r="F10" s="192" t="s">
        <v>34</v>
      </c>
      <c r="G10" s="68"/>
      <c r="H10" s="38"/>
      <c r="I10" s="69"/>
    </row>
    <row r="11" spans="1:9" ht="42.75" customHeight="1">
      <c r="A11" s="73"/>
      <c r="B11" s="57" t="s">
        <v>197</v>
      </c>
      <c r="C11" s="58" t="s">
        <v>396</v>
      </c>
      <c r="D11" s="191" t="s">
        <v>38</v>
      </c>
      <c r="E11" s="191" t="s">
        <v>39</v>
      </c>
      <c r="F11" s="192" t="s">
        <v>37</v>
      </c>
      <c r="G11" s="68"/>
      <c r="H11" s="38"/>
      <c r="I11" s="69"/>
    </row>
    <row r="12" spans="1:9" ht="42.75" customHeight="1" thickBot="1">
      <c r="A12" s="74"/>
      <c r="B12" s="59" t="s">
        <v>199</v>
      </c>
      <c r="C12" s="60" t="s">
        <v>200</v>
      </c>
      <c r="D12" s="193" t="s">
        <v>40</v>
      </c>
      <c r="E12" s="193" t="s">
        <v>33</v>
      </c>
      <c r="F12" s="193" t="s">
        <v>41</v>
      </c>
      <c r="G12" s="62"/>
      <c r="H12" s="70"/>
      <c r="I12" s="71"/>
    </row>
    <row r="13" spans="1:9" ht="70.5" customHeight="1" thickBot="1">
      <c r="A13" s="187" t="s">
        <v>543</v>
      </c>
      <c r="B13" s="188" t="s">
        <v>75</v>
      </c>
      <c r="C13" s="456" t="s">
        <v>344</v>
      </c>
      <c r="D13" s="457"/>
      <c r="E13" s="456" t="s">
        <v>345</v>
      </c>
      <c r="F13" s="457"/>
      <c r="G13" s="194" t="s">
        <v>337</v>
      </c>
      <c r="H13" s="195">
        <v>45</v>
      </c>
      <c r="I13" s="196">
        <v>8</v>
      </c>
    </row>
    <row r="14" spans="1:9" ht="29.25" customHeight="1">
      <c r="A14" s="75"/>
      <c r="B14" s="76" t="s">
        <v>188</v>
      </c>
      <c r="C14" s="77" t="s">
        <v>504</v>
      </c>
      <c r="D14" s="77" t="s">
        <v>500</v>
      </c>
      <c r="E14" s="77" t="s">
        <v>501</v>
      </c>
      <c r="F14" s="78" t="s">
        <v>502</v>
      </c>
      <c r="G14" s="65"/>
      <c r="H14" s="66"/>
      <c r="I14" s="67"/>
    </row>
    <row r="15" spans="1:9" ht="36" customHeight="1">
      <c r="A15" s="73"/>
      <c r="B15" s="42" t="s">
        <v>164</v>
      </c>
      <c r="C15" s="43" t="s">
        <v>503</v>
      </c>
      <c r="D15" s="44" t="s">
        <v>505</v>
      </c>
      <c r="E15" s="44" t="s">
        <v>506</v>
      </c>
      <c r="F15" s="45"/>
      <c r="G15" s="68"/>
      <c r="H15" s="38"/>
      <c r="I15" s="69"/>
    </row>
    <row r="16" spans="1:9" ht="41.25" customHeight="1">
      <c r="A16" s="73"/>
      <c r="B16" s="42" t="s">
        <v>164</v>
      </c>
      <c r="C16" s="43" t="s">
        <v>194</v>
      </c>
      <c r="D16" s="44" t="s">
        <v>507</v>
      </c>
      <c r="E16" s="48" t="s">
        <v>508</v>
      </c>
      <c r="F16" s="48" t="s">
        <v>509</v>
      </c>
      <c r="G16" s="68"/>
      <c r="H16" s="38"/>
      <c r="I16" s="69"/>
    </row>
    <row r="17" spans="1:9" ht="36" customHeight="1">
      <c r="A17" s="73"/>
      <c r="B17" s="197">
        <v>1</v>
      </c>
      <c r="C17" s="198" t="s">
        <v>195</v>
      </c>
      <c r="D17" s="44" t="s">
        <v>510</v>
      </c>
      <c r="E17" s="44"/>
      <c r="F17" s="45" t="s">
        <v>511</v>
      </c>
      <c r="G17" s="68"/>
      <c r="H17" s="38"/>
      <c r="I17" s="69"/>
    </row>
    <row r="18" spans="1:9" ht="109.5" customHeight="1">
      <c r="A18" s="73"/>
      <c r="B18" s="199">
        <v>2</v>
      </c>
      <c r="C18" s="200" t="s">
        <v>196</v>
      </c>
      <c r="D18" s="44" t="s">
        <v>512</v>
      </c>
      <c r="E18" s="44" t="s">
        <v>513</v>
      </c>
      <c r="F18" s="45" t="s">
        <v>309</v>
      </c>
      <c r="G18" s="68"/>
      <c r="H18" s="38"/>
      <c r="I18" s="69"/>
    </row>
    <row r="19" spans="1:9" ht="42" customHeight="1">
      <c r="A19" s="73"/>
      <c r="B19" s="197">
        <v>3</v>
      </c>
      <c r="C19" s="198" t="s">
        <v>195</v>
      </c>
      <c r="D19" s="44" t="s">
        <v>310</v>
      </c>
      <c r="E19" s="44"/>
      <c r="F19" s="45" t="s">
        <v>311</v>
      </c>
      <c r="G19" s="68"/>
      <c r="H19" s="38"/>
      <c r="I19" s="69"/>
    </row>
    <row r="20" spans="1:9" ht="105.75" customHeight="1">
      <c r="A20" s="73"/>
      <c r="B20" s="57" t="s">
        <v>197</v>
      </c>
      <c r="C20" s="58" t="s">
        <v>312</v>
      </c>
      <c r="D20" s="44" t="s">
        <v>313</v>
      </c>
      <c r="E20" s="44" t="s">
        <v>314</v>
      </c>
      <c r="F20" s="45" t="s">
        <v>315</v>
      </c>
      <c r="G20" s="68"/>
      <c r="H20" s="38"/>
      <c r="I20" s="69"/>
    </row>
    <row r="21" spans="1:9" ht="102" customHeight="1">
      <c r="A21" s="73"/>
      <c r="B21" s="57" t="s">
        <v>316</v>
      </c>
      <c r="C21" s="58" t="s">
        <v>312</v>
      </c>
      <c r="D21" s="44" t="s">
        <v>313</v>
      </c>
      <c r="E21" s="44" t="s">
        <v>317</v>
      </c>
      <c r="F21" s="45" t="s">
        <v>318</v>
      </c>
      <c r="G21" s="68"/>
      <c r="H21" s="38"/>
      <c r="I21" s="69"/>
    </row>
    <row r="22" spans="1:9" ht="102" customHeight="1">
      <c r="A22" s="73"/>
      <c r="B22" s="57" t="s">
        <v>319</v>
      </c>
      <c r="C22" s="58" t="s">
        <v>312</v>
      </c>
      <c r="D22" s="44" t="s">
        <v>320</v>
      </c>
      <c r="E22" s="44" t="s">
        <v>321</v>
      </c>
      <c r="F22" s="45" t="s">
        <v>322</v>
      </c>
      <c r="G22" s="68"/>
      <c r="H22" s="38"/>
      <c r="I22" s="69"/>
    </row>
    <row r="23" spans="1:9" ht="107.25" customHeight="1">
      <c r="A23" s="73"/>
      <c r="B23" s="57" t="s">
        <v>323</v>
      </c>
      <c r="C23" s="58" t="s">
        <v>312</v>
      </c>
      <c r="D23" s="44" t="s">
        <v>324</v>
      </c>
      <c r="E23" s="44" t="s">
        <v>325</v>
      </c>
      <c r="F23" s="45" t="s">
        <v>383</v>
      </c>
      <c r="G23" s="68"/>
      <c r="H23" s="38"/>
      <c r="I23" s="69"/>
    </row>
    <row r="24" spans="1:9" ht="102" customHeight="1">
      <c r="A24" s="73"/>
      <c r="B24" s="57" t="s">
        <v>384</v>
      </c>
      <c r="C24" s="58" t="s">
        <v>312</v>
      </c>
      <c r="D24" s="44" t="s">
        <v>313</v>
      </c>
      <c r="E24" s="44" t="s">
        <v>385</v>
      </c>
      <c r="F24" s="45" t="s">
        <v>386</v>
      </c>
      <c r="G24" s="68"/>
      <c r="H24" s="38"/>
      <c r="I24" s="69"/>
    </row>
    <row r="25" spans="1:9" ht="102" customHeight="1">
      <c r="A25" s="73"/>
      <c r="B25" s="57" t="s">
        <v>387</v>
      </c>
      <c r="C25" s="58" t="s">
        <v>312</v>
      </c>
      <c r="D25" s="44" t="s">
        <v>313</v>
      </c>
      <c r="E25" s="44" t="s">
        <v>388</v>
      </c>
      <c r="F25" s="45" t="s">
        <v>318</v>
      </c>
      <c r="G25" s="68"/>
      <c r="H25" s="38"/>
      <c r="I25" s="69"/>
    </row>
    <row r="26" spans="1:9" ht="108.75" customHeight="1">
      <c r="A26" s="73"/>
      <c r="B26" s="57" t="s">
        <v>389</v>
      </c>
      <c r="C26" s="58" t="s">
        <v>312</v>
      </c>
      <c r="D26" s="44" t="s">
        <v>390</v>
      </c>
      <c r="E26" s="44" t="s">
        <v>391</v>
      </c>
      <c r="F26" s="45" t="s">
        <v>392</v>
      </c>
      <c r="G26" s="68"/>
      <c r="H26" s="38"/>
      <c r="I26" s="69"/>
    </row>
    <row r="27" spans="1:9" ht="63.75" customHeight="1" thickBot="1">
      <c r="A27" s="74"/>
      <c r="B27" s="201" t="s">
        <v>199</v>
      </c>
      <c r="C27" s="202" t="s">
        <v>200</v>
      </c>
      <c r="D27" s="61" t="s">
        <v>393</v>
      </c>
      <c r="E27" s="61" t="s">
        <v>394</v>
      </c>
      <c r="F27" s="61" t="s">
        <v>395</v>
      </c>
      <c r="G27" s="70"/>
      <c r="H27" s="70"/>
      <c r="I27" s="71"/>
    </row>
    <row r="28" spans="1:9" ht="57" customHeight="1" thickBot="1">
      <c r="A28" s="187" t="str">
        <f>Es.1!K6</f>
        <v>02FE025-TF03</v>
      </c>
      <c r="B28" s="188" t="s">
        <v>75</v>
      </c>
      <c r="C28" s="459" t="str">
        <f>Es.1!L6</f>
        <v>Inserimento dati duplicati</v>
      </c>
      <c r="D28" s="460"/>
      <c r="E28" s="461" t="s">
        <v>498</v>
      </c>
      <c r="F28" s="460"/>
      <c r="G28" s="189"/>
      <c r="H28" s="131"/>
      <c r="I28" s="190"/>
    </row>
    <row r="29" spans="1:9" ht="57" customHeight="1" thickBot="1">
      <c r="A29" s="187" t="str">
        <f>Es.1!K7</f>
        <v>02FE025-TF04</v>
      </c>
      <c r="B29" s="188" t="s">
        <v>75</v>
      </c>
      <c r="C29" s="459" t="str">
        <f>Es.1!L7</f>
        <v>Inserimento dati non validi</v>
      </c>
      <c r="D29" s="460"/>
      <c r="E29" s="461" t="s">
        <v>498</v>
      </c>
      <c r="F29" s="460"/>
      <c r="G29" s="189"/>
      <c r="H29" s="131"/>
      <c r="I29" s="190"/>
    </row>
    <row r="30" spans="1:9" ht="57" customHeight="1" thickBot="1">
      <c r="A30" s="187" t="str">
        <f>Es.1!K8</f>
        <v>02FE025-TNF01</v>
      </c>
      <c r="B30" s="188" t="s">
        <v>75</v>
      </c>
      <c r="C30" s="459" t="str">
        <f>Es.1!L8</f>
        <v>Verifica Accessibilità</v>
      </c>
      <c r="D30" s="460"/>
      <c r="E30" s="461" t="s">
        <v>498</v>
      </c>
      <c r="F30" s="460"/>
      <c r="G30" s="189"/>
      <c r="H30" s="131"/>
      <c r="I30" s="190"/>
    </row>
    <row r="31" spans="1:9" ht="57" customHeight="1" thickBot="1">
      <c r="A31" s="187" t="str">
        <f>Es.1!K9</f>
        <v>02FE025-TNF02</v>
      </c>
      <c r="B31" s="188" t="s">
        <v>75</v>
      </c>
      <c r="C31" s="459" t="str">
        <f>Es.1!L9</f>
        <v>Verifica Usabilità</v>
      </c>
      <c r="D31" s="460"/>
      <c r="E31" s="461" t="s">
        <v>498</v>
      </c>
      <c r="F31" s="460"/>
      <c r="G31" s="189"/>
      <c r="H31" s="131"/>
      <c r="I31" s="190"/>
    </row>
    <row r="32" spans="1:9" ht="57" customHeight="1" thickBot="1">
      <c r="A32" s="187" t="str">
        <f>Es.1!K10</f>
        <v>02F005-TI01</v>
      </c>
      <c r="B32" s="188" t="s">
        <v>75</v>
      </c>
      <c r="C32" s="459" t="str">
        <f>Es.1!L10</f>
        <v>Ricerca - visualizzazione - modifica e cancellazione anagrafica</v>
      </c>
      <c r="D32" s="460"/>
      <c r="E32" s="461" t="s">
        <v>498</v>
      </c>
      <c r="F32" s="460"/>
      <c r="G32" s="189"/>
      <c r="H32" s="131"/>
      <c r="I32" s="190"/>
    </row>
    <row r="33" spans="1:9" ht="57" customHeight="1" thickBot="1">
      <c r="A33" s="187" t="str">
        <f>Es.1!K11</f>
        <v>02MF001-TI01</v>
      </c>
      <c r="B33" s="188" t="s">
        <v>75</v>
      </c>
      <c r="C33" s="459" t="str">
        <f>Es.1!L11</f>
        <v>Creazione progetto, inserimento e modifica anagrafica, stampa resoconto.</v>
      </c>
      <c r="D33" s="460"/>
      <c r="E33" s="461" t="s">
        <v>498</v>
      </c>
      <c r="F33" s="460"/>
      <c r="G33" s="189"/>
      <c r="H33" s="131"/>
      <c r="I33" s="190"/>
    </row>
    <row r="34" spans="1:9" ht="57" customHeight="1" thickBot="1">
      <c r="A34" s="187" t="str">
        <f>Es.1!K12</f>
        <v>02CDU001.1-TI01</v>
      </c>
      <c r="B34" s="188" t="s">
        <v>75</v>
      </c>
      <c r="C34" s="459" t="str">
        <f>Es.1!L12</f>
        <v>Ricerca - visualizzazione elenco progetti</v>
      </c>
      <c r="D34" s="460"/>
      <c r="E34" s="461" t="s">
        <v>498</v>
      </c>
      <c r="F34" s="460"/>
      <c r="G34" s="189"/>
      <c r="H34" s="131"/>
      <c r="I34" s="190"/>
    </row>
    <row r="35" spans="1:9" ht="57" customHeight="1" thickBot="1">
      <c r="A35" s="187" t="str">
        <f>Es.1!K13</f>
        <v>02CDU001.2-TI01</v>
      </c>
      <c r="B35" s="188" t="s">
        <v>75</v>
      </c>
      <c r="C35" s="459" t="str">
        <f>Es.1!L13</f>
        <v xml:space="preserve">Ricerca - lista vuota - annulla </v>
      </c>
      <c r="D35" s="460"/>
      <c r="E35" s="461" t="s">
        <v>498</v>
      </c>
      <c r="F35" s="460"/>
      <c r="G35" s="189"/>
      <c r="H35" s="131"/>
      <c r="I35" s="190"/>
    </row>
    <row r="36" spans="1:9" ht="57" customHeight="1" thickBot="1">
      <c r="A36" s="187" t="str">
        <f>Es.1!K14</f>
        <v>02RNF012.1-TNF01</v>
      </c>
      <c r="B36" s="188" t="s">
        <v>75</v>
      </c>
      <c r="C36" s="459" t="str">
        <f>Es.1!L14</f>
        <v>Checklist Accessibilità</v>
      </c>
      <c r="D36" s="460"/>
      <c r="E36" s="461" t="s">
        <v>498</v>
      </c>
      <c r="F36" s="460"/>
      <c r="G36" s="189"/>
      <c r="H36" s="131"/>
      <c r="I36" s="190"/>
    </row>
    <row r="37" spans="1:9" ht="57" customHeight="1" thickBot="1">
      <c r="A37" s="187" t="str">
        <f>Es.1!K15</f>
        <v>02RNF031.1-TNF01</v>
      </c>
      <c r="B37" s="188" t="s">
        <v>75</v>
      </c>
      <c r="C37" s="459" t="str">
        <f>Es.1!L15</f>
        <v>Performance Test su ricerca dati progetto</v>
      </c>
      <c r="D37" s="460"/>
      <c r="E37" s="461" t="s">
        <v>498</v>
      </c>
      <c r="F37" s="460"/>
      <c r="G37" s="189"/>
      <c r="H37" s="131"/>
      <c r="I37" s="190"/>
    </row>
    <row r="38" spans="1:9" ht="26.25" thickBot="1">
      <c r="A38" s="187" t="s">
        <v>80</v>
      </c>
      <c r="B38" s="215" t="s">
        <v>81</v>
      </c>
      <c r="C38" s="456" t="s">
        <v>82</v>
      </c>
      <c r="D38" s="457"/>
      <c r="E38" s="458" t="s">
        <v>83</v>
      </c>
      <c r="F38" s="457"/>
      <c r="G38" s="211">
        <v>1</v>
      </c>
      <c r="H38" s="212">
        <v>10</v>
      </c>
      <c r="I38" s="213">
        <v>3</v>
      </c>
    </row>
    <row r="39" spans="1:9" ht="26.25" customHeight="1">
      <c r="A39" s="75"/>
      <c r="B39" s="76" t="s">
        <v>188</v>
      </c>
      <c r="C39" s="77" t="s">
        <v>189</v>
      </c>
      <c r="D39" s="77" t="s">
        <v>500</v>
      </c>
      <c r="E39" s="77" t="s">
        <v>501</v>
      </c>
      <c r="F39" s="78" t="s">
        <v>502</v>
      </c>
      <c r="G39" s="65"/>
      <c r="H39" s="66"/>
      <c r="I39" s="67"/>
    </row>
    <row r="40" spans="1:9" ht="51">
      <c r="A40" s="73"/>
      <c r="B40" s="42" t="s">
        <v>164</v>
      </c>
      <c r="C40" s="43" t="s">
        <v>503</v>
      </c>
      <c r="D40" s="44" t="s">
        <v>84</v>
      </c>
      <c r="E40" s="44" t="s">
        <v>85</v>
      </c>
      <c r="F40" s="44" t="s">
        <v>86</v>
      </c>
      <c r="G40" s="38"/>
      <c r="H40" s="38"/>
      <c r="I40" s="69"/>
    </row>
    <row r="41" spans="1:9" ht="25.5">
      <c r="A41" s="73"/>
      <c r="B41" s="46" t="s">
        <v>164</v>
      </c>
      <c r="C41" s="47" t="s">
        <v>194</v>
      </c>
      <c r="D41" s="48" t="s">
        <v>87</v>
      </c>
      <c r="E41" s="48" t="s">
        <v>88</v>
      </c>
      <c r="F41" s="48" t="s">
        <v>509</v>
      </c>
      <c r="G41" s="38"/>
      <c r="H41" s="38"/>
      <c r="I41" s="69"/>
    </row>
    <row r="42" spans="1:9" ht="38.25">
      <c r="A42" s="73"/>
      <c r="B42" s="50">
        <v>1</v>
      </c>
      <c r="C42" s="51" t="s">
        <v>195</v>
      </c>
      <c r="D42" s="48" t="s">
        <v>478</v>
      </c>
      <c r="E42" s="48"/>
      <c r="F42" s="48" t="s">
        <v>479</v>
      </c>
      <c r="G42" s="38"/>
      <c r="H42" s="38"/>
      <c r="I42" s="69"/>
    </row>
    <row r="43" spans="1:9" ht="63.75">
      <c r="A43" s="73"/>
      <c r="B43" s="52">
        <v>2</v>
      </c>
      <c r="C43" s="53" t="s">
        <v>196</v>
      </c>
      <c r="D43" s="54" t="s">
        <v>480</v>
      </c>
      <c r="E43" s="54" t="s">
        <v>481</v>
      </c>
      <c r="F43" s="54" t="s">
        <v>482</v>
      </c>
      <c r="G43" s="38"/>
      <c r="H43" s="38"/>
      <c r="I43" s="69"/>
    </row>
    <row r="44" spans="1:9" ht="38.25">
      <c r="A44" s="73"/>
      <c r="B44" s="50">
        <v>3</v>
      </c>
      <c r="C44" s="51" t="s">
        <v>195</v>
      </c>
      <c r="D44" s="48" t="s">
        <v>483</v>
      </c>
      <c r="E44" s="48"/>
      <c r="F44" s="48" t="s">
        <v>484</v>
      </c>
      <c r="G44" s="38"/>
      <c r="H44" s="38"/>
      <c r="I44" s="69"/>
    </row>
    <row r="45" spans="1:9" ht="102">
      <c r="A45" s="73"/>
      <c r="B45" s="57" t="s">
        <v>197</v>
      </c>
      <c r="C45" s="58" t="s">
        <v>312</v>
      </c>
      <c r="D45" s="54" t="s">
        <v>485</v>
      </c>
      <c r="E45" s="48" t="s">
        <v>486</v>
      </c>
      <c r="F45" s="48" t="s">
        <v>487</v>
      </c>
      <c r="G45" s="38"/>
      <c r="H45" s="38"/>
      <c r="I45" s="69"/>
    </row>
    <row r="46" spans="1:9" ht="89.25">
      <c r="A46" s="73"/>
      <c r="B46" s="57" t="s">
        <v>316</v>
      </c>
      <c r="C46" s="58" t="s">
        <v>312</v>
      </c>
      <c r="D46" s="214" t="s">
        <v>488</v>
      </c>
      <c r="E46" s="48" t="s">
        <v>357</v>
      </c>
      <c r="F46" s="48" t="s">
        <v>358</v>
      </c>
      <c r="G46" s="38"/>
      <c r="H46" s="38"/>
      <c r="I46" s="69"/>
    </row>
    <row r="47" spans="1:9" ht="90" thickBot="1">
      <c r="A47" s="74"/>
      <c r="B47" s="201" t="s">
        <v>199</v>
      </c>
      <c r="C47" s="202" t="s">
        <v>200</v>
      </c>
      <c r="D47" s="61" t="s">
        <v>359</v>
      </c>
      <c r="E47" s="61"/>
      <c r="F47" s="61" t="s">
        <v>360</v>
      </c>
      <c r="G47" s="70"/>
      <c r="H47" s="70"/>
      <c r="I47" s="71"/>
    </row>
  </sheetData>
  <mergeCells count="32">
    <mergeCell ref="C30:D30"/>
    <mergeCell ref="E30:F30"/>
    <mergeCell ref="C31:D31"/>
    <mergeCell ref="E31:F31"/>
    <mergeCell ref="C4:D4"/>
    <mergeCell ref="E4:F4"/>
    <mergeCell ref="C28:D28"/>
    <mergeCell ref="E28:F28"/>
    <mergeCell ref="C29:D29"/>
    <mergeCell ref="E29:F29"/>
    <mergeCell ref="C13:D13"/>
    <mergeCell ref="E13:F13"/>
    <mergeCell ref="D1:I1"/>
    <mergeCell ref="A1:C1"/>
    <mergeCell ref="A2:C2"/>
    <mergeCell ref="C3:D3"/>
    <mergeCell ref="E3:F3"/>
    <mergeCell ref="D2:I2"/>
    <mergeCell ref="C38:D38"/>
    <mergeCell ref="E38:F38"/>
    <mergeCell ref="C33:D33"/>
    <mergeCell ref="E33:F33"/>
    <mergeCell ref="C32:D32"/>
    <mergeCell ref="E32:F32"/>
    <mergeCell ref="C34:D34"/>
    <mergeCell ref="E34:F34"/>
    <mergeCell ref="C37:D37"/>
    <mergeCell ref="E37:F37"/>
    <mergeCell ref="C35:D35"/>
    <mergeCell ref="E35:F35"/>
    <mergeCell ref="C36:D36"/>
    <mergeCell ref="E36:F36"/>
  </mergeCells>
  <phoneticPr fontId="7" type="noConversion"/>
  <pageMargins left="0.28999999999999998" right="0.55000000000000004" top="0.43" bottom="0.4" header="0.23" footer="0.23"/>
  <pageSetup paperSize="9" scale="66" fitToHeight="3" orientation="landscape" horizontalDpi="300" verticalDpi="300" r:id="rId1"/>
  <headerFooter alignWithMargins="0">
    <oddHeader>&amp;R&amp;D  &amp;T</oddHeader>
    <oddFooter>&amp;L&amp;F&amp;C&amp;A&amp;RPagina &amp;P di &amp;N</oddFooter>
  </headerFooter>
  <rowBreaks count="2" manualBreakCount="2">
    <brk id="12" max="8" man="1"/>
    <brk id="27" max="8" man="1"/>
  </rowBreaks>
  <drawing r:id="rId2"/>
  <legacyDrawing r:id="rId3"/>
  <controls>
    <mc:AlternateContent xmlns:mc="http://schemas.openxmlformats.org/markup-compatibility/2006">
      <mc:Choice Requires="x14">
        <control shapeId="453636" r:id="rId4" name="Btn_Duplicate">
          <controlPr defaultSize="0" autoLine="0" autoPict="0" r:id="rId5">
            <anchor moveWithCells="1">
              <from>
                <xdr:col>4</xdr:col>
                <xdr:colOff>561975</xdr:colOff>
                <xdr:row>0</xdr:row>
                <xdr:rowOff>19050</xdr:rowOff>
              </from>
              <to>
                <xdr:col>4</xdr:col>
                <xdr:colOff>1905000</xdr:colOff>
                <xdr:row>0</xdr:row>
                <xdr:rowOff>371475</xdr:rowOff>
              </to>
            </anchor>
          </controlPr>
        </control>
      </mc:Choice>
      <mc:Fallback>
        <control shapeId="453636" r:id="rId4" name="Btn_Duplicate"/>
      </mc:Fallback>
    </mc:AlternateContent>
    <mc:AlternateContent xmlns:mc="http://schemas.openxmlformats.org/markup-compatibility/2006">
      <mc:Choice Requires="x14">
        <control shapeId="453635" r:id="rId6" name="Btn_Delete">
          <controlPr defaultSize="0" autoLine="0" autoPict="0" r:id="rId7">
            <anchor moveWithCells="1">
              <from>
                <xdr:col>3</xdr:col>
                <xdr:colOff>1695450</xdr:colOff>
                <xdr:row>0</xdr:row>
                <xdr:rowOff>19050</xdr:rowOff>
              </from>
              <to>
                <xdr:col>4</xdr:col>
                <xdr:colOff>523875</xdr:colOff>
                <xdr:row>0</xdr:row>
                <xdr:rowOff>371475</xdr:rowOff>
              </to>
            </anchor>
          </controlPr>
        </control>
      </mc:Choice>
      <mc:Fallback>
        <control shapeId="453635" r:id="rId6" name="Btn_Delete"/>
      </mc:Fallback>
    </mc:AlternateContent>
    <mc:AlternateContent xmlns:mc="http://schemas.openxmlformats.org/markup-compatibility/2006">
      <mc:Choice Requires="x14">
        <control shapeId="453634" r:id="rId8" name="Btn_InsLayout">
          <controlPr defaultSize="0" autoLine="0" autoPict="0" r:id="rId9">
            <anchor moveWithCells="1">
              <from>
                <xdr:col>3</xdr:col>
                <xdr:colOff>9525</xdr:colOff>
                <xdr:row>0</xdr:row>
                <xdr:rowOff>19050</xdr:rowOff>
              </from>
              <to>
                <xdr:col>3</xdr:col>
                <xdr:colOff>1676400</xdr:colOff>
                <xdr:row>0</xdr:row>
                <xdr:rowOff>371475</xdr:rowOff>
              </to>
            </anchor>
          </controlPr>
        </control>
      </mc:Choice>
      <mc:Fallback>
        <control shapeId="453634" r:id="rId8" name="Btn_InsLayout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02"/>
  <dimension ref="A1:AB203"/>
  <sheetViews>
    <sheetView zoomScaleNormal="100" workbookViewId="0">
      <selection activeCell="B15" sqref="B15:D15"/>
    </sheetView>
  </sheetViews>
  <sheetFormatPr defaultRowHeight="12.75" customHeight="1"/>
  <cols>
    <col min="1" max="1" width="29.42578125" customWidth="1"/>
    <col min="2" max="2" width="56.7109375" customWidth="1"/>
    <col min="3" max="3" width="10.85546875" customWidth="1"/>
    <col min="4" max="4" width="11.28515625" customWidth="1"/>
    <col min="5" max="5" width="12.42578125" customWidth="1"/>
    <col min="6" max="6" width="9.140625" hidden="1" customWidth="1"/>
  </cols>
  <sheetData>
    <row r="1" spans="1:28" ht="18.75" customHeight="1">
      <c r="A1" s="2"/>
      <c r="B1" s="500"/>
      <c r="C1" s="500"/>
      <c r="D1" s="500"/>
      <c r="E1" s="501"/>
      <c r="F1" s="4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</row>
    <row r="2" spans="1:28" ht="30.75" customHeight="1">
      <c r="A2" s="502" t="s">
        <v>43</v>
      </c>
      <c r="B2" s="503"/>
      <c r="C2" s="503"/>
      <c r="D2" s="503"/>
      <c r="E2" s="503"/>
      <c r="F2" s="88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</row>
    <row r="3" spans="1:28" ht="15" customHeight="1">
      <c r="A3" s="86" t="s">
        <v>541</v>
      </c>
      <c r="B3" s="504" t="s">
        <v>286</v>
      </c>
      <c r="C3" s="505"/>
      <c r="D3" s="505"/>
      <c r="E3" s="505"/>
      <c r="F3" s="4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</row>
    <row r="4" spans="1:28" ht="12.75" hidden="1" customHeight="1">
      <c r="A4" s="31"/>
      <c r="B4" s="497" t="s">
        <v>12</v>
      </c>
      <c r="C4" s="498"/>
      <c r="D4" s="498"/>
      <c r="E4" s="5"/>
      <c r="F4" s="4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</row>
    <row r="5" spans="1:28" ht="12.75" hidden="1" customHeight="1">
      <c r="A5" s="31"/>
      <c r="B5" s="497"/>
      <c r="C5" s="498"/>
      <c r="D5" s="498"/>
      <c r="E5" s="5"/>
      <c r="F5" s="4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</row>
    <row r="6" spans="1:28" ht="12.75" hidden="1" customHeight="1">
      <c r="A6" s="31"/>
      <c r="B6" s="497"/>
      <c r="C6" s="498"/>
      <c r="D6" s="498"/>
      <c r="E6" s="5"/>
      <c r="F6" s="4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</row>
    <row r="7" spans="1:28" ht="12.75" hidden="1" customHeight="1">
      <c r="A7" s="31" t="s">
        <v>279</v>
      </c>
      <c r="B7" s="497" t="s">
        <v>12</v>
      </c>
      <c r="C7" s="498"/>
      <c r="D7" s="498"/>
      <c r="E7" s="6"/>
      <c r="F7" s="4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</row>
    <row r="8" spans="1:28" ht="12.75" hidden="1" customHeight="1">
      <c r="A8" s="31" t="s">
        <v>280</v>
      </c>
      <c r="B8" s="497">
        <v>1</v>
      </c>
      <c r="C8" s="498"/>
      <c r="D8" s="498"/>
      <c r="E8" s="6"/>
      <c r="F8" s="4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</row>
    <row r="9" spans="1:28" ht="12.75" customHeight="1">
      <c r="A9" s="31" t="s">
        <v>288</v>
      </c>
      <c r="B9" s="497" t="s">
        <v>362</v>
      </c>
      <c r="C9" s="498"/>
      <c r="D9" s="498"/>
      <c r="E9" s="6"/>
      <c r="F9" s="4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</row>
    <row r="10" spans="1:28" ht="12.75" customHeight="1">
      <c r="A10" s="31" t="s">
        <v>228</v>
      </c>
      <c r="B10" s="497" t="s">
        <v>289</v>
      </c>
      <c r="C10" s="498"/>
      <c r="D10" s="498"/>
      <c r="E10" s="6"/>
      <c r="F10" s="4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</row>
    <row r="11" spans="1:28" ht="12.75" customHeight="1">
      <c r="A11" s="31" t="s">
        <v>251</v>
      </c>
      <c r="B11" s="497">
        <v>10</v>
      </c>
      <c r="C11" s="498"/>
      <c r="D11" s="498"/>
      <c r="E11" s="5" t="s">
        <v>290</v>
      </c>
      <c r="F11" s="4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</row>
    <row r="12" spans="1:28" ht="18" hidden="1" customHeight="1">
      <c r="A12" s="31"/>
      <c r="B12" s="497"/>
      <c r="C12" s="498"/>
      <c r="D12" s="498"/>
      <c r="E12" s="5"/>
      <c r="F12" s="4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</row>
    <row r="13" spans="1:28" ht="12.75" customHeight="1">
      <c r="A13" s="31" t="s">
        <v>291</v>
      </c>
      <c r="B13" s="497">
        <v>4</v>
      </c>
      <c r="C13" s="498"/>
      <c r="D13" s="498"/>
      <c r="E13" s="5"/>
      <c r="F13" s="4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</row>
    <row r="14" spans="1:28" ht="12.75" customHeight="1">
      <c r="A14" s="31" t="s">
        <v>292</v>
      </c>
      <c r="B14" s="497">
        <v>4</v>
      </c>
      <c r="C14" s="498"/>
      <c r="D14" s="498"/>
      <c r="E14" s="5"/>
      <c r="F14" s="4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</row>
    <row r="15" spans="1:28" ht="18" customHeight="1">
      <c r="A15" s="31" t="s">
        <v>363</v>
      </c>
      <c r="B15" s="499"/>
      <c r="C15" s="498"/>
      <c r="D15" s="498"/>
      <c r="E15" s="5"/>
      <c r="F15" s="4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</row>
    <row r="16" spans="1:28" ht="3.75" customHeight="1">
      <c r="A16" s="496"/>
      <c r="B16" s="496"/>
      <c r="C16" s="496"/>
      <c r="D16" s="496"/>
      <c r="E16" s="496"/>
      <c r="F16" s="4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</row>
    <row r="17" spans="1:28" ht="3.75" customHeight="1">
      <c r="A17" s="491"/>
      <c r="B17" s="491"/>
      <c r="C17" s="491"/>
      <c r="D17" s="491"/>
      <c r="E17" s="491"/>
      <c r="F17" s="4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</row>
    <row r="18" spans="1:28" ht="17.25" customHeight="1">
      <c r="A18" s="490" t="s">
        <v>293</v>
      </c>
      <c r="B18" s="490"/>
      <c r="C18" s="490"/>
      <c r="D18" s="491"/>
      <c r="E18" s="491"/>
      <c r="F18" s="4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</row>
    <row r="19" spans="1:28" ht="12.75" customHeight="1">
      <c r="A19" s="509" t="s">
        <v>294</v>
      </c>
      <c r="B19" s="510"/>
      <c r="C19" s="510"/>
      <c r="D19" s="491"/>
      <c r="E19" s="491"/>
      <c r="F19" s="4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</row>
    <row r="20" spans="1:28" ht="12.75" customHeight="1">
      <c r="A20" s="25" t="s">
        <v>295</v>
      </c>
      <c r="B20" s="506">
        <v>4</v>
      </c>
      <c r="C20" s="507"/>
      <c r="D20" s="507"/>
      <c r="E20" s="7"/>
      <c r="F20" s="4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 spans="1:28" ht="12.75" customHeight="1">
      <c r="A21" s="25" t="s">
        <v>296</v>
      </c>
      <c r="B21" s="508">
        <v>0</v>
      </c>
      <c r="C21" s="507"/>
      <c r="D21" s="507"/>
      <c r="E21" s="7"/>
      <c r="F21" s="4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</row>
    <row r="22" spans="1:28" ht="12.75" customHeight="1">
      <c r="A22" s="28" t="s">
        <v>297</v>
      </c>
      <c r="B22" s="511">
        <v>1</v>
      </c>
      <c r="C22" s="512"/>
      <c r="D22" s="512"/>
      <c r="E22" s="7"/>
      <c r="F22" s="4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</row>
    <row r="23" spans="1:28" ht="12.75" customHeight="1">
      <c r="A23" s="8" t="s">
        <v>298</v>
      </c>
      <c r="B23" s="513" t="s">
        <v>540</v>
      </c>
      <c r="C23" s="514"/>
      <c r="D23" s="514"/>
      <c r="E23" s="9"/>
      <c r="F23" s="4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</row>
    <row r="24" spans="1:28" ht="6.75" customHeight="1">
      <c r="A24" s="484"/>
      <c r="B24" s="484"/>
      <c r="C24" s="484"/>
      <c r="D24" s="485"/>
      <c r="E24" s="486"/>
      <c r="F24" s="4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</row>
    <row r="25" spans="1:28" ht="12.75" customHeight="1">
      <c r="A25" s="481" t="s">
        <v>405</v>
      </c>
      <c r="B25" s="482"/>
      <c r="C25" s="482"/>
      <c r="D25" s="483"/>
      <c r="E25" s="483"/>
      <c r="F25" s="4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</row>
    <row r="26" spans="1:28" ht="12.75" customHeight="1">
      <c r="A26" s="10" t="s">
        <v>299</v>
      </c>
      <c r="B26" s="11" t="s">
        <v>300</v>
      </c>
      <c r="C26" s="12" t="s">
        <v>301</v>
      </c>
      <c r="D26" s="13" t="s">
        <v>302</v>
      </c>
      <c r="E26" s="13" t="s">
        <v>303</v>
      </c>
      <c r="F26" s="4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</row>
    <row r="27" spans="1:28" ht="11.25" customHeight="1">
      <c r="A27" s="25" t="s">
        <v>304</v>
      </c>
      <c r="B27" s="26" t="s">
        <v>305</v>
      </c>
      <c r="C27" s="14" t="s">
        <v>306</v>
      </c>
      <c r="D27" s="15">
        <v>4</v>
      </c>
      <c r="E27" s="16" t="s">
        <v>307</v>
      </c>
      <c r="F27" s="4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</row>
    <row r="28" spans="1:28" ht="11.25" customHeight="1">
      <c r="A28" s="24" t="s">
        <v>308</v>
      </c>
      <c r="B28" s="27" t="s">
        <v>408</v>
      </c>
      <c r="C28" s="14" t="s">
        <v>457</v>
      </c>
      <c r="D28" s="15">
        <v>2</v>
      </c>
      <c r="E28" s="16" t="s">
        <v>458</v>
      </c>
      <c r="F28" s="4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</row>
    <row r="29" spans="1:28" ht="11.25" customHeight="1">
      <c r="A29" s="25" t="s">
        <v>140</v>
      </c>
      <c r="B29" s="27" t="s">
        <v>155</v>
      </c>
      <c r="C29" s="14" t="s">
        <v>351</v>
      </c>
      <c r="D29" s="16">
        <v>22</v>
      </c>
      <c r="E29" s="16"/>
      <c r="F29" s="4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</row>
    <row r="30" spans="1:28" ht="11.25" customHeight="1">
      <c r="A30" s="25" t="s">
        <v>142</v>
      </c>
      <c r="B30" s="27"/>
      <c r="C30" s="14" t="s">
        <v>215</v>
      </c>
      <c r="D30" s="16"/>
      <c r="E30" s="16"/>
      <c r="F30" s="4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</row>
    <row r="31" spans="1:28" ht="12.75" customHeight="1">
      <c r="A31" s="17" t="s">
        <v>298</v>
      </c>
      <c r="B31" s="255" t="s">
        <v>556</v>
      </c>
      <c r="C31" s="17" t="s">
        <v>143</v>
      </c>
      <c r="D31" s="17"/>
      <c r="E31" s="256">
        <v>30</v>
      </c>
      <c r="F31" s="4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</row>
    <row r="32" spans="1:28" ht="6.75" customHeight="1">
      <c r="A32" s="495"/>
      <c r="B32" s="495"/>
      <c r="C32" s="495"/>
      <c r="D32" s="496"/>
      <c r="E32" s="496"/>
      <c r="F32" s="4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</row>
    <row r="33" spans="1:28" ht="12.75" customHeight="1">
      <c r="A33" s="481" t="s">
        <v>406</v>
      </c>
      <c r="B33" s="482"/>
      <c r="C33" s="482"/>
      <c r="D33" s="483"/>
      <c r="E33" s="483"/>
      <c r="F33" s="4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/>
      <c r="AB33" s="22"/>
    </row>
    <row r="34" spans="1:28" ht="12.75" customHeight="1">
      <c r="A34" s="18" t="s">
        <v>299</v>
      </c>
      <c r="B34" s="11" t="s">
        <v>300</v>
      </c>
      <c r="C34" s="12" t="s">
        <v>301</v>
      </c>
      <c r="D34" s="13" t="s">
        <v>302</v>
      </c>
      <c r="E34" s="13" t="s">
        <v>303</v>
      </c>
      <c r="F34" s="4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</row>
    <row r="35" spans="1:28" ht="11.25" customHeight="1">
      <c r="A35" s="25" t="s">
        <v>304</v>
      </c>
      <c r="B35" s="26" t="s">
        <v>305</v>
      </c>
      <c r="C35" s="14" t="s">
        <v>306</v>
      </c>
      <c r="D35" s="15">
        <v>4</v>
      </c>
      <c r="E35" s="16" t="s">
        <v>307</v>
      </c>
      <c r="F35" s="4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</row>
    <row r="36" spans="1:28" ht="11.25" customHeight="1">
      <c r="A36" s="24" t="s">
        <v>308</v>
      </c>
      <c r="B36" s="27" t="s">
        <v>408</v>
      </c>
      <c r="C36" s="14" t="s">
        <v>457</v>
      </c>
      <c r="D36" s="15">
        <v>2</v>
      </c>
      <c r="E36" s="16" t="s">
        <v>458</v>
      </c>
      <c r="F36" s="4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</row>
    <row r="37" spans="1:28" ht="11.25" customHeight="1">
      <c r="A37" s="25" t="s">
        <v>140</v>
      </c>
      <c r="B37" s="27" t="s">
        <v>156</v>
      </c>
      <c r="C37" s="14" t="s">
        <v>258</v>
      </c>
      <c r="D37" s="16">
        <v>22</v>
      </c>
      <c r="E37" s="16"/>
      <c r="F37" s="4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</row>
    <row r="38" spans="1:28" ht="11.25" customHeight="1">
      <c r="A38" s="25" t="s">
        <v>142</v>
      </c>
      <c r="B38" s="27"/>
      <c r="C38" s="14" t="s">
        <v>215</v>
      </c>
      <c r="D38" s="16"/>
      <c r="E38" s="16"/>
      <c r="F38" s="4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</row>
    <row r="39" spans="1:28" ht="12.75" customHeight="1">
      <c r="A39" s="17" t="s">
        <v>298</v>
      </c>
      <c r="B39" s="255" t="s">
        <v>556</v>
      </c>
      <c r="C39" s="17" t="s">
        <v>143</v>
      </c>
      <c r="D39" s="17"/>
      <c r="E39" s="256">
        <v>30</v>
      </c>
      <c r="F39" s="4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</row>
    <row r="40" spans="1:28" ht="6.75" customHeight="1">
      <c r="A40" s="484"/>
      <c r="B40" s="484"/>
      <c r="C40" s="484"/>
      <c r="D40" s="485"/>
      <c r="E40" s="486"/>
      <c r="F40" s="4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</row>
    <row r="41" spans="1:28" ht="12.75" customHeight="1">
      <c r="A41" s="481" t="s">
        <v>407</v>
      </c>
      <c r="B41" s="482"/>
      <c r="C41" s="482"/>
      <c r="D41" s="483"/>
      <c r="E41" s="483"/>
      <c r="F41" s="4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</row>
    <row r="42" spans="1:28" ht="12.75" customHeight="1">
      <c r="A42" s="19" t="s">
        <v>299</v>
      </c>
      <c r="B42" s="11" t="s">
        <v>300</v>
      </c>
      <c r="C42" s="12" t="s">
        <v>301</v>
      </c>
      <c r="D42" s="13" t="s">
        <v>302</v>
      </c>
      <c r="E42" s="13" t="s">
        <v>303</v>
      </c>
      <c r="F42" s="4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</row>
    <row r="43" spans="1:28" ht="11.25" customHeight="1">
      <c r="A43" s="25" t="s">
        <v>304</v>
      </c>
      <c r="B43" s="26" t="s">
        <v>305</v>
      </c>
      <c r="C43" s="14" t="s">
        <v>306</v>
      </c>
      <c r="D43" s="15">
        <v>4</v>
      </c>
      <c r="E43" s="16" t="s">
        <v>307</v>
      </c>
      <c r="F43" s="4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</row>
    <row r="44" spans="1:28" ht="11.25" customHeight="1">
      <c r="A44" s="24" t="s">
        <v>308</v>
      </c>
      <c r="B44" s="27" t="s">
        <v>408</v>
      </c>
      <c r="C44" s="14" t="s">
        <v>457</v>
      </c>
      <c r="D44" s="15">
        <v>2</v>
      </c>
      <c r="E44" s="16" t="s">
        <v>458</v>
      </c>
      <c r="F44" s="4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</row>
    <row r="45" spans="1:28" ht="11.25" customHeight="1">
      <c r="A45" s="25" t="s">
        <v>140</v>
      </c>
      <c r="B45" s="27" t="s">
        <v>146</v>
      </c>
      <c r="C45" s="14" t="s">
        <v>258</v>
      </c>
      <c r="D45" s="16">
        <v>12</v>
      </c>
      <c r="E45" s="16" t="s">
        <v>458</v>
      </c>
      <c r="F45" s="4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</row>
    <row r="46" spans="1:28" ht="11.25" customHeight="1">
      <c r="A46" s="25" t="s">
        <v>142</v>
      </c>
      <c r="B46" s="27" t="s">
        <v>148</v>
      </c>
      <c r="C46" s="14" t="s">
        <v>258</v>
      </c>
      <c r="D46" s="16">
        <v>9</v>
      </c>
      <c r="E46" s="16"/>
      <c r="F46" s="4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</row>
    <row r="47" spans="1:28" ht="12.75" customHeight="1">
      <c r="A47" s="17" t="s">
        <v>298</v>
      </c>
      <c r="B47" s="255" t="s">
        <v>557</v>
      </c>
      <c r="C47" s="17" t="s">
        <v>143</v>
      </c>
      <c r="D47" s="17"/>
      <c r="E47" s="256">
        <v>30</v>
      </c>
      <c r="F47" s="4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</row>
    <row r="48" spans="1:28" ht="6.75" customHeight="1">
      <c r="A48" s="484"/>
      <c r="B48" s="484"/>
      <c r="C48" s="484"/>
      <c r="D48" s="485"/>
      <c r="E48" s="486"/>
      <c r="F48" s="4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</row>
    <row r="49" spans="1:28" ht="12.75" customHeight="1">
      <c r="A49" s="481" t="s">
        <v>285</v>
      </c>
      <c r="B49" s="482"/>
      <c r="C49" s="482"/>
      <c r="D49" s="483"/>
      <c r="E49" s="483"/>
      <c r="F49" s="4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</row>
    <row r="50" spans="1:28" ht="12.75" customHeight="1">
      <c r="A50" s="19" t="s">
        <v>299</v>
      </c>
      <c r="B50" s="11" t="s">
        <v>300</v>
      </c>
      <c r="C50" s="12" t="s">
        <v>301</v>
      </c>
      <c r="D50" s="13" t="s">
        <v>302</v>
      </c>
      <c r="E50" s="13" t="s">
        <v>303</v>
      </c>
      <c r="F50" s="4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</row>
    <row r="51" spans="1:28" ht="11.25" customHeight="1">
      <c r="A51" s="25" t="s">
        <v>304</v>
      </c>
      <c r="B51" s="26" t="s">
        <v>305</v>
      </c>
      <c r="C51" s="14" t="s">
        <v>306</v>
      </c>
      <c r="D51" s="15">
        <v>4</v>
      </c>
      <c r="E51" s="16" t="s">
        <v>307</v>
      </c>
      <c r="F51" s="4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</row>
    <row r="52" spans="1:28" ht="11.25" customHeight="1">
      <c r="A52" s="24" t="s">
        <v>308</v>
      </c>
      <c r="B52" s="27" t="s">
        <v>147</v>
      </c>
      <c r="C52" s="14" t="s">
        <v>457</v>
      </c>
      <c r="D52" s="15">
        <v>4</v>
      </c>
      <c r="E52" s="16" t="s">
        <v>458</v>
      </c>
      <c r="F52" s="4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</row>
    <row r="53" spans="1:28" ht="11.25" customHeight="1">
      <c r="A53" s="25" t="s">
        <v>140</v>
      </c>
      <c r="B53" s="27" t="s">
        <v>159</v>
      </c>
      <c r="C53" s="14" t="s">
        <v>258</v>
      </c>
      <c r="D53" s="16">
        <v>20</v>
      </c>
      <c r="E53" s="16"/>
      <c r="F53" s="4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</row>
    <row r="54" spans="1:28" ht="11.25" customHeight="1">
      <c r="A54" s="25" t="s">
        <v>142</v>
      </c>
      <c r="B54" s="27"/>
      <c r="C54" s="14" t="s">
        <v>215</v>
      </c>
      <c r="D54" s="16"/>
      <c r="E54" s="16"/>
      <c r="F54" s="4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</row>
    <row r="55" spans="1:28" ht="12.75" customHeight="1">
      <c r="A55" s="17" t="s">
        <v>298</v>
      </c>
      <c r="B55" s="255" t="s">
        <v>558</v>
      </c>
      <c r="C55" s="17" t="s">
        <v>143</v>
      </c>
      <c r="D55" s="17"/>
      <c r="E55" s="256">
        <v>30</v>
      </c>
      <c r="F55" s="4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</row>
    <row r="56" spans="1:28" ht="3" customHeight="1">
      <c r="A56" s="496"/>
      <c r="B56" s="496"/>
      <c r="C56" s="496"/>
      <c r="D56" s="496"/>
      <c r="E56" s="496"/>
      <c r="F56" s="4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</row>
    <row r="57" spans="1:28" ht="3" customHeight="1">
      <c r="A57" s="491"/>
      <c r="B57" s="491"/>
      <c r="C57" s="491"/>
      <c r="D57" s="491"/>
      <c r="E57" s="491"/>
      <c r="F57" s="4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</row>
    <row r="58" spans="1:28" ht="3" customHeight="1">
      <c r="A58" s="491"/>
      <c r="B58" s="491"/>
      <c r="C58" s="491"/>
      <c r="D58" s="491"/>
      <c r="E58" s="491"/>
      <c r="F58" s="4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</row>
    <row r="59" spans="1:28" ht="14.25" customHeight="1">
      <c r="A59" s="490" t="s">
        <v>149</v>
      </c>
      <c r="B59" s="490"/>
      <c r="C59" s="490"/>
      <c r="D59" s="491"/>
      <c r="E59" s="491"/>
      <c r="F59" s="4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</row>
    <row r="60" spans="1:28" ht="12.75" customHeight="1">
      <c r="A60" s="20" t="s">
        <v>150</v>
      </c>
      <c r="B60" s="21" t="s">
        <v>300</v>
      </c>
      <c r="C60" s="492" t="s">
        <v>301</v>
      </c>
      <c r="D60" s="493"/>
      <c r="E60" s="494"/>
      <c r="F60" s="4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</row>
    <row r="61" spans="1:28" ht="12.75" customHeight="1">
      <c r="A61" s="29" t="s">
        <v>10</v>
      </c>
      <c r="B61" s="30" t="s">
        <v>152</v>
      </c>
      <c r="C61" s="487" t="s">
        <v>258</v>
      </c>
      <c r="D61" s="488"/>
      <c r="E61" s="489"/>
      <c r="F61" s="4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</row>
    <row r="62" spans="1:28" ht="12.75" customHeight="1">
      <c r="A62" s="29" t="s">
        <v>151</v>
      </c>
      <c r="B62" s="30" t="s">
        <v>153</v>
      </c>
      <c r="C62" s="487" t="s">
        <v>258</v>
      </c>
      <c r="D62" s="488"/>
      <c r="E62" s="489"/>
      <c r="F62" s="4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</row>
    <row r="63" spans="1:28" ht="12.75" customHeight="1">
      <c r="A63" s="29" t="s">
        <v>423</v>
      </c>
      <c r="B63" s="30" t="s">
        <v>154</v>
      </c>
      <c r="C63" s="487" t="s">
        <v>258</v>
      </c>
      <c r="D63" s="488"/>
      <c r="E63" s="489"/>
      <c r="F63" s="4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</row>
    <row r="64" spans="1:28" ht="12.75" customHeight="1">
      <c r="A64" s="29" t="s">
        <v>409</v>
      </c>
      <c r="B64" s="30" t="s">
        <v>141</v>
      </c>
      <c r="C64" s="487" t="s">
        <v>258</v>
      </c>
      <c r="D64" s="488"/>
      <c r="E64" s="489"/>
      <c r="F64" s="4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</row>
    <row r="65" spans="1:28" ht="12.75" customHeight="1">
      <c r="A65" s="29" t="s">
        <v>410</v>
      </c>
      <c r="B65" s="30" t="s">
        <v>155</v>
      </c>
      <c r="C65" s="487" t="s">
        <v>258</v>
      </c>
      <c r="D65" s="488"/>
      <c r="E65" s="489"/>
      <c r="F65" s="4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</row>
    <row r="66" spans="1:28" ht="12.75" customHeight="1">
      <c r="A66" s="29" t="s">
        <v>411</v>
      </c>
      <c r="B66" s="30" t="s">
        <v>144</v>
      </c>
      <c r="C66" s="487" t="s">
        <v>258</v>
      </c>
      <c r="D66" s="488"/>
      <c r="E66" s="489"/>
      <c r="F66" s="4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</row>
    <row r="67" spans="1:28" ht="12.75" customHeight="1">
      <c r="A67" s="29" t="s">
        <v>412</v>
      </c>
      <c r="B67" s="30" t="s">
        <v>156</v>
      </c>
      <c r="C67" s="487" t="s">
        <v>258</v>
      </c>
      <c r="D67" s="488"/>
      <c r="E67" s="489"/>
      <c r="F67" s="4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</row>
    <row r="68" spans="1:28" ht="12.75" customHeight="1">
      <c r="A68" s="29" t="s">
        <v>413</v>
      </c>
      <c r="B68" s="30" t="s">
        <v>145</v>
      </c>
      <c r="C68" s="487" t="s">
        <v>258</v>
      </c>
      <c r="D68" s="488"/>
      <c r="E68" s="489"/>
      <c r="F68" s="4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</row>
    <row r="69" spans="1:28" ht="12.75" customHeight="1">
      <c r="A69" s="29" t="s">
        <v>414</v>
      </c>
      <c r="B69" s="30" t="s">
        <v>146</v>
      </c>
      <c r="C69" s="487" t="s">
        <v>258</v>
      </c>
      <c r="D69" s="488"/>
      <c r="E69" s="489"/>
      <c r="F69" s="4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</row>
    <row r="70" spans="1:28" ht="12.75" customHeight="1">
      <c r="A70" s="29" t="s">
        <v>415</v>
      </c>
      <c r="B70" s="30" t="s">
        <v>148</v>
      </c>
      <c r="C70" s="487" t="s">
        <v>258</v>
      </c>
      <c r="D70" s="488"/>
      <c r="E70" s="489"/>
      <c r="F70" s="4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</row>
    <row r="71" spans="1:28" ht="12.75" customHeight="1">
      <c r="A71" s="29" t="s">
        <v>157</v>
      </c>
      <c r="B71" s="30" t="s">
        <v>159</v>
      </c>
      <c r="C71" s="487" t="s">
        <v>258</v>
      </c>
      <c r="D71" s="488"/>
      <c r="E71" s="489"/>
      <c r="F71" s="4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</row>
    <row r="72" spans="1:28" ht="12.75" customHeight="1">
      <c r="A72" s="29" t="s">
        <v>158</v>
      </c>
      <c r="B72" s="30" t="s">
        <v>162</v>
      </c>
      <c r="C72" s="487" t="s">
        <v>258</v>
      </c>
      <c r="D72" s="488"/>
      <c r="E72" s="489"/>
      <c r="F72" s="4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</row>
    <row r="73" spans="1:28" ht="12.75" customHeight="1">
      <c r="A73" s="29" t="s">
        <v>416</v>
      </c>
      <c r="B73" s="30" t="s">
        <v>164</v>
      </c>
      <c r="C73" s="487" t="s">
        <v>258</v>
      </c>
      <c r="D73" s="488"/>
      <c r="E73" s="489"/>
      <c r="F73" s="4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</row>
    <row r="74" spans="1:28" ht="12.75" customHeight="1">
      <c r="A74" s="29" t="s">
        <v>161</v>
      </c>
      <c r="B74" s="30" t="s">
        <v>163</v>
      </c>
      <c r="C74" s="487" t="s">
        <v>258</v>
      </c>
      <c r="D74" s="488" t="s">
        <v>258</v>
      </c>
      <c r="E74" s="489"/>
      <c r="F74" s="4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</row>
    <row r="75" spans="1:28" ht="12.75" customHeight="1">
      <c r="A75" s="29" t="s">
        <v>417</v>
      </c>
      <c r="B75" s="30" t="s">
        <v>259</v>
      </c>
      <c r="C75" s="487" t="s">
        <v>258</v>
      </c>
      <c r="D75" s="488"/>
      <c r="E75" s="489"/>
      <c r="F75" s="4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</row>
    <row r="76" spans="1:28" ht="12.75" customHeight="1">
      <c r="A76" s="29" t="s">
        <v>418</v>
      </c>
      <c r="B76" s="30" t="s">
        <v>160</v>
      </c>
      <c r="C76" s="487" t="s">
        <v>258</v>
      </c>
      <c r="D76" s="488"/>
      <c r="E76" s="489"/>
      <c r="F76" s="4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</row>
    <row r="77" spans="1:28" ht="12.75" customHeight="1">
      <c r="A77" s="29" t="s">
        <v>165</v>
      </c>
      <c r="B77" s="30" t="s">
        <v>166</v>
      </c>
      <c r="C77" s="487" t="s">
        <v>258</v>
      </c>
      <c r="D77" s="488"/>
      <c r="E77" s="489"/>
      <c r="F77" s="4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</row>
    <row r="78" spans="1:28" ht="12.75" customHeight="1">
      <c r="A78" s="29" t="s">
        <v>214</v>
      </c>
      <c r="B78" s="30" t="s">
        <v>9</v>
      </c>
      <c r="C78" s="487" t="s">
        <v>258</v>
      </c>
      <c r="D78" s="488"/>
      <c r="E78" s="489"/>
      <c r="F78" s="4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</row>
    <row r="79" spans="1:28" ht="12.75" customHeight="1">
      <c r="A79" s="29" t="s">
        <v>532</v>
      </c>
      <c r="B79" s="30" t="s">
        <v>456</v>
      </c>
      <c r="C79" s="487" t="s">
        <v>258</v>
      </c>
      <c r="D79" s="488"/>
      <c r="E79" s="489"/>
      <c r="F79" s="4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</row>
    <row r="80" spans="1:28" ht="12.75" customHeight="1">
      <c r="A80" s="29" t="s">
        <v>366</v>
      </c>
      <c r="B80" s="30" t="s">
        <v>535</v>
      </c>
      <c r="C80" s="487" t="s">
        <v>258</v>
      </c>
      <c r="D80" s="488"/>
      <c r="E80" s="489"/>
      <c r="F80" s="4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</row>
    <row r="81" spans="1:28" ht="12.75" customHeight="1">
      <c r="A81" s="142" t="s">
        <v>367</v>
      </c>
      <c r="B81" s="143" t="s">
        <v>364</v>
      </c>
      <c r="C81" s="487" t="s">
        <v>365</v>
      </c>
      <c r="D81" s="488"/>
      <c r="E81" s="489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</row>
    <row r="82" spans="1:28" ht="12.75" hidden="1" customHeight="1">
      <c r="A82" s="29"/>
      <c r="B82" s="30"/>
      <c r="C82" s="487"/>
      <c r="D82" s="488"/>
      <c r="E82" s="489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</row>
    <row r="83" spans="1:28" ht="12.75" hidden="1" customHeight="1">
      <c r="A83" s="29"/>
      <c r="B83" s="30"/>
      <c r="C83" s="487"/>
      <c r="D83" s="488"/>
      <c r="E83" s="489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</row>
    <row r="84" spans="1:28" ht="12.75" hidden="1" customHeight="1">
      <c r="A84" s="29"/>
      <c r="B84" s="30"/>
      <c r="C84" s="487"/>
      <c r="D84" s="488"/>
      <c r="E84" s="489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</row>
    <row r="85" spans="1:28" ht="12.75" customHeight="1">
      <c r="A85" s="29" t="s">
        <v>419</v>
      </c>
      <c r="B85" s="30" t="s">
        <v>170</v>
      </c>
      <c r="C85" s="487" t="s">
        <v>169</v>
      </c>
      <c r="D85" s="488"/>
      <c r="E85" s="489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</row>
    <row r="86" spans="1:28" ht="12.75" customHeight="1">
      <c r="A86" s="29" t="s">
        <v>420</v>
      </c>
      <c r="B86" s="30" t="s">
        <v>171</v>
      </c>
      <c r="C86" s="487" t="s">
        <v>169</v>
      </c>
      <c r="D86" s="488"/>
      <c r="E86" s="489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</row>
    <row r="87" spans="1:28" ht="12.75" customHeight="1">
      <c r="A87" s="29" t="s">
        <v>421</v>
      </c>
      <c r="B87" s="30" t="s">
        <v>172</v>
      </c>
      <c r="C87" s="487" t="s">
        <v>169</v>
      </c>
      <c r="D87" s="488"/>
      <c r="E87" s="489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</row>
    <row r="88" spans="1:28" ht="12.75" customHeight="1">
      <c r="A88" s="29" t="s">
        <v>422</v>
      </c>
      <c r="B88" s="30" t="s">
        <v>173</v>
      </c>
      <c r="C88" s="487" t="s">
        <v>169</v>
      </c>
      <c r="D88" s="488"/>
      <c r="E88" s="489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</row>
    <row r="89" spans="1:28" ht="12.75" customHeight="1">
      <c r="A89" s="29" t="s">
        <v>24</v>
      </c>
      <c r="B89" s="30" t="s">
        <v>23</v>
      </c>
      <c r="C89" s="487" t="s">
        <v>169</v>
      </c>
      <c r="D89" s="488"/>
      <c r="E89" s="489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</row>
    <row r="90" spans="1:28" ht="12.75" customHeight="1">
      <c r="A90" s="3"/>
      <c r="B90" s="3"/>
      <c r="C90" s="3"/>
      <c r="D90" s="3"/>
      <c r="E90" s="3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</row>
    <row r="91" spans="1:28" ht="12.75" hidden="1" customHeight="1">
      <c r="A91" s="3"/>
      <c r="B91" s="3"/>
      <c r="C91" s="3"/>
      <c r="D91" s="3"/>
      <c r="E91" s="3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</row>
    <row r="92" spans="1:28" ht="12.75" hidden="1" customHeight="1">
      <c r="A92" s="3"/>
      <c r="B92" s="3"/>
      <c r="C92" s="3"/>
      <c r="D92" s="3"/>
      <c r="E92" s="3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</row>
    <row r="93" spans="1:28" ht="12.75" hidden="1" customHeight="1">
      <c r="A93" s="3"/>
      <c r="B93" s="3"/>
      <c r="C93" s="3"/>
      <c r="D93" s="3"/>
      <c r="E93" s="3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</row>
    <row r="94" spans="1:28" ht="17.25" customHeight="1">
      <c r="A94" s="490" t="s">
        <v>181</v>
      </c>
      <c r="B94" s="490"/>
      <c r="C94" s="490"/>
      <c r="D94" s="491"/>
      <c r="E94" s="491"/>
      <c r="F94" s="4"/>
      <c r="G94" s="22"/>
      <c r="H94" s="138" t="s">
        <v>450</v>
      </c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</row>
    <row r="95" spans="1:28" ht="12.75" customHeight="1">
      <c r="A95" s="34" t="s">
        <v>180</v>
      </c>
      <c r="B95" s="33" t="s">
        <v>22</v>
      </c>
      <c r="C95" s="487" t="s">
        <v>183</v>
      </c>
      <c r="D95" s="488"/>
      <c r="E95" s="488"/>
      <c r="G95" s="22"/>
      <c r="H95" s="22" t="s">
        <v>65</v>
      </c>
      <c r="I95" s="517" t="s">
        <v>455</v>
      </c>
      <c r="J95" s="518"/>
      <c r="K95" s="518"/>
      <c r="L95" s="518"/>
      <c r="M95" s="519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</row>
    <row r="96" spans="1:28" ht="12.75" customHeight="1">
      <c r="A96" s="34" t="s">
        <v>97</v>
      </c>
      <c r="B96" s="33" t="s">
        <v>78</v>
      </c>
      <c r="C96" s="487" t="s">
        <v>210</v>
      </c>
      <c r="D96" s="488"/>
      <c r="E96" s="488"/>
      <c r="G96" s="22"/>
      <c r="H96" s="133" t="s">
        <v>454</v>
      </c>
      <c r="I96" s="132">
        <v>1</v>
      </c>
      <c r="J96" s="132">
        <v>2</v>
      </c>
      <c r="K96" s="132">
        <v>3</v>
      </c>
      <c r="L96" s="132">
        <v>4</v>
      </c>
      <c r="M96" s="132">
        <v>5</v>
      </c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</row>
    <row r="97" spans="1:28" ht="12.75" customHeight="1">
      <c r="A97" s="34" t="s">
        <v>11</v>
      </c>
      <c r="B97" s="33"/>
      <c r="C97" s="487" t="s">
        <v>211</v>
      </c>
      <c r="D97" s="488"/>
      <c r="E97" s="488"/>
      <c r="G97" s="22"/>
      <c r="H97" s="132">
        <v>1</v>
      </c>
      <c r="I97" s="134">
        <f>$I$96*H97</f>
        <v>1</v>
      </c>
      <c r="J97" s="134">
        <f>$J$96*I97</f>
        <v>2</v>
      </c>
      <c r="K97" s="135">
        <f>$K$96*H97</f>
        <v>3</v>
      </c>
      <c r="L97" s="135">
        <f>$L$96*H97</f>
        <v>4</v>
      </c>
      <c r="M97" s="139">
        <f>$M$96*H97</f>
        <v>5</v>
      </c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</row>
    <row r="98" spans="1:28" ht="12.75" customHeight="1">
      <c r="A98" s="34" t="s">
        <v>182</v>
      </c>
      <c r="B98" s="33" t="s">
        <v>495</v>
      </c>
      <c r="C98" s="487" t="s">
        <v>402</v>
      </c>
      <c r="D98" s="488"/>
      <c r="E98" s="488"/>
      <c r="G98" s="22"/>
      <c r="H98" s="132">
        <v>2</v>
      </c>
      <c r="I98" s="134">
        <f>$I$96*H98</f>
        <v>2</v>
      </c>
      <c r="J98" s="135">
        <f>$J$96*I98</f>
        <v>4</v>
      </c>
      <c r="K98" s="139">
        <f>$K$96*H98</f>
        <v>6</v>
      </c>
      <c r="L98" s="139">
        <f>$L$96*H98</f>
        <v>8</v>
      </c>
      <c r="M98" s="136">
        <f>$M$96*H98</f>
        <v>10</v>
      </c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</row>
    <row r="99" spans="1:28" ht="12.75" customHeight="1">
      <c r="A99" s="34" t="s">
        <v>96</v>
      </c>
      <c r="B99" s="33"/>
      <c r="C99" s="487"/>
      <c r="D99" s="488"/>
      <c r="E99" s="488"/>
      <c r="G99" s="22"/>
      <c r="H99" s="132">
        <v>3</v>
      </c>
      <c r="I99" s="135">
        <f>$I$96*H99</f>
        <v>3</v>
      </c>
      <c r="J99" s="139">
        <f>$J$96*I99</f>
        <v>6</v>
      </c>
      <c r="K99" s="139">
        <f>$K$96*H99</f>
        <v>9</v>
      </c>
      <c r="L99" s="136">
        <f>$L$96*H99</f>
        <v>12</v>
      </c>
      <c r="M99" s="136">
        <f>$M$96*H99</f>
        <v>15</v>
      </c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</row>
    <row r="100" spans="1:28" ht="12.75" customHeight="1">
      <c r="A100" s="520" t="s">
        <v>431</v>
      </c>
      <c r="B100" s="521"/>
      <c r="C100" s="521"/>
      <c r="D100" s="521"/>
      <c r="E100" s="521"/>
      <c r="G100" s="22"/>
      <c r="H100" s="132">
        <v>4</v>
      </c>
      <c r="I100" s="135">
        <f>$I$96*H100</f>
        <v>4</v>
      </c>
      <c r="J100" s="139">
        <f>$J$96*I100</f>
        <v>8</v>
      </c>
      <c r="K100" s="136">
        <f>$K$96*H100</f>
        <v>12</v>
      </c>
      <c r="L100" s="136">
        <f>$L$96*H100</f>
        <v>16</v>
      </c>
      <c r="M100" s="137">
        <f>$M$96*H100</f>
        <v>20</v>
      </c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</row>
    <row r="101" spans="1:28" ht="12.75" customHeight="1">
      <c r="A101" s="34" t="s">
        <v>433</v>
      </c>
      <c r="B101" s="85" t="s">
        <v>152</v>
      </c>
      <c r="C101" s="487" t="s">
        <v>401</v>
      </c>
      <c r="D101" s="488"/>
      <c r="E101" s="488"/>
      <c r="G101" s="22"/>
      <c r="H101" s="132">
        <v>5</v>
      </c>
      <c r="I101" s="139">
        <f>$I$96*H101</f>
        <v>5</v>
      </c>
      <c r="J101" s="136">
        <f>$J$96*I101</f>
        <v>10</v>
      </c>
      <c r="K101" s="136">
        <f>$K$96*H101</f>
        <v>15</v>
      </c>
      <c r="L101" s="137">
        <f>$L$96*H101</f>
        <v>20</v>
      </c>
      <c r="M101" s="137">
        <f>$M$96*H101</f>
        <v>25</v>
      </c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</row>
    <row r="102" spans="1:28" ht="12.75" customHeight="1">
      <c r="A102" s="34" t="s">
        <v>434</v>
      </c>
      <c r="B102" s="85" t="s">
        <v>153</v>
      </c>
      <c r="C102" s="487" t="s">
        <v>401</v>
      </c>
      <c r="D102" s="488"/>
      <c r="E102" s="488"/>
      <c r="G102" s="22"/>
      <c r="H102" s="23" t="s">
        <v>451</v>
      </c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</row>
    <row r="103" spans="1:28" ht="12.75" customHeight="1">
      <c r="A103" s="34" t="s">
        <v>158</v>
      </c>
      <c r="B103" s="85" t="s">
        <v>154</v>
      </c>
      <c r="C103" s="487" t="s">
        <v>401</v>
      </c>
      <c r="D103" s="488"/>
      <c r="E103" s="488"/>
      <c r="G103" s="22"/>
      <c r="H103" s="22" t="s">
        <v>452</v>
      </c>
      <c r="I103" s="22"/>
      <c r="J103" s="22"/>
      <c r="K103" s="22" t="s">
        <v>453</v>
      </c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</row>
    <row r="104" spans="1:28" ht="12.75" customHeight="1">
      <c r="A104" s="34" t="s">
        <v>284</v>
      </c>
      <c r="B104" s="85" t="s">
        <v>155</v>
      </c>
      <c r="C104" s="487" t="s">
        <v>401</v>
      </c>
      <c r="D104" s="488"/>
      <c r="E104" s="488"/>
      <c r="G104" s="22"/>
      <c r="H104" s="22" t="s">
        <v>66</v>
      </c>
      <c r="I104" s="22"/>
      <c r="J104" s="22"/>
      <c r="K104" s="134" t="s">
        <v>438</v>
      </c>
      <c r="L104" s="134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</row>
    <row r="105" spans="1:28" ht="12.75" customHeight="1">
      <c r="A105" s="34" t="s">
        <v>165</v>
      </c>
      <c r="B105" s="85" t="s">
        <v>156</v>
      </c>
      <c r="C105" s="487" t="s">
        <v>401</v>
      </c>
      <c r="D105" s="488"/>
      <c r="E105" s="488"/>
      <c r="G105" s="22"/>
      <c r="H105" s="22" t="s">
        <v>439</v>
      </c>
      <c r="I105" s="22"/>
      <c r="J105" s="22"/>
      <c r="K105" s="135" t="s">
        <v>440</v>
      </c>
      <c r="L105" s="135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</row>
    <row r="106" spans="1:28" ht="12.75" customHeight="1">
      <c r="A106" s="34" t="s">
        <v>435</v>
      </c>
      <c r="B106" s="85" t="s">
        <v>145</v>
      </c>
      <c r="C106" s="487" t="s">
        <v>401</v>
      </c>
      <c r="D106" s="488"/>
      <c r="E106" s="488"/>
      <c r="G106" s="22"/>
      <c r="H106" s="22" t="s">
        <v>441</v>
      </c>
      <c r="I106" s="22"/>
      <c r="J106" s="22"/>
      <c r="K106" s="139" t="s">
        <v>442</v>
      </c>
      <c r="L106" s="139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</row>
    <row r="107" spans="1:28" ht="12.75" customHeight="1">
      <c r="A107" s="34" t="s">
        <v>436</v>
      </c>
      <c r="B107" s="85" t="s">
        <v>146</v>
      </c>
      <c r="C107" s="487" t="s">
        <v>401</v>
      </c>
      <c r="D107" s="488"/>
      <c r="E107" s="488"/>
      <c r="G107" s="22"/>
      <c r="H107" s="22" t="s">
        <v>443</v>
      </c>
      <c r="I107" s="22"/>
      <c r="J107" s="22"/>
      <c r="K107" s="136" t="s">
        <v>444</v>
      </c>
      <c r="L107" s="136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</row>
    <row r="108" spans="1:28" ht="12.75" customHeight="1">
      <c r="A108" s="34" t="s">
        <v>48</v>
      </c>
      <c r="B108" s="101" t="s">
        <v>46</v>
      </c>
      <c r="C108" s="487" t="s">
        <v>47</v>
      </c>
      <c r="D108" s="488"/>
      <c r="E108" s="488"/>
      <c r="G108" s="22"/>
      <c r="H108" s="22" t="s">
        <v>445</v>
      </c>
      <c r="I108" s="22"/>
      <c r="J108" s="22"/>
      <c r="K108" s="140" t="s">
        <v>446</v>
      </c>
      <c r="L108" s="140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</row>
    <row r="109" spans="1:28" ht="12.75" customHeight="1">
      <c r="A109" s="520" t="s">
        <v>432</v>
      </c>
      <c r="B109" s="521"/>
      <c r="C109" s="521"/>
      <c r="D109" s="521"/>
      <c r="E109" s="521"/>
      <c r="G109" s="22"/>
      <c r="H109" s="138" t="s">
        <v>449</v>
      </c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</row>
    <row r="110" spans="1:28" ht="12.75" customHeight="1">
      <c r="A110" s="34" t="s">
        <v>1</v>
      </c>
      <c r="B110" s="85" t="s">
        <v>153</v>
      </c>
      <c r="C110" s="487" t="s">
        <v>401</v>
      </c>
      <c r="D110" s="488"/>
      <c r="E110" s="488"/>
      <c r="G110" s="22"/>
      <c r="H110" s="22" t="s">
        <v>448</v>
      </c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</row>
    <row r="111" spans="1:28" ht="12.75" customHeight="1">
      <c r="A111" s="34" t="s">
        <v>437</v>
      </c>
      <c r="B111" s="85" t="s">
        <v>154</v>
      </c>
      <c r="C111" s="487" t="s">
        <v>401</v>
      </c>
      <c r="D111" s="488"/>
      <c r="E111" s="488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</row>
    <row r="112" spans="1:28" ht="12.75" customHeight="1">
      <c r="A112" s="34" t="s">
        <v>2</v>
      </c>
      <c r="B112" s="85" t="s">
        <v>141</v>
      </c>
      <c r="C112" s="487" t="s">
        <v>401</v>
      </c>
      <c r="D112" s="488"/>
      <c r="E112" s="488"/>
      <c r="G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</row>
    <row r="113" spans="1:28" ht="12.75" customHeight="1">
      <c r="A113" s="34" t="s">
        <v>3</v>
      </c>
      <c r="B113" s="85" t="s">
        <v>155</v>
      </c>
      <c r="C113" s="487" t="s">
        <v>401</v>
      </c>
      <c r="D113" s="488"/>
      <c r="E113" s="488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</row>
    <row r="114" spans="1:28" ht="12.75" customHeight="1">
      <c r="A114" s="34" t="s">
        <v>4</v>
      </c>
      <c r="B114" s="85" t="s">
        <v>144</v>
      </c>
      <c r="C114" s="487" t="s">
        <v>401</v>
      </c>
      <c r="D114" s="488"/>
      <c r="E114" s="488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</row>
    <row r="115" spans="1:28" ht="12.75" customHeight="1">
      <c r="A115" s="520" t="s">
        <v>397</v>
      </c>
      <c r="B115" s="521"/>
      <c r="C115" s="521"/>
      <c r="D115" s="521"/>
      <c r="E115" s="521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</row>
    <row r="116" spans="1:28" ht="12.75" customHeight="1">
      <c r="A116" s="34" t="s">
        <v>398</v>
      </c>
      <c r="B116" s="85">
        <v>4</v>
      </c>
      <c r="C116" s="487" t="s">
        <v>399</v>
      </c>
      <c r="D116" s="488"/>
      <c r="E116" s="488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</row>
    <row r="117" spans="1:28" ht="12.75" customHeight="1">
      <c r="A117" s="34" t="s">
        <v>400</v>
      </c>
      <c r="B117" s="85">
        <v>5</v>
      </c>
      <c r="C117" s="487" t="s">
        <v>399</v>
      </c>
      <c r="D117" s="488"/>
      <c r="E117" s="488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</row>
    <row r="118" spans="1:28" ht="12.75" customHeight="1">
      <c r="A118" s="34" t="s">
        <v>404</v>
      </c>
      <c r="B118" s="107"/>
      <c r="C118" s="487" t="s">
        <v>403</v>
      </c>
      <c r="D118" s="488"/>
      <c r="E118" s="488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</row>
    <row r="119" spans="1:28" ht="12.75" customHeight="1">
      <c r="A119" s="34" t="s">
        <v>89</v>
      </c>
      <c r="B119" s="85" t="s">
        <v>90</v>
      </c>
      <c r="C119" s="487" t="s">
        <v>402</v>
      </c>
      <c r="D119" s="488"/>
      <c r="E119" s="488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</row>
    <row r="120" spans="1:28" ht="12.75" hidden="1" customHeight="1">
      <c r="A120" s="34"/>
      <c r="B120" s="85"/>
      <c r="C120" s="105"/>
      <c r="D120" s="106"/>
      <c r="E120" s="106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</row>
    <row r="121" spans="1:28" ht="12.75" hidden="1" customHeight="1">
      <c r="A121" s="34"/>
      <c r="B121" s="85"/>
      <c r="C121" s="487"/>
      <c r="D121" s="488"/>
      <c r="E121" s="488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</row>
    <row r="122" spans="1:28" ht="12.75" hidden="1" customHeight="1">
      <c r="A122" s="208"/>
      <c r="B122" s="209"/>
      <c r="C122" s="487" t="s">
        <v>382</v>
      </c>
      <c r="D122" s="488"/>
      <c r="E122" s="488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</row>
    <row r="123" spans="1:28" ht="12.75" customHeight="1">
      <c r="A123" s="210"/>
      <c r="B123" s="210"/>
      <c r="C123" s="3"/>
      <c r="D123" s="3"/>
      <c r="E123" s="3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</row>
    <row r="124" spans="1:28" ht="15" customHeight="1">
      <c r="A124" s="490" t="s">
        <v>459</v>
      </c>
      <c r="B124" s="490"/>
      <c r="C124" s="490"/>
      <c r="D124" s="491"/>
      <c r="E124" s="491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</row>
    <row r="125" spans="1:28" ht="15" customHeight="1">
      <c r="A125" s="83" t="s">
        <v>428</v>
      </c>
      <c r="B125" s="84" t="s">
        <v>76</v>
      </c>
      <c r="C125" s="515"/>
      <c r="D125" s="516"/>
      <c r="E125" s="516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</row>
    <row r="126" spans="1:28" ht="17.25" customHeight="1">
      <c r="A126" s="83" t="s">
        <v>430</v>
      </c>
      <c r="B126" s="84"/>
      <c r="C126" s="515"/>
      <c r="D126" s="516"/>
      <c r="E126" s="516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</row>
    <row r="127" spans="1:28" ht="15" customHeight="1">
      <c r="A127" s="83" t="s">
        <v>429</v>
      </c>
      <c r="B127" s="84" t="s">
        <v>77</v>
      </c>
      <c r="C127" s="515"/>
      <c r="D127" s="516"/>
      <c r="E127" s="516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</row>
    <row r="128" spans="1:28" ht="15" customHeight="1">
      <c r="A128" s="83" t="s">
        <v>287</v>
      </c>
      <c r="B128" s="111" t="s">
        <v>45</v>
      </c>
      <c r="C128" s="515"/>
      <c r="D128" s="516"/>
      <c r="E128" s="516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</row>
    <row r="129" spans="14:28" ht="12.75" customHeight="1"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</row>
    <row r="200" spans="2:2" ht="12.75" hidden="1" customHeight="1">
      <c r="B200" t="s">
        <v>536</v>
      </c>
    </row>
    <row r="201" spans="2:2" ht="12.75" hidden="1" customHeight="1">
      <c r="B201" t="s">
        <v>537</v>
      </c>
    </row>
    <row r="202" spans="2:2" ht="12.75" hidden="1" customHeight="1">
      <c r="B202" t="s">
        <v>538</v>
      </c>
    </row>
    <row r="203" spans="2:2" ht="12.75" hidden="1" customHeight="1">
      <c r="B203" t="s">
        <v>539</v>
      </c>
    </row>
  </sheetData>
  <mergeCells count="96">
    <mergeCell ref="I95:M95"/>
    <mergeCell ref="C119:E119"/>
    <mergeCell ref="A115:E115"/>
    <mergeCell ref="C116:E116"/>
    <mergeCell ref="C117:E117"/>
    <mergeCell ref="C118:E118"/>
    <mergeCell ref="C99:E99"/>
    <mergeCell ref="C97:E97"/>
    <mergeCell ref="A100:E100"/>
    <mergeCell ref="A109:E109"/>
    <mergeCell ref="C112:E112"/>
    <mergeCell ref="C113:E113"/>
    <mergeCell ref="C114:E114"/>
    <mergeCell ref="C101:E101"/>
    <mergeCell ref="C102:E102"/>
    <mergeCell ref="C103:E103"/>
    <mergeCell ref="C128:E128"/>
    <mergeCell ref="A124:E124"/>
    <mergeCell ref="C125:E125"/>
    <mergeCell ref="C126:E126"/>
    <mergeCell ref="C127:E127"/>
    <mergeCell ref="C121:E121"/>
    <mergeCell ref="C122:E122"/>
    <mergeCell ref="C110:E110"/>
    <mergeCell ref="C111:E111"/>
    <mergeCell ref="C106:E106"/>
    <mergeCell ref="C107:E107"/>
    <mergeCell ref="C108:E108"/>
    <mergeCell ref="C105:E105"/>
    <mergeCell ref="C98:E98"/>
    <mergeCell ref="C81:E81"/>
    <mergeCell ref="C82:E82"/>
    <mergeCell ref="C83:E83"/>
    <mergeCell ref="C89:E89"/>
    <mergeCell ref="A94:E94"/>
    <mergeCell ref="C96:E96"/>
    <mergeCell ref="C86:E86"/>
    <mergeCell ref="C87:E87"/>
    <mergeCell ref="C85:E85"/>
    <mergeCell ref="C95:E95"/>
    <mergeCell ref="C88:E88"/>
    <mergeCell ref="C84:E84"/>
    <mergeCell ref="C104:E104"/>
    <mergeCell ref="B20:D20"/>
    <mergeCell ref="A25:E25"/>
    <mergeCell ref="B11:D11"/>
    <mergeCell ref="B21:D21"/>
    <mergeCell ref="A18:E18"/>
    <mergeCell ref="A19:E19"/>
    <mergeCell ref="B22:D22"/>
    <mergeCell ref="B23:D23"/>
    <mergeCell ref="B1:E1"/>
    <mergeCell ref="A2:E2"/>
    <mergeCell ref="B4:D4"/>
    <mergeCell ref="B3:E3"/>
    <mergeCell ref="B7:D7"/>
    <mergeCell ref="B8:D8"/>
    <mergeCell ref="B5:D5"/>
    <mergeCell ref="B6:D6"/>
    <mergeCell ref="B9:D9"/>
    <mergeCell ref="A16:E17"/>
    <mergeCell ref="B13:D13"/>
    <mergeCell ref="B14:D14"/>
    <mergeCell ref="B12:D12"/>
    <mergeCell ref="B10:D10"/>
    <mergeCell ref="B15:D15"/>
    <mergeCell ref="C79:E79"/>
    <mergeCell ref="C80:E80"/>
    <mergeCell ref="C66:E66"/>
    <mergeCell ref="C74:E74"/>
    <mergeCell ref="C77:E77"/>
    <mergeCell ref="C71:E71"/>
    <mergeCell ref="C72:E72"/>
    <mergeCell ref="C67:E67"/>
    <mergeCell ref="C70:E70"/>
    <mergeCell ref="C65:E65"/>
    <mergeCell ref="A56:E58"/>
    <mergeCell ref="C78:E78"/>
    <mergeCell ref="C73:E73"/>
    <mergeCell ref="C75:E75"/>
    <mergeCell ref="C76:E76"/>
    <mergeCell ref="C69:E69"/>
    <mergeCell ref="C68:E68"/>
    <mergeCell ref="A41:E41"/>
    <mergeCell ref="A24:E24"/>
    <mergeCell ref="A33:E33"/>
    <mergeCell ref="C64:E64"/>
    <mergeCell ref="A40:E40"/>
    <mergeCell ref="A49:E49"/>
    <mergeCell ref="C61:E61"/>
    <mergeCell ref="A59:E59"/>
    <mergeCell ref="C60:E60"/>
    <mergeCell ref="A48:E48"/>
    <mergeCell ref="C62:E62"/>
    <mergeCell ref="C63:E63"/>
    <mergeCell ref="A32:E32"/>
  </mergeCells>
  <phoneticPr fontId="7" type="noConversion"/>
  <pageMargins left="0.39" right="0.26" top="0.66" bottom="0.71" header="0.5" footer="0.5"/>
  <pageSetup paperSize="65" scale="80" orientation="portrait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162" r:id="rId4" name="RiskModelManual">
          <controlPr defaultSize="0" autoLine="0" autoPict="0" r:id="rId5">
            <anchor moveWithCells="1">
              <from>
                <xdr:col>1</xdr:col>
                <xdr:colOff>2667000</xdr:colOff>
                <xdr:row>14</xdr:row>
                <xdr:rowOff>19050</xdr:rowOff>
              </from>
              <to>
                <xdr:col>1</xdr:col>
                <xdr:colOff>3286125</xdr:colOff>
                <xdr:row>15</xdr:row>
                <xdr:rowOff>0</xdr:rowOff>
              </to>
            </anchor>
          </controlPr>
        </control>
      </mc:Choice>
      <mc:Fallback>
        <control shapeId="6162" r:id="rId4" name="RiskModelManual"/>
      </mc:Fallback>
    </mc:AlternateContent>
    <mc:AlternateContent xmlns:mc="http://schemas.openxmlformats.org/markup-compatibility/2006">
      <mc:Choice Requires="x14">
        <control shapeId="6161" r:id="rId6" name="RiskModelStandard">
          <controlPr defaultSize="0" autoLine="0" r:id="rId7">
            <anchor moveWithCells="1">
              <from>
                <xdr:col>1</xdr:col>
                <xdr:colOff>1905000</xdr:colOff>
                <xdr:row>14</xdr:row>
                <xdr:rowOff>19050</xdr:rowOff>
              </from>
              <to>
                <xdr:col>1</xdr:col>
                <xdr:colOff>2619375</xdr:colOff>
                <xdr:row>15</xdr:row>
                <xdr:rowOff>0</xdr:rowOff>
              </to>
            </anchor>
          </controlPr>
        </control>
      </mc:Choice>
      <mc:Fallback>
        <control shapeId="6161" r:id="rId6" name="RiskModelStandard"/>
      </mc:Fallback>
    </mc:AlternateContent>
    <mc:AlternateContent xmlns:mc="http://schemas.openxmlformats.org/markup-compatibility/2006">
      <mc:Choice Requires="x14">
        <control shapeId="6159" r:id="rId8" name="Auth_Custom">
          <controlPr defaultSize="0" autoLine="0" r:id="rId9">
            <anchor moveWithCells="1" sizeWithCells="1">
              <from>
                <xdr:col>1</xdr:col>
                <xdr:colOff>1133475</xdr:colOff>
                <xdr:row>125</xdr:row>
                <xdr:rowOff>19050</xdr:rowOff>
              </from>
              <to>
                <xdr:col>1</xdr:col>
                <xdr:colOff>2028825</xdr:colOff>
                <xdr:row>125</xdr:row>
                <xdr:rowOff>209550</xdr:rowOff>
              </to>
            </anchor>
          </controlPr>
        </control>
      </mc:Choice>
      <mc:Fallback>
        <control shapeId="6159" r:id="rId8" name="Auth_Custom"/>
      </mc:Fallback>
    </mc:AlternateContent>
    <mc:AlternateContent xmlns:mc="http://schemas.openxmlformats.org/markup-compatibility/2006">
      <mc:Choice Requires="x14">
        <control shapeId="6148" r:id="rId10" name="Auth_DB">
          <controlPr defaultSize="0" autoLine="0" r:id="rId11">
            <anchor moveWithCells="1" sizeWithCells="1">
              <from>
                <xdr:col>1</xdr:col>
                <xdr:colOff>590550</xdr:colOff>
                <xdr:row>125</xdr:row>
                <xdr:rowOff>9525</xdr:rowOff>
              </from>
              <to>
                <xdr:col>1</xdr:col>
                <xdr:colOff>1143000</xdr:colOff>
                <xdr:row>125</xdr:row>
                <xdr:rowOff>200025</xdr:rowOff>
              </to>
            </anchor>
          </controlPr>
        </control>
      </mc:Choice>
      <mc:Fallback>
        <control shapeId="6148" r:id="rId10" name="Auth_DB"/>
      </mc:Fallback>
    </mc:AlternateContent>
    <mc:AlternateContent xmlns:mc="http://schemas.openxmlformats.org/markup-compatibility/2006">
      <mc:Choice Requires="x14">
        <control shapeId="6146" r:id="rId12" name="Auth_NT">
          <controlPr defaultSize="0" autoLine="0" autoPict="0" r:id="rId13">
            <anchor moveWithCells="1" sizeWithCells="1">
              <from>
                <xdr:col>1</xdr:col>
                <xdr:colOff>9525</xdr:colOff>
                <xdr:row>125</xdr:row>
                <xdr:rowOff>19050</xdr:rowOff>
              </from>
              <to>
                <xdr:col>1</xdr:col>
                <xdr:colOff>600075</xdr:colOff>
                <xdr:row>125</xdr:row>
                <xdr:rowOff>200025</xdr:rowOff>
              </to>
            </anchor>
          </controlPr>
        </control>
      </mc:Choice>
      <mc:Fallback>
        <control shapeId="6146" r:id="rId12" name="Auth_NT"/>
      </mc:Fallback>
    </mc:AlternateContent>
    <mc:AlternateContent xmlns:mc="http://schemas.openxmlformats.org/markup-compatibility/2006">
      <mc:Choice Requires="x14">
        <control shapeId="6150" r:id="rId14" name="TestDBConnection">
          <controlPr defaultSize="0" autoLine="0" autoPict="0" r:id="rId15">
            <anchor moveWithCells="1" sizeWithCells="1">
              <from>
                <xdr:col>2</xdr:col>
                <xdr:colOff>0</xdr:colOff>
                <xdr:row>128</xdr:row>
                <xdr:rowOff>0</xdr:rowOff>
              </from>
              <to>
                <xdr:col>6</xdr:col>
                <xdr:colOff>0</xdr:colOff>
                <xdr:row>129</xdr:row>
                <xdr:rowOff>104775</xdr:rowOff>
              </to>
            </anchor>
          </controlPr>
        </control>
      </mc:Choice>
      <mc:Fallback>
        <control shapeId="6150" r:id="rId14" name="TestDBConnection"/>
      </mc:Fallback>
    </mc:AlternateContent>
  </control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2:B2"/>
  <sheetViews>
    <sheetView workbookViewId="0">
      <selection activeCell="B6" sqref="B6"/>
    </sheetView>
  </sheetViews>
  <sheetFormatPr defaultRowHeight="12.75"/>
  <cols>
    <col min="1" max="1" width="16.28515625" style="100" customWidth="1"/>
    <col min="2" max="2" width="15.85546875" style="100" customWidth="1"/>
    <col min="3" max="16384" width="9.140625" style="100"/>
  </cols>
  <sheetData>
    <row r="2" spans="1:2">
      <c r="A2" s="98" t="s">
        <v>44</v>
      </c>
      <c r="B2" s="99" t="s">
        <v>77</v>
      </c>
    </row>
  </sheetData>
  <phoneticPr fontId="7" type="noConversion"/>
  <pageMargins left="0.75" right="0.75" top="1" bottom="1" header="0.5" footer="0.5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I57"/>
  <sheetViews>
    <sheetView view="pageBreakPreview" topLeftCell="A4" zoomScale="85" zoomScaleNormal="70" workbookViewId="0">
      <selection activeCell="B11" sqref="B11:C11"/>
    </sheetView>
  </sheetViews>
  <sheetFormatPr defaultRowHeight="12.75"/>
  <cols>
    <col min="1" max="1" width="9.28515625" customWidth="1"/>
    <col min="2" max="2" width="12.5703125" customWidth="1"/>
    <col min="3" max="3" width="19.28515625" customWidth="1"/>
    <col min="4" max="4" width="24.5703125" customWidth="1"/>
    <col min="5" max="5" width="22.42578125" customWidth="1"/>
    <col min="6" max="6" width="24.7109375" customWidth="1"/>
    <col min="7" max="7" width="9" bestFit="1" customWidth="1"/>
    <col min="8" max="8" width="7.28515625" customWidth="1"/>
    <col min="9" max="9" width="8.28515625" customWidth="1"/>
  </cols>
  <sheetData>
    <row r="1" spans="1:9" ht="15.75">
      <c r="A1" s="97" t="s">
        <v>25</v>
      </c>
    </row>
    <row r="2" spans="1:9" ht="13.5" thickBot="1"/>
    <row r="3" spans="1:9" ht="31.5">
      <c r="A3" s="35" t="s">
        <v>184</v>
      </c>
      <c r="B3" s="36" t="s">
        <v>62</v>
      </c>
      <c r="C3" s="144" t="s">
        <v>517</v>
      </c>
      <c r="D3" s="36" t="s">
        <v>518</v>
      </c>
      <c r="E3" s="144" t="s">
        <v>185</v>
      </c>
      <c r="F3" s="144" t="s">
        <v>502</v>
      </c>
      <c r="G3" s="37" t="s">
        <v>174</v>
      </c>
      <c r="H3" s="37" t="s">
        <v>208</v>
      </c>
      <c r="I3" s="37" t="s">
        <v>63</v>
      </c>
    </row>
    <row r="4" spans="1:9" ht="24.75" customHeight="1" thickBot="1">
      <c r="A4" s="108" t="s">
        <v>186</v>
      </c>
      <c r="B4" s="40" t="s">
        <v>75</v>
      </c>
      <c r="C4" s="459" t="s">
        <v>187</v>
      </c>
      <c r="D4" s="522"/>
      <c r="E4" s="523" t="s">
        <v>185</v>
      </c>
      <c r="F4" s="524"/>
      <c r="G4" s="119">
        <v>1</v>
      </c>
      <c r="H4" s="119"/>
      <c r="I4" s="119"/>
    </row>
    <row r="5" spans="1:9" ht="30">
      <c r="A5" s="75"/>
      <c r="B5" s="76" t="s">
        <v>188</v>
      </c>
      <c r="C5" s="77" t="s">
        <v>189</v>
      </c>
      <c r="D5" s="77" t="s">
        <v>190</v>
      </c>
      <c r="E5" s="77" t="s">
        <v>191</v>
      </c>
      <c r="F5" s="78" t="s">
        <v>192</v>
      </c>
      <c r="G5" s="65"/>
      <c r="H5" s="66"/>
      <c r="I5" s="67"/>
    </row>
    <row r="6" spans="1:9" ht="33.75" customHeight="1">
      <c r="A6" s="73"/>
      <c r="B6" s="42" t="s">
        <v>164</v>
      </c>
      <c r="C6" s="43" t="s">
        <v>193</v>
      </c>
      <c r="D6" s="44" t="s">
        <v>26</v>
      </c>
      <c r="E6" s="44" t="s">
        <v>27</v>
      </c>
      <c r="F6" s="45" t="s">
        <v>28</v>
      </c>
      <c r="G6" s="68"/>
      <c r="H6" s="38"/>
      <c r="I6" s="69"/>
    </row>
    <row r="7" spans="1:9" ht="31.5" customHeight="1">
      <c r="A7" s="73"/>
      <c r="B7" s="46" t="s">
        <v>164</v>
      </c>
      <c r="C7" s="47" t="s">
        <v>194</v>
      </c>
      <c r="D7" s="44" t="s">
        <v>29</v>
      </c>
      <c r="E7" s="44" t="s">
        <v>30</v>
      </c>
      <c r="F7" s="45" t="s">
        <v>31</v>
      </c>
      <c r="G7" s="68"/>
      <c r="H7" s="38"/>
      <c r="I7" s="69"/>
    </row>
    <row r="8" spans="1:9" ht="25.5">
      <c r="A8" s="73"/>
      <c r="B8" s="50">
        <v>1</v>
      </c>
      <c r="C8" s="51" t="s">
        <v>195</v>
      </c>
      <c r="D8" s="44" t="s">
        <v>32</v>
      </c>
      <c r="E8" s="44" t="s">
        <v>33</v>
      </c>
      <c r="F8" s="45" t="s">
        <v>34</v>
      </c>
      <c r="G8" s="68"/>
      <c r="H8" s="38"/>
      <c r="I8" s="69"/>
    </row>
    <row r="9" spans="1:9" ht="25.5">
      <c r="A9" s="73"/>
      <c r="B9" s="109">
        <v>2</v>
      </c>
      <c r="C9" s="110" t="s">
        <v>196</v>
      </c>
      <c r="D9" s="44" t="s">
        <v>35</v>
      </c>
      <c r="E9" s="44" t="s">
        <v>36</v>
      </c>
      <c r="F9" s="45" t="s">
        <v>37</v>
      </c>
      <c r="G9" s="68"/>
      <c r="H9" s="38"/>
      <c r="I9" s="69"/>
    </row>
    <row r="10" spans="1:9" ht="25.5">
      <c r="A10" s="73"/>
      <c r="B10" s="50">
        <v>3</v>
      </c>
      <c r="C10" s="56" t="s">
        <v>195</v>
      </c>
      <c r="D10" s="44" t="s">
        <v>32</v>
      </c>
      <c r="E10" s="44" t="s">
        <v>33</v>
      </c>
      <c r="F10" s="45" t="s">
        <v>34</v>
      </c>
      <c r="G10" s="68"/>
      <c r="H10" s="38"/>
      <c r="I10" s="69"/>
    </row>
    <row r="11" spans="1:9" ht="52.5" customHeight="1">
      <c r="A11" s="73"/>
      <c r="B11" s="57" t="s">
        <v>197</v>
      </c>
      <c r="C11" s="58" t="s">
        <v>312</v>
      </c>
      <c r="D11" s="44" t="s">
        <v>38</v>
      </c>
      <c r="E11" s="44" t="s">
        <v>39</v>
      </c>
      <c r="F11" s="45" t="s">
        <v>37</v>
      </c>
      <c r="G11" s="68"/>
      <c r="H11" s="38"/>
      <c r="I11" s="69"/>
    </row>
    <row r="12" spans="1:9" ht="56.25" customHeight="1" thickBot="1">
      <c r="A12" s="74"/>
      <c r="B12" s="59" t="s">
        <v>199</v>
      </c>
      <c r="C12" s="60" t="s">
        <v>200</v>
      </c>
      <c r="D12" s="89" t="s">
        <v>40</v>
      </c>
      <c r="E12" s="89" t="s">
        <v>33</v>
      </c>
      <c r="F12" s="89" t="s">
        <v>41</v>
      </c>
      <c r="G12" s="62"/>
      <c r="H12" s="70"/>
      <c r="I12" s="71"/>
    </row>
    <row r="16" spans="1:9" ht="13.5" thickBot="1">
      <c r="A16" s="39" t="s">
        <v>186</v>
      </c>
      <c r="B16" s="40" t="s">
        <v>75</v>
      </c>
      <c r="C16" s="546" t="s">
        <v>201</v>
      </c>
      <c r="D16" s="547"/>
      <c r="E16" s="548"/>
      <c r="F16" s="549"/>
      <c r="G16" s="41"/>
      <c r="H16" s="41"/>
      <c r="I16" s="41"/>
    </row>
    <row r="17" spans="1:9" ht="30">
      <c r="A17" s="75"/>
      <c r="B17" s="76" t="s">
        <v>188</v>
      </c>
      <c r="C17" s="77" t="s">
        <v>189</v>
      </c>
      <c r="D17" s="77" t="s">
        <v>190</v>
      </c>
      <c r="E17" s="77" t="s">
        <v>191</v>
      </c>
      <c r="F17" s="78" t="s">
        <v>192</v>
      </c>
      <c r="G17" s="65"/>
      <c r="H17" s="66"/>
      <c r="I17" s="67"/>
    </row>
    <row r="18" spans="1:9" ht="25.5">
      <c r="A18" s="73"/>
      <c r="B18" s="42" t="s">
        <v>164</v>
      </c>
      <c r="C18" s="43" t="s">
        <v>193</v>
      </c>
      <c r="D18" s="44"/>
      <c r="E18" s="44"/>
      <c r="F18" s="45"/>
      <c r="G18" s="68"/>
      <c r="H18" s="38"/>
      <c r="I18" s="69"/>
    </row>
    <row r="19" spans="1:9">
      <c r="A19" s="73"/>
      <c r="B19" s="46" t="s">
        <v>164</v>
      </c>
      <c r="C19" s="47" t="s">
        <v>194</v>
      </c>
      <c r="D19" s="48"/>
      <c r="E19" s="48"/>
      <c r="F19" s="49"/>
      <c r="G19" s="68"/>
      <c r="H19" s="38"/>
      <c r="I19" s="69"/>
    </row>
    <row r="20" spans="1:9">
      <c r="A20" s="73"/>
      <c r="B20" s="50">
        <v>1</v>
      </c>
      <c r="C20" s="51" t="s">
        <v>195</v>
      </c>
      <c r="D20" s="48"/>
      <c r="E20" s="48"/>
      <c r="F20" s="49"/>
      <c r="G20" s="68"/>
      <c r="H20" s="38"/>
      <c r="I20" s="69"/>
    </row>
    <row r="21" spans="1:9">
      <c r="A21" s="73"/>
      <c r="B21" s="52">
        <v>2</v>
      </c>
      <c r="C21" s="53" t="s">
        <v>196</v>
      </c>
      <c r="D21" s="54"/>
      <c r="E21" s="54"/>
      <c r="F21" s="55"/>
      <c r="G21" s="68"/>
      <c r="H21" s="38"/>
      <c r="I21" s="69"/>
    </row>
    <row r="22" spans="1:9">
      <c r="A22" s="73"/>
      <c r="B22" s="50">
        <v>3</v>
      </c>
      <c r="C22" s="56" t="s">
        <v>195</v>
      </c>
      <c r="D22" s="48"/>
      <c r="E22" s="48"/>
      <c r="F22" s="49"/>
      <c r="G22" s="68"/>
      <c r="H22" s="38"/>
      <c r="I22" s="69"/>
    </row>
    <row r="23" spans="1:9" ht="51">
      <c r="A23" s="73"/>
      <c r="B23" s="63">
        <v>4</v>
      </c>
      <c r="C23" s="64" t="s">
        <v>202</v>
      </c>
      <c r="D23" s="48" t="s">
        <v>203</v>
      </c>
      <c r="E23" s="48" t="s">
        <v>204</v>
      </c>
      <c r="F23" s="49" t="s">
        <v>205</v>
      </c>
      <c r="G23" s="68"/>
      <c r="H23" s="38"/>
      <c r="I23" s="69"/>
    </row>
    <row r="24" spans="1:9" ht="51">
      <c r="A24" s="73"/>
      <c r="B24" s="63">
        <v>5</v>
      </c>
      <c r="C24" s="64" t="s">
        <v>206</v>
      </c>
      <c r="D24" s="48" t="s">
        <v>203</v>
      </c>
      <c r="E24" s="48" t="s">
        <v>207</v>
      </c>
      <c r="F24" s="49" t="s">
        <v>205</v>
      </c>
      <c r="G24" s="68"/>
      <c r="H24" s="38"/>
      <c r="I24" s="69"/>
    </row>
    <row r="25" spans="1:9" ht="13.5" thickBot="1">
      <c r="A25" s="74"/>
      <c r="B25" s="59" t="s">
        <v>199</v>
      </c>
      <c r="C25" s="60" t="s">
        <v>200</v>
      </c>
      <c r="D25" s="61"/>
      <c r="E25" s="61"/>
      <c r="F25" s="62"/>
      <c r="G25" s="62"/>
      <c r="H25" s="70"/>
      <c r="I25" s="71"/>
    </row>
    <row r="27" spans="1:9" ht="26.25" customHeight="1" thickBot="1">
      <c r="A27" s="39" t="s">
        <v>186</v>
      </c>
      <c r="B27" s="204" t="s">
        <v>75</v>
      </c>
      <c r="C27" s="546" t="s">
        <v>425</v>
      </c>
      <c r="D27" s="547"/>
      <c r="E27" s="548"/>
      <c r="F27" s="549"/>
      <c r="G27" s="41"/>
      <c r="H27" s="41"/>
      <c r="I27" s="41"/>
    </row>
    <row r="28" spans="1:9" ht="26.25" customHeight="1">
      <c r="A28" s="75"/>
      <c r="B28" s="76" t="s">
        <v>188</v>
      </c>
      <c r="C28" s="77" t="s">
        <v>499</v>
      </c>
      <c r="D28" s="77" t="s">
        <v>500</v>
      </c>
      <c r="E28" s="77" t="s">
        <v>501</v>
      </c>
      <c r="F28" s="78" t="s">
        <v>502</v>
      </c>
      <c r="G28" s="65"/>
      <c r="H28" s="66"/>
      <c r="I28" s="67"/>
    </row>
    <row r="29" spans="1:9" ht="26.25" customHeight="1">
      <c r="A29" s="73"/>
      <c r="B29" s="42" t="s">
        <v>164</v>
      </c>
      <c r="C29" s="43" t="s">
        <v>503</v>
      </c>
      <c r="D29" s="44"/>
      <c r="E29" s="44"/>
      <c r="F29" s="45"/>
      <c r="G29" s="68"/>
      <c r="H29" s="38"/>
      <c r="I29" s="69"/>
    </row>
    <row r="30" spans="1:9" ht="26.25" customHeight="1">
      <c r="A30" s="73"/>
      <c r="B30" s="46" t="s">
        <v>164</v>
      </c>
      <c r="C30" s="47" t="s">
        <v>194</v>
      </c>
      <c r="D30" s="48"/>
      <c r="E30" s="48"/>
      <c r="F30" s="49"/>
      <c r="G30" s="68"/>
      <c r="H30" s="38"/>
      <c r="I30" s="69"/>
    </row>
    <row r="31" spans="1:9" ht="26.25" customHeight="1">
      <c r="A31" s="73"/>
      <c r="B31" s="50">
        <v>1</v>
      </c>
      <c r="C31" s="51" t="s">
        <v>195</v>
      </c>
      <c r="D31" s="48"/>
      <c r="E31" s="48"/>
      <c r="F31" s="49"/>
      <c r="G31" s="68"/>
      <c r="H31" s="38"/>
      <c r="I31" s="69"/>
    </row>
    <row r="32" spans="1:9" ht="26.25" customHeight="1">
      <c r="A32" s="73"/>
      <c r="B32" s="52">
        <v>2</v>
      </c>
      <c r="C32" s="53" t="s">
        <v>196</v>
      </c>
      <c r="D32" s="54"/>
      <c r="E32" s="54"/>
      <c r="F32" s="55"/>
      <c r="G32" s="68"/>
      <c r="H32" s="38"/>
      <c r="I32" s="69"/>
    </row>
    <row r="33" spans="1:9" ht="26.25" customHeight="1">
      <c r="A33" s="73"/>
      <c r="B33" s="50">
        <v>3</v>
      </c>
      <c r="C33" s="56" t="s">
        <v>195</v>
      </c>
      <c r="D33" s="48"/>
      <c r="E33" s="48"/>
      <c r="F33" s="49"/>
      <c r="G33" s="68"/>
      <c r="H33" s="38"/>
      <c r="I33" s="69"/>
    </row>
    <row r="34" spans="1:9" ht="26.25" customHeight="1">
      <c r="A34" s="73"/>
      <c r="B34" s="109">
        <v>4</v>
      </c>
      <c r="C34" s="110" t="s">
        <v>426</v>
      </c>
      <c r="D34" s="48" t="s">
        <v>427</v>
      </c>
      <c r="E34" s="48"/>
      <c r="F34" s="49"/>
      <c r="G34" s="68"/>
      <c r="H34" s="38"/>
      <c r="I34" s="69"/>
    </row>
    <row r="35" spans="1:9" ht="26.25" customHeight="1">
      <c r="A35" s="73"/>
      <c r="B35" s="109">
        <v>5</v>
      </c>
      <c r="C35" s="110" t="s">
        <v>426</v>
      </c>
      <c r="D35" s="48" t="s">
        <v>427</v>
      </c>
      <c r="E35" s="48"/>
      <c r="F35" s="49"/>
      <c r="G35" s="68"/>
      <c r="H35" s="38"/>
      <c r="I35" s="69"/>
    </row>
    <row r="36" spans="1:9" ht="26.25" customHeight="1" thickBot="1">
      <c r="A36" s="74"/>
      <c r="B36" s="59" t="s">
        <v>199</v>
      </c>
      <c r="C36" s="60" t="s">
        <v>200</v>
      </c>
      <c r="D36" s="61"/>
      <c r="E36" s="61"/>
      <c r="F36" s="62"/>
      <c r="G36" s="62"/>
      <c r="H36" s="70"/>
      <c r="I36" s="71"/>
    </row>
    <row r="38" spans="1:9">
      <c r="A38" s="23" t="s">
        <v>95</v>
      </c>
    </row>
    <row r="39" spans="1:9" ht="13.5" thickBot="1"/>
    <row r="40" spans="1:9" ht="32.25" thickBot="1">
      <c r="A40" s="230" t="s">
        <v>184</v>
      </c>
      <c r="B40" s="231" t="s">
        <v>62</v>
      </c>
      <c r="C40" s="550" t="s">
        <v>61</v>
      </c>
      <c r="D40" s="551"/>
      <c r="E40" s="552" t="s">
        <v>185</v>
      </c>
      <c r="F40" s="553"/>
      <c r="G40" s="232" t="s">
        <v>174</v>
      </c>
      <c r="H40" s="232" t="s">
        <v>208</v>
      </c>
      <c r="I40" s="232" t="s">
        <v>63</v>
      </c>
    </row>
    <row r="41" spans="1:9" ht="13.5" thickBot="1">
      <c r="A41" s="233" t="s">
        <v>186</v>
      </c>
      <c r="B41" s="234" t="s">
        <v>75</v>
      </c>
      <c r="C41" s="542" t="s">
        <v>187</v>
      </c>
      <c r="D41" s="543"/>
      <c r="E41" s="544"/>
      <c r="F41" s="545"/>
      <c r="G41" s="235"/>
      <c r="H41" s="235"/>
      <c r="I41" s="235"/>
    </row>
    <row r="42" spans="1:9" ht="30">
      <c r="A42" s="75"/>
      <c r="B42" s="76" t="s">
        <v>188</v>
      </c>
      <c r="C42" s="77" t="s">
        <v>189</v>
      </c>
      <c r="D42" s="77" t="s">
        <v>190</v>
      </c>
      <c r="E42" s="77" t="s">
        <v>191</v>
      </c>
      <c r="F42" s="78" t="s">
        <v>192</v>
      </c>
      <c r="G42" s="65"/>
      <c r="H42" s="66"/>
      <c r="I42" s="67"/>
    </row>
    <row r="43" spans="1:9" ht="25.5">
      <c r="A43" s="73"/>
      <c r="B43" s="42" t="s">
        <v>164</v>
      </c>
      <c r="C43" s="43" t="s">
        <v>193</v>
      </c>
      <c r="D43" s="44" t="s">
        <v>209</v>
      </c>
      <c r="E43" s="44"/>
      <c r="F43" s="45"/>
      <c r="G43" s="68"/>
      <c r="H43" s="38"/>
      <c r="I43" s="69"/>
    </row>
    <row r="44" spans="1:9">
      <c r="A44" s="73"/>
      <c r="B44" s="46" t="s">
        <v>164</v>
      </c>
      <c r="C44" s="47" t="s">
        <v>194</v>
      </c>
      <c r="D44" s="48" t="s">
        <v>209</v>
      </c>
      <c r="E44" s="48"/>
      <c r="F44" s="49"/>
      <c r="G44" s="68"/>
      <c r="H44" s="38"/>
      <c r="I44" s="69"/>
    </row>
    <row r="45" spans="1:9" ht="25.5">
      <c r="A45" s="73"/>
      <c r="B45" s="50">
        <v>1</v>
      </c>
      <c r="C45" s="51" t="s">
        <v>93</v>
      </c>
      <c r="D45" s="48"/>
      <c r="E45" s="48"/>
      <c r="F45" s="49"/>
      <c r="G45" s="68"/>
      <c r="H45" s="38"/>
      <c r="I45" s="69"/>
    </row>
    <row r="46" spans="1:9" ht="25.5">
      <c r="A46" s="73"/>
      <c r="B46" s="50">
        <v>2</v>
      </c>
      <c r="C46" s="51" t="s">
        <v>93</v>
      </c>
      <c r="D46" s="48"/>
      <c r="E46" s="48"/>
      <c r="F46" s="49"/>
      <c r="G46" s="68"/>
      <c r="H46" s="38"/>
      <c r="I46" s="69"/>
    </row>
    <row r="47" spans="1:9" ht="25.5">
      <c r="A47" s="73"/>
      <c r="B47" s="50">
        <v>3</v>
      </c>
      <c r="C47" s="51" t="s">
        <v>93</v>
      </c>
      <c r="D47" s="48"/>
      <c r="E47" s="48"/>
      <c r="F47" s="49"/>
      <c r="G47" s="68"/>
      <c r="H47" s="38"/>
      <c r="I47" s="69"/>
    </row>
    <row r="48" spans="1:9">
      <c r="A48" s="73"/>
      <c r="B48" s="57" t="s">
        <v>197</v>
      </c>
      <c r="C48" s="58" t="s">
        <v>198</v>
      </c>
      <c r="D48" s="48" t="s">
        <v>94</v>
      </c>
      <c r="E48" s="48"/>
      <c r="F48" s="49"/>
      <c r="G48" s="68"/>
      <c r="H48" s="38"/>
      <c r="I48" s="69"/>
    </row>
    <row r="49" spans="1:9" ht="13.5" thickBot="1">
      <c r="A49" s="74"/>
      <c r="B49" s="59" t="s">
        <v>199</v>
      </c>
      <c r="C49" s="60" t="s">
        <v>200</v>
      </c>
      <c r="D49" s="61" t="s">
        <v>94</v>
      </c>
      <c r="E49" s="61"/>
      <c r="F49" s="62"/>
      <c r="G49" s="62"/>
      <c r="H49" s="70"/>
      <c r="I49" s="71"/>
    </row>
    <row r="52" spans="1:9" ht="13.5" thickBot="1"/>
    <row r="53" spans="1:9" ht="30" customHeight="1">
      <c r="A53" s="525" t="s">
        <v>212</v>
      </c>
      <c r="B53" s="526"/>
      <c r="C53" s="527"/>
      <c r="D53" s="528"/>
      <c r="E53" s="529"/>
      <c r="F53" s="529"/>
      <c r="G53" s="529"/>
      <c r="H53" s="467"/>
      <c r="I53" s="530"/>
    </row>
    <row r="54" spans="1:9" ht="30" customHeight="1" thickBot="1">
      <c r="A54" s="531" t="s">
        <v>42</v>
      </c>
      <c r="B54" s="532"/>
      <c r="C54" s="533"/>
      <c r="D54" s="534"/>
      <c r="E54" s="535"/>
      <c r="F54" s="535"/>
      <c r="G54" s="535"/>
      <c r="H54" s="536"/>
      <c r="I54" s="537"/>
    </row>
    <row r="55" spans="1:9" ht="31.5">
      <c r="A55" s="126" t="s">
        <v>184</v>
      </c>
      <c r="B55" s="121" t="s">
        <v>62</v>
      </c>
      <c r="C55" s="538" t="s">
        <v>61</v>
      </c>
      <c r="D55" s="539"/>
      <c r="E55" s="540" t="s">
        <v>185</v>
      </c>
      <c r="F55" s="541"/>
      <c r="G55" s="122" t="s">
        <v>174</v>
      </c>
      <c r="H55" s="130" t="s">
        <v>208</v>
      </c>
      <c r="I55" s="129" t="s">
        <v>63</v>
      </c>
    </row>
    <row r="56" spans="1:9" ht="39" customHeight="1" thickBot="1">
      <c r="A56" s="118"/>
      <c r="B56" s="125"/>
      <c r="C56" s="459"/>
      <c r="D56" s="522"/>
      <c r="E56" s="523"/>
      <c r="F56" s="524"/>
      <c r="G56" s="131"/>
      <c r="H56" s="131"/>
      <c r="I56" s="119"/>
    </row>
    <row r="57" spans="1:9" ht="30">
      <c r="A57" s="127"/>
      <c r="B57" s="123" t="s">
        <v>188</v>
      </c>
      <c r="C57" s="124" t="s">
        <v>189</v>
      </c>
      <c r="D57" s="124" t="s">
        <v>190</v>
      </c>
      <c r="E57" s="124" t="s">
        <v>191</v>
      </c>
      <c r="F57" s="128" t="s">
        <v>192</v>
      </c>
      <c r="G57" s="120"/>
      <c r="H57" s="120"/>
      <c r="I57" s="120"/>
    </row>
  </sheetData>
  <mergeCells count="18">
    <mergeCell ref="C4:D4"/>
    <mergeCell ref="E4:F4"/>
    <mergeCell ref="C41:D41"/>
    <mergeCell ref="E41:F41"/>
    <mergeCell ref="C16:D16"/>
    <mergeCell ref="E16:F16"/>
    <mergeCell ref="C40:D40"/>
    <mergeCell ref="E40:F40"/>
    <mergeCell ref="C27:D27"/>
    <mergeCell ref="E27:F27"/>
    <mergeCell ref="C56:D56"/>
    <mergeCell ref="E56:F56"/>
    <mergeCell ref="A53:C53"/>
    <mergeCell ref="D53:I53"/>
    <mergeCell ref="A54:C54"/>
    <mergeCell ref="D54:I54"/>
    <mergeCell ref="C55:D55"/>
    <mergeCell ref="E55:F55"/>
  </mergeCells>
  <phoneticPr fontId="7" type="noConversion"/>
  <pageMargins left="0.36" right="0.55000000000000004" top="0.61" bottom="0.62" header="0.36" footer="0.39"/>
  <pageSetup paperSize="9" orientation="landscape" horizontalDpi="300" verticalDpi="300" r:id="rId1"/>
  <headerFooter alignWithMargins="0">
    <oddHeader>&amp;R&amp;D &amp;T</oddHeader>
    <oddFooter>&amp;L&amp;F&amp;C&amp;A&amp;RPagina &amp;P di  &amp;N</oddFooter>
  </headerFooter>
  <rowBreaks count="1" manualBreakCount="1">
    <brk id="50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3"/>
  <dimension ref="A1"/>
  <sheetViews>
    <sheetView workbookViewId="0"/>
  </sheetViews>
  <sheetFormatPr defaultRowHeight="12.75"/>
  <cols>
    <col min="1" max="1" width="137.140625" customWidth="1"/>
  </cols>
  <sheetData>
    <row r="1" spans="1:1" ht="12.75" customHeight="1">
      <c r="A1" s="1" t="s">
        <v>514</v>
      </c>
    </row>
  </sheetData>
  <phoneticPr fontId="7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6"/>
  <dimension ref="A1:G1"/>
  <sheetViews>
    <sheetView workbookViewId="0">
      <selection activeCell="A2" sqref="A2:IV65536"/>
    </sheetView>
  </sheetViews>
  <sheetFormatPr defaultRowHeight="12.75"/>
  <cols>
    <col min="1" max="1" width="15.7109375" bestFit="1" customWidth="1"/>
    <col min="2" max="2" width="5.140625" bestFit="1" customWidth="1"/>
    <col min="3" max="3" width="15.140625" style="216" customWidth="1"/>
    <col min="4" max="4" width="78.85546875" bestFit="1" customWidth="1"/>
    <col min="7" max="7" width="32.140625" bestFit="1" customWidth="1"/>
  </cols>
  <sheetData>
    <row r="1" spans="1:7">
      <c r="A1" s="32" t="s">
        <v>253</v>
      </c>
      <c r="B1" s="32" t="s">
        <v>257</v>
      </c>
      <c r="C1" s="207" t="s">
        <v>168</v>
      </c>
      <c r="D1" s="32" t="s">
        <v>284</v>
      </c>
      <c r="E1" s="32" t="s">
        <v>261</v>
      </c>
      <c r="F1" s="32" t="s">
        <v>229</v>
      </c>
      <c r="G1" s="32" t="s">
        <v>252</v>
      </c>
    </row>
  </sheetData>
  <phoneticPr fontId="7" type="noConversion"/>
  <pageMargins left="0.75" right="0.75" top="1" bottom="1" header="0.5" footer="0.5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05"/>
  <dimension ref="A1:BH1"/>
  <sheetViews>
    <sheetView workbookViewId="0">
      <selection activeCell="C18" sqref="C18"/>
    </sheetView>
  </sheetViews>
  <sheetFormatPr defaultRowHeight="12.75"/>
  <cols>
    <col min="2" max="2" width="35.85546875" bestFit="1" customWidth="1"/>
    <col min="3" max="3" width="23.42578125" customWidth="1"/>
    <col min="4" max="4" width="71.7109375" bestFit="1" customWidth="1"/>
    <col min="5" max="8" width="13.28515625" bestFit="1" customWidth="1"/>
    <col min="11" max="11" width="16.42578125" customWidth="1"/>
    <col min="16" max="16" width="12" bestFit="1" customWidth="1"/>
    <col min="17" max="17" width="11.140625" bestFit="1" customWidth="1"/>
    <col min="31" max="31" width="27.28515625" bestFit="1" customWidth="1"/>
    <col min="32" max="32" width="28.85546875" bestFit="1" customWidth="1"/>
    <col min="33" max="33" width="13.5703125" bestFit="1" customWidth="1"/>
    <col min="34" max="34" width="11.5703125" bestFit="1" customWidth="1"/>
    <col min="35" max="35" width="11.85546875" bestFit="1" customWidth="1"/>
    <col min="36" max="36" width="5.7109375" bestFit="1" customWidth="1"/>
  </cols>
  <sheetData>
    <row r="1" spans="1:60">
      <c r="A1" s="23" t="s">
        <v>216</v>
      </c>
      <c r="B1" s="23" t="s">
        <v>226</v>
      </c>
      <c r="C1" s="23" t="s">
        <v>268</v>
      </c>
      <c r="D1" s="23" t="s">
        <v>217</v>
      </c>
      <c r="E1" s="23" t="s">
        <v>218</v>
      </c>
      <c r="F1" s="23" t="s">
        <v>219</v>
      </c>
      <c r="G1" s="23" t="s">
        <v>220</v>
      </c>
      <c r="H1" s="23" t="s">
        <v>221</v>
      </c>
      <c r="I1" s="23" t="s">
        <v>281</v>
      </c>
      <c r="J1" s="23" t="s">
        <v>262</v>
      </c>
      <c r="K1" s="23" t="s">
        <v>263</v>
      </c>
      <c r="L1" s="23" t="s">
        <v>264</v>
      </c>
      <c r="M1" s="23" t="s">
        <v>265</v>
      </c>
      <c r="N1" s="23" t="s">
        <v>267</v>
      </c>
      <c r="O1" s="23" t="s">
        <v>266</v>
      </c>
      <c r="P1" s="23" t="s">
        <v>227</v>
      </c>
      <c r="Q1" s="23" t="s">
        <v>284</v>
      </c>
      <c r="R1" s="23" t="s">
        <v>228</v>
      </c>
      <c r="S1" s="23" t="s">
        <v>230</v>
      </c>
      <c r="T1" s="23" t="s">
        <v>269</v>
      </c>
      <c r="U1" s="23" t="s">
        <v>270</v>
      </c>
      <c r="V1" s="23" t="s">
        <v>260</v>
      </c>
      <c r="W1" s="23" t="s">
        <v>271</v>
      </c>
      <c r="X1" s="23" t="s">
        <v>272</v>
      </c>
      <c r="Y1" s="23" t="s">
        <v>273</v>
      </c>
      <c r="Z1" s="23" t="s">
        <v>274</v>
      </c>
      <c r="AA1" s="23" t="s">
        <v>275</v>
      </c>
      <c r="AB1" s="23" t="s">
        <v>276</v>
      </c>
      <c r="AC1" s="23" t="s">
        <v>277</v>
      </c>
      <c r="AD1" s="23" t="s">
        <v>278</v>
      </c>
      <c r="AE1" s="23" t="s">
        <v>282</v>
      </c>
      <c r="AF1" s="23" t="s">
        <v>283</v>
      </c>
      <c r="AG1" s="23" t="s">
        <v>223</v>
      </c>
      <c r="AH1" s="23" t="s">
        <v>224</v>
      </c>
      <c r="AI1" s="23" t="s">
        <v>167</v>
      </c>
      <c r="AJ1" s="23" t="s">
        <v>222</v>
      </c>
      <c r="AK1" s="23" t="s">
        <v>231</v>
      </c>
      <c r="AL1" s="23" t="s">
        <v>232</v>
      </c>
      <c r="AM1" s="23" t="s">
        <v>233</v>
      </c>
      <c r="AN1" s="23" t="s">
        <v>234</v>
      </c>
      <c r="AO1" s="23" t="s">
        <v>235</v>
      </c>
      <c r="AP1" s="23" t="s">
        <v>236</v>
      </c>
      <c r="AQ1" s="23" t="s">
        <v>237</v>
      </c>
      <c r="AR1" s="23" t="s">
        <v>238</v>
      </c>
      <c r="AS1" s="23" t="s">
        <v>239</v>
      </c>
      <c r="AT1" s="23" t="s">
        <v>240</v>
      </c>
      <c r="AU1" s="23" t="s">
        <v>241</v>
      </c>
      <c r="AV1" s="23" t="s">
        <v>242</v>
      </c>
      <c r="AW1" s="23" t="s">
        <v>243</v>
      </c>
      <c r="AX1" s="23" t="s">
        <v>244</v>
      </c>
      <c r="AY1" s="23" t="s">
        <v>245</v>
      </c>
      <c r="AZ1" s="23" t="s">
        <v>246</v>
      </c>
      <c r="BA1" s="23" t="s">
        <v>247</v>
      </c>
      <c r="BB1" s="23" t="s">
        <v>248</v>
      </c>
      <c r="BC1" s="23" t="s">
        <v>249</v>
      </c>
      <c r="BD1" s="23" t="s">
        <v>250</v>
      </c>
      <c r="BE1" s="23" t="s">
        <v>254</v>
      </c>
      <c r="BF1" s="23" t="s">
        <v>255</v>
      </c>
      <c r="BG1" s="23" t="s">
        <v>256</v>
      </c>
      <c r="BH1" s="23" t="s">
        <v>225</v>
      </c>
    </row>
  </sheetData>
  <sheetProtection sheet="1" objects="1" scenarios="1" formatColumns="0" formatRows="0" sort="0" autoFilter="0" pivotTables="0"/>
  <phoneticPr fontId="7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D22062C56AC5E408EE4AD716EF9D51F" ma:contentTypeVersion="2" ma:contentTypeDescription="Creare un nuovo documento." ma:contentTypeScope="" ma:versionID="ea406ecd760878d0eb1cc59d2f82b96a">
  <xsd:schema xmlns:xsd="http://www.w3.org/2001/XMLSchema" xmlns:xs="http://www.w3.org/2001/XMLSchema" xmlns:p="http://schemas.microsoft.com/office/2006/metadata/properties" xmlns:ns2="9345d9e0-45ad-4592-a016-571b7fc0fa4f" targetNamespace="http://schemas.microsoft.com/office/2006/metadata/properties" ma:root="true" ma:fieldsID="2786b7ba02371c72a8121ab12a0a4c41" ns2:_="">
    <xsd:import namespace="9345d9e0-45ad-4592-a016-571b7fc0fa4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45d9e0-45ad-4592-a016-571b7fc0fa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E12B09-4783-40EA-8AF6-8843BC80EF2E}">
  <ds:schemaRefs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9345d9e0-45ad-4592-a016-571b7fc0fa4f"/>
    <ds:schemaRef ds:uri="http://purl.org/dc/dcmitype/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B82E831-EF78-42F1-BD6A-915864E054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345d9e0-45ad-4592-a016-571b7fc0fa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4690AC4-6964-43EF-B841-F7D846FC441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20</vt:i4>
      </vt:variant>
      <vt:variant>
        <vt:lpstr>Intervalli denominati</vt:lpstr>
      </vt:variant>
      <vt:variant>
        <vt:i4>11</vt:i4>
      </vt:variant>
    </vt:vector>
  </HeadingPairs>
  <TitlesOfParts>
    <vt:vector size="31" baseType="lpstr">
      <vt:lpstr>Raw_Data_In</vt:lpstr>
      <vt:lpstr>Descr.fogli lavoro</vt:lpstr>
      <vt:lpstr>Descr.macro</vt:lpstr>
      <vt:lpstr>Copertina</vt:lpstr>
      <vt:lpstr>TabellaTest</vt:lpstr>
      <vt:lpstr>Es.1</vt:lpstr>
      <vt:lpstr>Descrizioni</vt:lpstr>
      <vt:lpstr>Desc Temp</vt:lpstr>
      <vt:lpstr>Cop.All.2ASpec.test</vt:lpstr>
      <vt:lpstr>SpecificaTest</vt:lpstr>
      <vt:lpstr>VerificheConformità</vt:lpstr>
      <vt:lpstr>SogliaAccettazione</vt:lpstr>
      <vt:lpstr>Automation</vt:lpstr>
      <vt:lpstr>Es.2</vt:lpstr>
      <vt:lpstr>Settings</vt:lpstr>
      <vt:lpstr>Hidden Settings</vt:lpstr>
      <vt:lpstr>Layout</vt:lpstr>
      <vt:lpstr>Validation Log</vt:lpstr>
      <vt:lpstr>ReqID_Table</vt:lpstr>
      <vt:lpstr>Temp_Data_Out</vt:lpstr>
      <vt:lpstr>Es.1!Area_stampa</vt:lpstr>
      <vt:lpstr>Es.2!Area_stampa</vt:lpstr>
      <vt:lpstr>Settings!Area_stampa</vt:lpstr>
      <vt:lpstr>SpecificaTest!Area_stampa</vt:lpstr>
      <vt:lpstr>TabellaTest!Area_stampa</vt:lpstr>
      <vt:lpstr>VerificheConformità!Area_stampa</vt:lpstr>
      <vt:lpstr>Raw_Data_In!Raw_Data_In</vt:lpstr>
      <vt:lpstr>Descrizioni!Titoli_stampa</vt:lpstr>
      <vt:lpstr>Es.1!Titoli_stampa</vt:lpstr>
      <vt:lpstr>Es.2!Titoli_stampa</vt:lpstr>
      <vt:lpstr>TabellaTest!Titoli_stampa</vt:lpstr>
    </vt:vector>
  </TitlesOfParts>
  <Manager>Vito Bufi</Manager>
  <Company>EII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Allegato al piano test</dc:title>
  <dc:subject>Piano di Test</dc:subject>
  <dc:creator>Engineering</dc:creator>
  <cp:lastModifiedBy>Simone Gioggi</cp:lastModifiedBy>
  <cp:lastPrinted>2021-02-15T18:19:14Z</cp:lastPrinted>
  <dcterms:created xsi:type="dcterms:W3CDTF">2005-03-03T21:27:55Z</dcterms:created>
  <dcterms:modified xsi:type="dcterms:W3CDTF">2024-03-14T11:30:06Z</dcterms:modified>
  <cp:category>Test</cp:category>
</cp:coreProperties>
</file>